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gende" sheetId="1" state="visible" r:id="rId3"/>
    <sheet name="Synthèse" sheetId="2" state="visible" r:id="rId4"/>
    <sheet name="Synthèse Kapptivate" sheetId="3" state="visible" r:id="rId5"/>
    <sheet name="Catalogue" sheetId="4" state="visible" r:id="rId6"/>
    <sheet name="Comparatif Kapptivate" sheetId="5" state="visible" r:id="rId7"/>
    <sheet name="Reclassement SVA" sheetId="6" state="visible" r:id="rId8"/>
    <sheet name="MaxIt (canal alternatif)" sheetId="7" state="visible" r:id="rId9"/>
    <sheet name="À vérifier" sheetId="8" state="visible" r:id="rId10"/>
    <sheet name="Doublons Kapptivate" sheetId="9" state="visible" r:id="rId11"/>
    <sheet name="Points d'attention" sheetId="10" state="visible" r:id="rId12"/>
  </sheets>
  <definedNames>
    <definedName function="false" hidden="true" localSheetId="3" name="_xlnm._FilterDatabase" vbProcedure="false">Catalogue!$A$4:$J$450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130 services du catalogue initial + 126 ajoutés depuis l'export Kapptivate (hors MaxIt, hors sondes 3G/4G comptées deux fois — voir Légende). Table structurée TblCatalogue : Insertion &gt; Tableau croisé dynamique fonctionne directement dessus.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317 services distincts (346 lignes brutes, 24 sondes 3G/4G fusionnées, 8 doublons résiduels). Table structurée TblComparatif, prête pour un TCD natif Excel.</t>
        </r>
      </text>
    </comment>
  </commentList>
</comments>
</file>

<file path=xl/sharedStrings.xml><?xml version="1.0" encoding="utf-8"?>
<sst xmlns="http://schemas.openxmlformats.org/spreadsheetml/2006/main" count="4032" uniqueCount="820">
  <si>
    <t xml:space="preserve">MODE D'EMPLOI ET LÉGENDE</t>
  </si>
  <si>
    <t xml:space="preserve">Catalogue des services — priorités, couverture de supervision et rapprochement Kapptivate</t>
  </si>
  <si>
    <t xml:space="preserve">Version</t>
  </si>
  <si>
    <t xml:space="preserve">v3.0 — conforme aux caractéristiques Kapptivate (fusion 3G/4G, MaxIt = canal, priorités P1 par défaut)</t>
  </si>
  <si>
    <t xml:space="preserve">Date de mise à jour</t>
  </si>
  <si>
    <t xml:space="preserve">À compléter</t>
  </si>
  <si>
    <t xml:space="preserve">Responsable du document</t>
  </si>
  <si>
    <t xml:space="preserve">Périmètre</t>
  </si>
  <si>
    <t xml:space="preserve">256 services répartis en 19 domaines</t>
  </si>
  <si>
    <t xml:space="preserve">1. Niveaux de priorité</t>
  </si>
  <si>
    <t xml:space="preserve">Niveau</t>
  </si>
  <si>
    <t xml:space="preserve">Libellé</t>
  </si>
  <si>
    <t xml:space="preserve">Définition (à valider par l'équipe)</t>
  </si>
  <si>
    <t xml:space="preserve">P1</t>
  </si>
  <si>
    <t xml:space="preserve">Critique</t>
  </si>
  <si>
    <t xml:space="preserve">Service à revenu direct ou à fort impact client. Supervision obligatoire.</t>
  </si>
  <si>
    <t xml:space="preserve">P2</t>
  </si>
  <si>
    <t xml:space="preserve">Important</t>
  </si>
  <si>
    <t xml:space="preserve">Impact client réel mais contournable. Supervision fortement recommandée.</t>
  </si>
  <si>
    <t xml:space="preserve">P3</t>
  </si>
  <si>
    <t xml:space="preserve">Secondaire</t>
  </si>
  <si>
    <t xml:space="preserve">Service de confort ou à faible volume. Supervision au mieux.</t>
  </si>
  <si>
    <t xml:space="preserve">2. Règles de conformité appliquées à cette version (fournies par l'utilisateur)</t>
  </si>
  <si>
    <t xml:space="preserve">•</t>
  </si>
  <si>
    <t xml:space="preserve">Une sonde « 3G | X » et « 4G | X » désignent le même service testé sur deux technologies : elles sont fusionnées en une seule ligne du catalogue, avec la ou les technologies notées en observation.</t>
  </si>
  <si>
    <t xml:space="preserve">MaxIt n'est pas une famille de services à part entière : c'est un canal web alternatif donnant accès à des services déjà catalogués ailleurs. Les entrées « Maxit-… » ne créent donc aucune nouvelle ligne dans le catalogue — elles sont recensées à part dans l'onglet « MaxIt (canal alternatif) », avec leur correspondance probable.</t>
  </si>
  <si>
    <t xml:space="preserve">Pour les services Orange Money (Core, add-on Local, add-on Group, Bank to Wallet), SVA USSD, SVA SMS et PICO : si aucune priorité n'était fournie, elle est définie par défaut à P1 (à ajuster si besoin).</t>
  </si>
  <si>
    <t xml:space="preserve">3. Nouveaux domaines issus de l'export Kapptivate</t>
  </si>
  <si>
    <t xml:space="preserve">Domaine</t>
  </si>
  <si>
    <t xml:space="preserve">Catégorie(s) Kapptivate d'origine</t>
  </si>
  <si>
    <t xml:space="preserve">OM Bank to Wallet</t>
  </si>
  <si>
    <t xml:space="preserve">Data Mobile (sondes réseau 3G/4G)</t>
  </si>
  <si>
    <t xml:space="preserve">Data 3G / Data 4G / Data Social Network (sondes fusionnées)</t>
  </si>
  <si>
    <t xml:space="preserve">Supervision Externe (Downdetector)</t>
  </si>
  <si>
    <t xml:space="preserve">Downdetector</t>
  </si>
  <si>
    <t xml:space="preserve">Nimba Plus</t>
  </si>
  <si>
    <t xml:space="preserve">PICO</t>
  </si>
  <si>
    <t xml:space="preserve">Outils SI internes</t>
  </si>
  <si>
    <t xml:space="preserve">OUTILS SI</t>
  </si>
  <si>
    <t xml:space="preserve">Audit Facturation (Voix)</t>
  </si>
  <si>
    <t xml:space="preserve">Audit Facturation</t>
  </si>
  <si>
    <t xml:space="preserve">Supervision plateforme (Divers)</t>
  </si>
  <si>
    <t xml:space="preserve">ZZ_Management</t>
  </si>
  <si>
    <t xml:space="preserve">SVA Data</t>
  </si>
  <si>
    <t xml:space="preserve">SVA Data (contenu — Playweez, Playciné, YouScribe, etc.)</t>
  </si>
  <si>
    <t xml:space="preserve">Voix Numéro Court</t>
  </si>
  <si>
    <t xml:space="preserve">VOIX NUMERO COURT</t>
  </si>
  <si>
    <t xml:space="preserve">SVA USSD</t>
  </si>
  <si>
    <t xml:space="preserve">SVA USSD (+ services « Autres SVA » reclassés, voir onglet Reclassement SVA)</t>
  </si>
  <si>
    <t xml:space="preserve">SVA SMS</t>
  </si>
  <si>
    <t xml:space="preserve">SVA SMS (+ services « Autres SVA » reclassés, voir onglet Reclassement SVA)</t>
  </si>
  <si>
    <t xml:space="preserve">MaxIt volontairement absent de cette liste : ce n'est pas un domaine de services (voir §2).</t>
  </si>
  <si>
    <t xml:space="preserve">4. Méthode de rapprochement Kapptivate ↔ Catalogue</t>
  </si>
  <si>
    <t xml:space="preserve">Chaque service Kapptivate est comparé à tous les services du catalogue par similarité textuelle.</t>
  </si>
  <si>
    <t xml:space="preserve">Score ≥ 90% → « Déjà dans le catalogue ». Score 60-89% → « À vérifier » (arbitrage humain requis). Score &lt; 60% → « Nouveau », ajouté au catalogue avec Supervisé = Oui / Outil = Kapptivate.</t>
  </si>
  <si>
    <t xml:space="preserve">Ce score est une approximation automatique — la tranche « À vérifier » doit être tranchée par l'équipe.</t>
  </si>
  <si>
    <t xml:space="preserve">5. Colonnes de l'onglet Catalogue</t>
  </si>
  <si>
    <t xml:space="preserve">Colonne</t>
  </si>
  <si>
    <t xml:space="preserve">Format attendu</t>
  </si>
  <si>
    <t xml:space="preserve">Contenu</t>
  </si>
  <si>
    <t xml:space="preserve">Liste déroulante</t>
  </si>
  <si>
    <t xml:space="preserve">Famille de services.</t>
  </si>
  <si>
    <t xml:space="preserve">Service</t>
  </si>
  <si>
    <t xml:space="preserve">Texte</t>
  </si>
  <si>
    <t xml:space="preserve">Libellé exact du service.</t>
  </si>
  <si>
    <t xml:space="preserve">Priorité</t>
  </si>
  <si>
    <t xml:space="preserve">Liste déroulante P1/P2/P3</t>
  </si>
  <si>
    <t xml:space="preserve">Criticité métier.</t>
  </si>
  <si>
    <t xml:space="preserve">Supervisé</t>
  </si>
  <si>
    <t xml:space="preserve">Liste déroulante Oui/Non</t>
  </si>
  <si>
    <t xml:space="preserve">Existe-t-il une sonde active aujourd'hui ?</t>
  </si>
  <si>
    <t xml:space="preserve">Outil(s)</t>
  </si>
  <si>
    <t xml:space="preserve">Plusieurs outils séparés par « / ».</t>
  </si>
  <si>
    <t xml:space="preserve">SIM / MSISDN de test</t>
  </si>
  <si>
    <t xml:space="preserve">Numéros séparés par « / ».</t>
  </si>
  <si>
    <t xml:space="preserve">Sonde / Terminal</t>
  </si>
  <si>
    <t xml:space="preserve">Identifiant sonde/terminal si pas de SIM.</t>
  </si>
  <si>
    <t xml:space="preserve">Dernière vérification</t>
  </si>
  <si>
    <t xml:space="preserve">Date JJ/MM/AAAA</t>
  </si>
  <si>
    <t xml:space="preserve">À remplir à chaque contrôle.</t>
  </si>
  <si>
    <t xml:space="preserve">Observations</t>
  </si>
  <si>
    <t xml:space="preserve">Écarts, actions, source de la ligne.</t>
  </si>
  <si>
    <t xml:space="preserve">SYNTHÈSE — COUVERTURE DE SUPERVISION</t>
  </si>
  <si>
    <t xml:space="preserve">Onglet entièrement calculé (formules) à partir de l'onglet Catalogue. Se met à jour automatiquement.</t>
  </si>
  <si>
    <t xml:space="preserve">Services P1 NON supervisés</t>
  </si>
  <si>
    <t xml:space="preserve">← Priorité d'action n°1.</t>
  </si>
  <si>
    <t xml:space="preserve">Taux de couverture global</t>
  </si>
  <si>
    <t xml:space="preserve">← Part des services dotés d'une sonde active (catalogue complet).</t>
  </si>
  <si>
    <t xml:space="preserve">Dont priorité restant à définir</t>
  </si>
  <si>
    <t xml:space="preserve">← Domaines hors OM/SVA USSD/SVA SMS/PICO (pas de règle de priorité par défaut).</t>
  </si>
  <si>
    <t xml:space="preserve">1. Couverture par domaine</t>
  </si>
  <si>
    <t xml:space="preserve">Nb services</t>
  </si>
  <si>
    <t xml:space="preserve">Non priorisé</t>
  </si>
  <si>
    <t xml:space="preserve">Supervisés</t>
  </si>
  <si>
    <t xml:space="preserve">Non supervisés</t>
  </si>
  <si>
    <t xml:space="preserve">Taux de couverture</t>
  </si>
  <si>
    <t xml:space="preserve">Dont P1 non supervisés</t>
  </si>
  <si>
    <t xml:space="preserve">Voix</t>
  </si>
  <si>
    <t xml:space="preserve">Orange Money Core</t>
  </si>
  <si>
    <t xml:space="preserve">Orange Money add-on Local</t>
  </si>
  <si>
    <t xml:space="preserve">Orange Money add-on Group</t>
  </si>
  <si>
    <t xml:space="preserve">ZEBRA</t>
  </si>
  <si>
    <t xml:space="preserve">Autres SVA</t>
  </si>
  <si>
    <t xml:space="preserve">Interface web de stimulation</t>
  </si>
  <si>
    <t xml:space="preserve">TOTAL</t>
  </si>
  <si>
    <t xml:space="preserve">2. Couverture par niveau de priorité</t>
  </si>
  <si>
    <t xml:space="preserve">3. Services couverts par outil</t>
  </si>
  <si>
    <t xml:space="preserve">Outil</t>
  </si>
  <si>
    <t xml:space="preserve">Dont P1</t>
  </si>
  <si>
    <t xml:space="preserve">Kapptivate</t>
  </si>
  <si>
    <t xml:space="preserve">Daset</t>
  </si>
  <si>
    <t xml:space="preserve">Voset</t>
  </si>
  <si>
    <t xml:space="preserve">Nagios</t>
  </si>
  <si>
    <t xml:space="preserve">OTARIE</t>
  </si>
  <si>
    <t xml:space="preserve">ELK</t>
  </si>
  <si>
    <t xml:space="preserve">Note : un service supervisé par deux outils est compté dans chaque ligne.</t>
  </si>
  <si>
    <t xml:space="preserve">SYNTHÈSE — INTÉGRATION DE L'EXPORT KAPPTIVATE</t>
  </si>
  <si>
    <t xml:space="preserve">Indicateurs calculés à partir des onglets Comparatif Kapptivate, MaxIt et Doublons Kapptivate.</t>
  </si>
  <si>
    <t xml:space="preserve">Lignes de service dans l'export</t>
  </si>
  <si>
    <t xml:space="preserve">Services distincts après fusion 3G/4G</t>
  </si>
  <si>
    <t xml:space="preserve">  dont sondes techniques fusionnées (3G/4G)</t>
  </si>
  <si>
    <t xml:space="preserve">Doublons résiduels dans l'export</t>
  </si>
  <si>
    <t xml:space="preserve">MaxIt — canal alternatif (exclu du catalogue)</t>
  </si>
  <si>
    <t xml:space="preserve">Déjà dans le catalogue (≥90% de similarité)</t>
  </si>
  <si>
    <t xml:space="preserve">À vérifier manuellement (60-89%)</t>
  </si>
  <si>
    <t xml:space="preserve">Nouveaux services ajoutés au catalogue (&lt;60%)</t>
  </si>
  <si>
    <t xml:space="preserve">  dont priorité P1 par défaut (OM/SVA USSD/SVA SMS/PICO)</t>
  </si>
  <si>
    <t xml:space="preserve">Taille du catalogue avant / après</t>
  </si>
  <si>
    <t xml:space="preserve">130 → 256</t>
  </si>
  <si>
    <t xml:space="preserve">Catégorie Kapptivate</t>
  </si>
  <si>
    <t xml:space="preserve">Nb services (après fusion)</t>
  </si>
  <si>
    <t xml:space="preserve">OM Addons Locaux</t>
  </si>
  <si>
    <t xml:space="preserve">Maxt-it</t>
  </si>
  <si>
    <t xml:space="preserve">OM Core</t>
  </si>
  <si>
    <t xml:space="preserve">VOIX</t>
  </si>
  <si>
    <t xml:space="preserve">Data Social Network</t>
  </si>
  <si>
    <t xml:space="preserve">Data 4G</t>
  </si>
  <si>
    <t xml:space="preserve">OM Addons Group</t>
  </si>
  <si>
    <t xml:space="preserve">Data 3G</t>
  </si>
  <si>
    <t xml:space="preserve">Zebra</t>
  </si>
  <si>
    <t xml:space="preserve">Statut</t>
  </si>
  <si>
    <t xml:space="preserve">Déjà dans le catalogue</t>
  </si>
  <si>
    <t xml:space="preserve">À vérifier</t>
  </si>
  <si>
    <t xml:space="preserve">Nouveau — ajouté</t>
  </si>
  <si>
    <t xml:space="preserve">MaxIt (canal alternatif)</t>
  </si>
  <si>
    <t xml:space="preserve">CATALOGUE DES SERVICES — PRIORITÉS ET COUVERTURE DE SUPERVISION</t>
  </si>
  <si>
    <t xml:space="preserve">Modèle réutilisable. Lignes issues de l'export Kapptivate repérées par « NOUVEAU » (colonne J, fond vert). MaxIt n'apparaît pas ici : voir l'onglet dédié « MaxIt (canal alternatif) ». Cellules jaunes = à compléter.</t>
  </si>
  <si>
    <t xml:space="preserve">Outil(s) de supervision</t>
  </si>
  <si>
    <t xml:space="preserve">Origine</t>
  </si>
  <si>
    <t xml:space="preserve">Postpaid Voix</t>
  </si>
  <si>
    <t xml:space="preserve">Oui</t>
  </si>
  <si>
    <t xml:space="preserve">628414773 / 628414762 / 628414707 / 628414704 / 623755594 / 623755751 / 623755766 / 623755856 / 623755714 / 0033326867239</t>
  </si>
  <si>
    <t xml:space="preserve">Le numéro 0033326867239 est un numéro international (France) — à confirmer : sonde d'appel entrant ?</t>
  </si>
  <si>
    <t xml:space="preserve">Catalogue initial</t>
  </si>
  <si>
    <t xml:space="preserve">Prepaid Voix</t>
  </si>
  <si>
    <t xml:space="preserve">Non</t>
  </si>
  <si>
    <t xml:space="preserve">ALERTE : service P1 sans supervision.</t>
  </si>
  <si>
    <t xml:space="preserve">Data Mobile</t>
  </si>
  <si>
    <t xml:space="preserve">OTARIE / Nagios</t>
  </si>
  <si>
    <t xml:space="preserve">Supervision réseau (sans SIM de test dédiée).</t>
  </si>
  <si>
    <t xml:space="preserve">Data Mobile Roaming</t>
  </si>
  <si>
    <t xml:space="preserve">SMS Postpaid</t>
  </si>
  <si>
    <t xml:space="preserve">623756095 / 623756112</t>
  </si>
  <si>
    <t xml:space="preserve">SMS Prepaid</t>
  </si>
  <si>
    <t xml:space="preserve">SMS Roaming</t>
  </si>
  <si>
    <t xml:space="preserve">Registration 2G / 3G</t>
  </si>
  <si>
    <t xml:space="preserve">628414773 / 628414762 / 628414707 / 623755856 / 623755751 / 623755566 / 629694225 / 623755714 / 628414704</t>
  </si>
  <si>
    <t xml:space="preserve">PRIORITÉ À RENSEIGNER (absente du tableau source).</t>
  </si>
  <si>
    <t xml:space="preserve">Consultation 5 dernières transactions Retailer</t>
  </si>
  <si>
    <t xml:space="preserve">627898106</t>
  </si>
  <si>
    <t xml:space="preserve">Achat de pass pour soi</t>
  </si>
  <si>
    <t xml:space="preserve">627898103</t>
  </si>
  <si>
    <t xml:space="preserve">Achat de crédit pour tiers</t>
  </si>
  <si>
    <t xml:space="preserve">Achat de pass pour tiers</t>
  </si>
  <si>
    <t xml:space="preserve">627898102</t>
  </si>
  <si>
    <t xml:space="preserve">C2C Distributeur</t>
  </si>
  <si>
    <t xml:space="preserve">C2C Marchand</t>
  </si>
  <si>
    <t xml:space="preserve">627898100</t>
  </si>
  <si>
    <t xml:space="preserve">Cash IN Distributeur</t>
  </si>
  <si>
    <t xml:space="preserve">Cash IN Marchand</t>
  </si>
  <si>
    <t xml:space="preserve">627898104</t>
  </si>
  <si>
    <t xml:space="preserve">Cash OUT</t>
  </si>
  <si>
    <t xml:space="preserve">Changement code secret</t>
  </si>
  <si>
    <t xml:space="preserve">627898105</t>
  </si>
  <si>
    <t xml:space="preserve">Consultation 10 dernières transactions OM</t>
  </si>
  <si>
    <t xml:space="preserve">Consultation 5 dernières transactions Marchand</t>
  </si>
  <si>
    <t xml:space="preserve">P2P avec frais</t>
  </si>
  <si>
    <t xml:space="preserve">P2P sans frais</t>
  </si>
  <si>
    <t xml:space="preserve">P2PNS (TNO)</t>
  </si>
  <si>
    <t xml:space="preserve">Paiement Marchand</t>
  </si>
  <si>
    <t xml:space="preserve">627898099</t>
  </si>
  <si>
    <t xml:space="preserve">Recharge (achat de crédit via OM)</t>
  </si>
  <si>
    <t xml:space="preserve">627898101</t>
  </si>
  <si>
    <t xml:space="preserve">Consultation solde Client</t>
  </si>
  <si>
    <t xml:space="preserve">Consultation solde Distributeur</t>
  </si>
  <si>
    <t xml:space="preserve">Top up Distributeur</t>
  </si>
  <si>
    <t xml:space="preserve">Kapptivate / Daset</t>
  </si>
  <si>
    <t xml:space="preserve">627898105 / 627885943</t>
  </si>
  <si>
    <t xml:space="preserve">Validation transaction OM</t>
  </si>
  <si>
    <t xml:space="preserve">627898105 / 627886202</t>
  </si>
  <si>
    <t xml:space="preserve">Consultation solde Marchand</t>
  </si>
  <si>
    <t xml:space="preserve">Consultation solde Retailer (PDV)</t>
  </si>
  <si>
    <t xml:space="preserve">Orange Énergie</t>
  </si>
  <si>
    <t xml:space="preserve">SIM de test à renseigner.</t>
  </si>
  <si>
    <t xml:space="preserve">Permis</t>
  </si>
  <si>
    <t xml:space="preserve">Finadev</t>
  </si>
  <si>
    <t xml:space="preserve">Internet Illimity</t>
  </si>
  <si>
    <t xml:space="preserve">629651153</t>
  </si>
  <si>
    <t xml:space="preserve">CMA-CGM</t>
  </si>
  <si>
    <t xml:space="preserve">CRG (crédit rural)</t>
  </si>
  <si>
    <t xml:space="preserve">Consultation frais de retrait</t>
  </si>
  <si>
    <t xml:space="preserve">Déblocage compte</t>
  </si>
  <si>
    <t xml:space="preserve">EDG</t>
  </si>
  <si>
    <t xml:space="preserve">Guinée Games</t>
  </si>
  <si>
    <t xml:space="preserve">Identification compte</t>
  </si>
  <si>
    <t xml:space="preserve">Lafarge Client</t>
  </si>
  <si>
    <t xml:space="preserve">Lafarge Marchand</t>
  </si>
  <si>
    <t xml:space="preserve">Lanala Assurance</t>
  </si>
  <si>
    <t xml:space="preserve">LightBox Africa</t>
  </si>
  <si>
    <t xml:space="preserve">MSC-GUI</t>
  </si>
  <si>
    <t xml:space="preserve">Maersk</t>
  </si>
  <si>
    <t xml:space="preserve">MedLog</t>
  </si>
  <si>
    <t xml:space="preserve">NSIA Assurance</t>
  </si>
  <si>
    <t xml:space="preserve">PayCard</t>
  </si>
  <si>
    <t xml:space="preserve">SEG</t>
  </si>
  <si>
    <t xml:space="preserve">StarTimes</t>
  </si>
  <si>
    <t xml:space="preserve">UBIPHARM Client</t>
  </si>
  <si>
    <t xml:space="preserve">UBIPHARM Marchand</t>
  </si>
  <si>
    <t xml:space="preserve">YellowBet</t>
  </si>
  <si>
    <t xml:space="preserve">VDC</t>
  </si>
  <si>
    <t xml:space="preserve">Doublon du tableau source (P3 et P2) fusionné en une ligne — priorité retenue : P2.</t>
  </si>
  <si>
    <t xml:space="preserve">Self annulation</t>
  </si>
  <si>
    <t xml:space="preserve">Sunu Assurances</t>
  </si>
  <si>
    <t xml:space="preserve">Self identification</t>
  </si>
  <si>
    <t xml:space="preserve">Facture Orange</t>
  </si>
  <si>
    <t xml:space="preserve">Conakry Terminal</t>
  </si>
  <si>
    <t xml:space="preserve">Partenaire OM</t>
  </si>
  <si>
    <t xml:space="preserve">ogn-web-1</t>
  </si>
  <si>
    <t xml:space="preserve">Supervision via sonde web (pas de SIM).</t>
  </si>
  <si>
    <t xml:space="preserve">BIG</t>
  </si>
  <si>
    <t xml:space="preserve">Canal+</t>
  </si>
  <si>
    <t xml:space="preserve">627898102 / 627885943</t>
  </si>
  <si>
    <t xml:space="preserve">Coffina</t>
  </si>
  <si>
    <t xml:space="preserve">Kapptivate / ELK</t>
  </si>
  <si>
    <t xml:space="preserve">Easy TV</t>
  </si>
  <si>
    <t xml:space="preserve">Ecobank</t>
  </si>
  <si>
    <t xml:space="preserve">FBNBank</t>
  </si>
  <si>
    <t xml:space="preserve">IRT corridor OFR</t>
  </si>
  <si>
    <t xml:space="preserve">IRT World Remit</t>
  </si>
  <si>
    <t xml:space="preserve">IRT Thunes</t>
  </si>
  <si>
    <t xml:space="preserve">IRT MFS Africa</t>
  </si>
  <si>
    <t xml:space="preserve">Orthographe source : « MSF Africa » — à confirmer (MFS Africa ?).</t>
  </si>
  <si>
    <t xml:space="preserve">OraBank</t>
  </si>
  <si>
    <t xml:space="preserve">OM App Pro</t>
  </si>
  <si>
    <t xml:space="preserve">R9DN107V3MJ</t>
  </si>
  <si>
    <t xml:space="preserve">Supervision via terminal mobile (identifiant device, pas un MSISDN).</t>
  </si>
  <si>
    <t xml:space="preserve">OM App Africa</t>
  </si>
  <si>
    <t xml:space="preserve">R58R33LREQW</t>
  </si>
  <si>
    <t xml:space="preserve">UBA</t>
  </si>
  <si>
    <t xml:space="preserve">VistaBank</t>
  </si>
  <si>
    <t xml:space="preserve">AccessBank</t>
  </si>
  <si>
    <t xml:space="preserve">WebPayment</t>
  </si>
  <si>
    <t xml:space="preserve">API B2B BNB</t>
  </si>
  <si>
    <t xml:space="preserve">API B2B Cash Minute</t>
  </si>
  <si>
    <t xml:space="preserve">API B2B Wely Wely</t>
  </si>
  <si>
    <t xml:space="preserve">Recharge C2C</t>
  </si>
  <si>
    <t xml:space="preserve">629720008</t>
  </si>
  <si>
    <t xml:space="preserve">Recharge C2S</t>
  </si>
  <si>
    <t xml:space="preserve">629720009</t>
  </si>
  <si>
    <t xml:space="preserve">Recharge P2P</t>
  </si>
  <si>
    <t xml:space="preserve">Supervision plateforme (sans SIM de test).</t>
  </si>
  <si>
    <t xml:space="preserve">Recharge IAH</t>
  </si>
  <si>
    <t xml:space="preserve">RMS Zebra</t>
  </si>
  <si>
    <t xml:space="preserve">Achat pass</t>
  </si>
  <si>
    <t xml:space="preserve">629651153 / 623755960 / 628065334</t>
  </si>
  <si>
    <t xml:space="preserve"> [Reclassé depuis « Autres SVA » vers « SVA USSD » — correspondance Kapptivate : « Achat Pass » (100%).</t>
  </si>
  <si>
    <t xml:space="preserve">Achat SMS</t>
  </si>
  <si>
    <t xml:space="preserve"> [Reclassé depuis « Autres SVA » vers « SVA USSD » — correspondance Kapptivate : « Achat SMS » (100%).</t>
  </si>
  <si>
    <t xml:space="preserve">Achat pass tiers</t>
  </si>
  <si>
    <t xml:space="preserve"> [Reclassé depuis « Autres SVA » vers « SVA USSD » — correspondance Kapptivate : « Achat de Pass pour Tiers » (100%).</t>
  </si>
  <si>
    <t xml:space="preserve">E-recharge via BaySIM</t>
  </si>
  <si>
    <t xml:space="preserve">SMS API (Paddock)</t>
  </si>
  <si>
    <t xml:space="preserve">627885943 / 627886202</t>
  </si>
  <si>
    <t xml:space="preserve"> [Reclassé depuis « Autres SVA » vers « SVA SMS » — correspondance Kapptivate : « Paddock SMS » (95%).</t>
  </si>
  <si>
    <t xml:space="preserve">SMSPRO (Pack Smart Pro)</t>
  </si>
  <si>
    <t xml:space="preserve">Orange &amp; Moi (web et app mobile)</t>
  </si>
  <si>
    <t xml:space="preserve">621869301 / 621866902</t>
  </si>
  <si>
    <t xml:space="preserve">Bonus Incoming Call</t>
  </si>
  <si>
    <t xml:space="preserve">621870736</t>
  </si>
  <si>
    <t xml:space="preserve"> [Reclassé depuis « Autres SVA » vers « SVA USSD » — correspondance Kapptivate : « Bonus Incoming Call (BIC) » (97%).</t>
  </si>
  <si>
    <t xml:space="preserve">Call Shine</t>
  </si>
  <si>
    <t xml:space="preserve">621870736 / 623755960 / 628065334</t>
  </si>
  <si>
    <t xml:space="preserve"> [Reclassé depuis « Autres SVA » vers « SVA USSD » — correspondance Kapptivate : « Call Shine » (100%).</t>
  </si>
  <si>
    <t xml:space="preserve">Consultation solde</t>
  </si>
  <si>
    <t xml:space="preserve">621870658 / 623755960 / 628065334 / 623756041</t>
  </si>
  <si>
    <t xml:space="preserve"> [Reclassé depuis « Autres SVA » vers « SVA USSD » — correspondance Kapptivate : « Consultation Solde » (100%).</t>
  </si>
  <si>
    <t xml:space="preserve">E-Shop</t>
  </si>
  <si>
    <t xml:space="preserve">FFC (Football Fans Club)</t>
  </si>
  <si>
    <t xml:space="preserve">629720008 / 623755960 / 628065334</t>
  </si>
  <si>
    <t xml:space="preserve">Forfait Choco</t>
  </si>
  <si>
    <t xml:space="preserve"> [Reclassé depuis « Autres SVA » vers « SVA USSD » — correspondance Kapptivate : « Consultation Forfait Choco » (97%).</t>
  </si>
  <si>
    <t xml:space="preserve">Forfait Swagg</t>
  </si>
  <si>
    <t xml:space="preserve">621869243</t>
  </si>
  <si>
    <t xml:space="preserve"> [Reclassé depuis « Autres SVA » vers « SVA USSD » — correspondance Kapptivate : « Forfait Swag » (97%).</t>
  </si>
  <si>
    <t xml:space="preserve">Fun Voice</t>
  </si>
  <si>
    <t xml:space="preserve"> [Reclassé depuis « Autres SVA » vers « SVA USSD » — correspondance Kapptivate : « Fun Voice » (100%).</t>
  </si>
  <si>
    <t xml:space="preserve">Funtones</t>
  </si>
  <si>
    <t xml:space="preserve"> [Reclassé depuis « Autres SVA » vers « SVA USSD » — correspondance Kapptivate : « Funtones » (100%).</t>
  </si>
  <si>
    <t xml:space="preserve">Orange Celebrity</t>
  </si>
  <si>
    <t xml:space="preserve"> [Reclassé depuis « Autres SVA » vers « SVA USSD » — correspondance Kapptivate : « Orange Celebrite » (94%).</t>
  </si>
  <si>
    <t xml:space="preserve">Paie pour Moi (M4P)</t>
  </si>
  <si>
    <t xml:space="preserve">629720009 / 623756112 / 623756041</t>
  </si>
  <si>
    <t xml:space="preserve">Portail Magic</t>
  </si>
  <si>
    <t xml:space="preserve">621870736 / 623755960 / 628065334 / 628065322</t>
  </si>
  <si>
    <t xml:space="preserve"> [Reclassé depuis « Autres SVA » vers « SVA USSD » — correspondance Kapptivate : « Portail Magic » (100%).</t>
  </si>
  <si>
    <t xml:space="preserve">Report Avantage</t>
  </si>
  <si>
    <t xml:space="preserve">629720008 / 627886202 / 627885943</t>
  </si>
  <si>
    <t xml:space="preserve"> [Reclassé depuis « Autres SVA » vers « SVA USSD » — correspondance Kapptivate : « Report Avantage » (100%).</t>
  </si>
  <si>
    <t xml:space="preserve">Récupération code de rechargement</t>
  </si>
  <si>
    <t xml:space="preserve"> [Reclassé depuis « Autres SVA » vers « SVA USSD » — correspondance Kapptivate : « Récupération code de rechargement » (100%).</t>
  </si>
  <si>
    <t xml:space="preserve">Consultation profil 4G SIM / téléphone</t>
  </si>
  <si>
    <t xml:space="preserve"> [Reclassé depuis « Autres SVA » vers « SVA USSD » — correspondance Kapptivate : « Profil 4G » (97%).</t>
  </si>
  <si>
    <t xml:space="preserve">SOS Crédit</t>
  </si>
  <si>
    <t xml:space="preserve">621870658 / 623756112 / 623756041</t>
  </si>
  <si>
    <t xml:space="preserve">Tarif roaming</t>
  </si>
  <si>
    <t xml:space="preserve"> [Reclassé depuis « Autres SVA » vers « SVA USSD » — correspondance Kapptivate : « Tarif roaming » (100%).</t>
  </si>
  <si>
    <t xml:space="preserve">Transfert DATA</t>
  </si>
  <si>
    <t xml:space="preserve">621870658</t>
  </si>
  <si>
    <t xml:space="preserve"> [Reclassé depuis « Autres SVA » vers « SVA USSD » — correspondance Kapptivate : « Tr DATA » (67%).</t>
  </si>
  <si>
    <t xml:space="preserve">VMS activation / désactivation</t>
  </si>
  <si>
    <t xml:space="preserve"> [Reclassé depuis « Autres SVA » vers « SVA USSD » — correspondance Kapptivate : « VMS (Activation) » (97%).</t>
  </si>
  <si>
    <t xml:space="preserve">Zone localisation roaming</t>
  </si>
  <si>
    <t xml:space="preserve"> [Reclassé depuis « Autres SVA » vers « SVA USSD » — correspondance Kapptivate : « Zone localisation roaming » (100%).</t>
  </si>
  <si>
    <t xml:space="preserve">Consultation pass internet</t>
  </si>
  <si>
    <t xml:space="preserve"> [Reclassé depuis « Autres SVA » vers « SVA USSD » — correspondance Kapptivate : « Consultation pass internet » (100%).</t>
  </si>
  <si>
    <t xml:space="preserve">Friend and Family</t>
  </si>
  <si>
    <t xml:space="preserve">623755960 / 628065334</t>
  </si>
  <si>
    <t xml:space="preserve">Consultation numéro</t>
  </si>
  <si>
    <t xml:space="preserve"> [Reclassé depuis « Autres SVA » vers « SVA USSD » — correspondance Kapptivate : « Consultation Numéro » (100%).</t>
  </si>
  <si>
    <t xml:space="preserve">Consultation SMS</t>
  </si>
  <si>
    <t xml:space="preserve"> [Reclassé depuis « Autres SVA » vers « SVA USSD » — correspondance Kapptivate : « Consultation SMS » (100%).</t>
  </si>
  <si>
    <t xml:space="preserve">Mobile TV</t>
  </si>
  <si>
    <t xml:space="preserve">623756095 / 623756041</t>
  </si>
  <si>
    <t xml:space="preserve"> [Reclassé depuis « Autres SVA » vers « SVA Data » — correspondance Kapptivate : « Mobile Academy » (61%).</t>
  </si>
  <si>
    <t xml:space="preserve">Site web Orange</t>
  </si>
  <si>
    <t xml:space="preserve">621866902 / 621868086 / 621865693 / 621866595 / 621869798 / 621869301 / 621870517 / 627307247 / 621868045 / 621869479 / 621868974 / 621867924 / 621867909 / 621869648 / 621865895 / 621866337 / 621865854 / 621869436 / 627886202 / 627885943 / 927754140 / 623756095 / 623756041</t>
  </si>
  <si>
    <t xml:space="preserve">Le numéro 927754140 ne suit pas le plan de numérotation mobile (préfixe 6) — à vérifier.</t>
  </si>
  <si>
    <t xml:space="preserve">SimBackup (sauvegarde répertoire)</t>
  </si>
  <si>
    <t xml:space="preserve"> [Reclassé depuis « Autres SVA » vers « SVA SMS » — correspondance Kapptivate : « SIMBackup » (97%).</t>
  </si>
  <si>
    <t xml:space="preserve">Google RCS</t>
  </si>
  <si>
    <t xml:space="preserve">Playweez</t>
  </si>
  <si>
    <t xml:space="preserve">621868143 / 621865943 / 621870522 / 621868032</t>
  </si>
  <si>
    <t xml:space="preserve"> [Reclassé depuis « Autres SVA » vers « SVA Data » — correspondance Kapptivate : « PLAYWEEZ 1 » (97%).</t>
  </si>
  <si>
    <t xml:space="preserve">Playciné</t>
  </si>
  <si>
    <t xml:space="preserve"> [Reclassé depuis « Autres SVA » vers « SVA Data » — correspondance Kapptivate : « PLAYCINE 1 » (97%).</t>
  </si>
  <si>
    <t xml:space="preserve">Molotov</t>
  </si>
  <si>
    <t xml:space="preserve">Orange Jeux</t>
  </si>
  <si>
    <t xml:space="preserve">YouScribe</t>
  </si>
  <si>
    <t xml:space="preserve">621868143 / 621868943 / 621870532 / 621868032</t>
  </si>
  <si>
    <t xml:space="preserve">Écart à vérifier : 621868943 et 621870532 vs 621865943 et 621870522 pour Playweez / Playciné. [Reclassé depuis « Autres SVA » vers « SVA Data » — correspondance Kapptivate : « YOUSCRIBE 1 » (97%).</t>
  </si>
  <si>
    <t xml:space="preserve">DSTK (eSMS)</t>
  </si>
  <si>
    <t xml:space="preserve">Bonus Program (IRIS)</t>
  </si>
  <si>
    <t xml:space="preserve">DL</t>
  </si>
  <si>
    <t xml:space="preserve">Sonde technique fusionnée depuis l'export Kapptivate (catégories source : Data 3G, Data 4G) — testée sur : 4G/3G. Les variantes « 3G | DL » et/ou « 4G | DL » représentent un seul et même service, pas deux.</t>
  </si>
  <si>
    <t xml:space="preserve">NOUVEAU — Kapptivate</t>
  </si>
  <si>
    <t xml:space="preserve">HTTP daset</t>
  </si>
  <si>
    <t xml:space="preserve">Sonde technique fusionnée depuis l'export Kapptivate (catégories source : Data 3G, Data 4G) — testée sur : 4G/3G. Les variantes « 3G | HTTP daset » et/ou « 4G | HTTP daset » représentent un seul et même service, pas deux.</t>
  </si>
  <si>
    <t xml:space="preserve">HTTP google</t>
  </si>
  <si>
    <t xml:space="preserve">Sonde technique fusionnée depuis l'export Kapptivate (catégories source : Data 3G, Data 4G) — testée sur : 4G/3G. Les variantes « 3G | HTTP google » et/ou « 4G | HTTP google » représentent un seul et même service, pas deux.</t>
  </si>
  <si>
    <t xml:space="preserve">LATENCY</t>
  </si>
  <si>
    <t xml:space="preserve">Sonde technique fusionnée depuis l'export Kapptivate (catégories source : Data 3G, Data 4G) — testée sur : 4G/3G. Les variantes « 3G | LATENCY » et/ou « 4G | LATENCY » représentent un seul et même service, pas deux.</t>
  </si>
  <si>
    <t xml:space="preserve">TRACEROUTE kapptivate</t>
  </si>
  <si>
    <t xml:space="preserve">Sonde technique fusionnée depuis l'export Kapptivate (catégories source : Data 3G, Data 4G) — testée sur : 4G/3G. Les variantes « 3G | TRACEROUTE kapptivate » et/ou « 4G | TRACEROUTE kapptivate » représentent un seul et même service, pas deux.</t>
  </si>
  <si>
    <t xml:space="preserve">UL</t>
  </si>
  <si>
    <t xml:space="preserve">Sonde technique fusionnée depuis l'export Kapptivate (catégories source : Data 3G, Data 4G) — testée sur : 4G/3G. Les variantes « 3G | UL » et/ou « 4G | UL » représentent un seul et même service, pas deux.</t>
  </si>
  <si>
    <t xml:space="preserve">DNS Lookup</t>
  </si>
  <si>
    <t xml:space="preserve">Sonde technique fusionnée depuis l'export Kapptivate (catégories source : Data 4G) — testée sur : 4G. Les variantes « 3G | DNS Lookup » et/ou « 4G | DNS Lookup » représentent un seul et même service, pas deux.</t>
  </si>
  <si>
    <t xml:space="preserve">FACEBOOK</t>
  </si>
  <si>
    <t xml:space="preserve">Sonde technique fusionnée depuis l'export Kapptivate (catégories source : Data Social Network) — testée sur : 4G/3G. Les variantes « 3G | FACEBOOK » et/ou « 4G | FACEBOOK » représentent un seul et même service, pas deux.</t>
  </si>
  <si>
    <t xml:space="preserve">INSTAGRAM</t>
  </si>
  <si>
    <t xml:space="preserve">Sonde technique fusionnée depuis l'export Kapptivate (catégories source : Data Social Network) — testée sur : 4G/3G. Les variantes « 3G | INSTAGRAM » et/ou « 4G | INSTAGRAM » représentent un seul et même service, pas deux.</t>
  </si>
  <si>
    <t xml:space="preserve">MESSENGER</t>
  </si>
  <si>
    <t xml:space="preserve">Sonde technique fusionnée depuis l'export Kapptivate (catégories source : Data Social Network) — testée sur : 4G/3G. Les variantes « 3G | MESSENGER » et/ou « 4G | MESSENGER » représentent un seul et même service, pas deux.</t>
  </si>
  <si>
    <t xml:space="preserve">TIK TOK</t>
  </si>
  <si>
    <t xml:space="preserve">Sonde technique fusionnée depuis l'export Kapptivate (catégories source : Data Social Network) — testée sur : 4G/3G. Les variantes « 3G | TIK TOK » et/ou « 4G | TIK TOK » représentent un seul et même service, pas deux.</t>
  </si>
  <si>
    <t xml:space="preserve">TWITTER</t>
  </si>
  <si>
    <t xml:space="preserve">Sonde technique fusionnée depuis l'export Kapptivate (catégories source : Data Social Network) — testée sur : 4G/3G. Les variantes « 3G | TWITTER » et/ou « 4G | TWITTER » représentent un seul et même service, pas deux.</t>
  </si>
  <si>
    <t xml:space="preserve">WHATSAPP</t>
  </si>
  <si>
    <t xml:space="preserve">Sonde technique fusionnée depuis l'export Kapptivate (catégories source : Data Social Network) — testée sur : 4G/3G. Les variantes « 3G | WHATSAPP » et/ou « 4G | WHATSAPP » représentent un seul et même service, pas deux.</t>
  </si>
  <si>
    <t xml:space="preserve">Digitalvirgo_subscription</t>
  </si>
  <si>
    <t xml:space="preserve">Sonde technique fusionnée depuis l'export Kapptivate (catégories source : SVA Data) — testée sur : 4G/3G. Les variantes « 3G | Digitalvirgo_subscription » et/ou « 4G | Digitalvirgo_subscription » représentent un seul et même service, pas deux.</t>
  </si>
  <si>
    <t xml:space="preserve">Appel CMO to OFFNET Cellcom</t>
  </si>
  <si>
    <t xml:space="preserve">Identifié via l'export Kapptivate (catégorie source : Audit Facturation). Aucune correspondance fiable dans le catalogue existant (meilleure approximation : « Changement code secret », 37%, jugée insuffisante).</t>
  </si>
  <si>
    <t xml:space="preserve">Appel CMO to OnNet ORANGE</t>
  </si>
  <si>
    <t xml:space="preserve">Identifié via l'export Kapptivate (catégorie source : Audit Facturation). Aucune correspondance fiable dans le catalogue existant (meilleure approximation : « Site web Orange », 50%, jugée insuffisante).</t>
  </si>
  <si>
    <t xml:space="preserve">Appel Postpaid plafonné to OffNet Cellcom</t>
  </si>
  <si>
    <t xml:space="preserve">Identifié via l'export Kapptivate (catégorie source : Audit Facturation). Aucune correspondance fiable dans le catalogue existant (meilleure approximation : « Postpaid Voix », 48%, jugée insuffisante).</t>
  </si>
  <si>
    <t xml:space="preserve">Appel Postpaid plafonné to CMO</t>
  </si>
  <si>
    <t xml:space="preserve">Appel Prépayé to OffNet Cellcom</t>
  </si>
  <si>
    <t xml:space="preserve">Identifié via l'export Kapptivate (catégorie source : Audit Facturation). Aucune correspondance fiable dans le catalogue existant (meilleure approximation : « Internet Illimity », 38%, jugée insuffisante).</t>
  </si>
  <si>
    <t xml:space="preserve">Appel Prépayé to OnNet ORANGE</t>
  </si>
  <si>
    <t xml:space="preserve">Identifié via l'export Kapptivate (catégorie source : Audit Facturation). Aucune correspondance fiable dans le catalogue existant (meilleure approximation : « Orange Énergie », 48%, jugée insuffisante).</t>
  </si>
  <si>
    <t xml:space="preserve">Appel SWAGG to SWAGG</t>
  </si>
  <si>
    <t xml:space="preserve">Identifié via l'export Kapptivate (catégorie source : Audit Facturation). Aucune correspondance fiable dans le catalogue existant (meilleure approximation : « Forfait Swagg », 48%, jugée insuffisante).</t>
  </si>
  <si>
    <t xml:space="preserve">Appel Swagg to OffNet Cellcom</t>
  </si>
  <si>
    <t xml:space="preserve">Appel Swagg to OnNet ORANGE</t>
  </si>
  <si>
    <t xml:space="preserve">Identifié via l'export Kapptivate (catégorie source : Audit Facturation). Aucune correspondance fiable dans le catalogue existant (meilleure approximation : « Site web Orange », 52%, jugée insuffisante).</t>
  </si>
  <si>
    <t xml:space="preserve">Djingo (Messenger)</t>
  </si>
  <si>
    <t xml:space="preserve">Identifié via l'export Kapptivate (catégorie source : Data Social Network). Aucune correspondance fiable dans le catalogue existant (meilleure approximation : « Guinée Games », 43%, jugée insuffisante).</t>
  </si>
  <si>
    <t xml:space="preserve">Facebook APP</t>
  </si>
  <si>
    <t xml:space="preserve">Identifié via l'export Kapptivate (catégorie source : Data Social Network). Aucune correspondance fiable dans le catalogue existant (meilleure approximation : « OM App Pro », 48%, jugée insuffisante).</t>
  </si>
  <si>
    <t xml:space="preserve">Smartly</t>
  </si>
  <si>
    <t xml:space="preserve">Identifié via l'export Kapptivate (catégorie source : Data Social Network). Aucune correspondance fiable dans le catalogue existant (meilleure approximation : « StarTimes », 50%, jugée insuffisante).</t>
  </si>
  <si>
    <t xml:space="preserve">Downdetector cellular FACEBOOK</t>
  </si>
  <si>
    <t xml:space="preserve">Identifié via l'export Kapptivate (catégorie source : Downdetector). Aucune correspondance fiable dans le catalogue existant (meilleure approximation : « Orange Celebrity », 35%, jugée insuffisante).</t>
  </si>
  <si>
    <t xml:space="preserve">Downdetector cellular WHATSAPP</t>
  </si>
  <si>
    <t xml:space="preserve">Downdetector cellular MESSENGER</t>
  </si>
  <si>
    <t xml:space="preserve">Identifié via l'export Kapptivate (catégorie source : Downdetector). Aucune correspondance fiable dans le catalogue existant (meilleure approximation : « Guinée Games », 37%, jugée insuffisante).</t>
  </si>
  <si>
    <t xml:space="preserve">Downdetector cellular TELEGRAM</t>
  </si>
  <si>
    <t xml:space="preserve">Identifié via l'export Kapptivate (catégorie source : Downdetector). Aucune correspondance fiable dans le catalogue existant (meilleure approximation : « Achat de crédit pour tiers », 39%, jugée insuffisante).</t>
  </si>
  <si>
    <t xml:space="preserve">Downdetector cellular TIKTOK</t>
  </si>
  <si>
    <t xml:space="preserve">Identifié via l'export Kapptivate (catégorie source : Downdetector). Aucune correspondance fiable dans le catalogue existant (meilleure approximation : « Self annulation », 37%, jugée insuffisante).</t>
  </si>
  <si>
    <t xml:space="preserve">Downdetector cellular INSTAGRAM</t>
  </si>
  <si>
    <t xml:space="preserve">Identifié via l'export Kapptivate (catégorie source : Downdetector). Aucune correspondance fiable dans le catalogue existant (meilleure approximation : « Report Avantage », 39%, jugée insuffisante).</t>
  </si>
  <si>
    <t xml:space="preserve">Downdetector cellular X(TWITTER)</t>
  </si>
  <si>
    <t xml:space="preserve">Identifié via l'export Kapptivate (catégorie source : Downdetector). Aucune correspondance fiable dans le catalogue existant (meilleure approximation : « Consultation pass internet », 39%, jugée insuffisante).</t>
  </si>
  <si>
    <t xml:space="preserve">AGED DocuWare</t>
  </si>
  <si>
    <t xml:space="preserve">Identifié via l'export Kapptivate (catégorie source : Nimba Plus). Aucune correspondance fiable dans le catalogue existant (meilleure approximation : « Changement code secret », 46%, jugée insuffisante).</t>
  </si>
  <si>
    <t xml:space="preserve">Nimba Plus_API_Authentification</t>
  </si>
  <si>
    <t xml:space="preserve">Identifié via l'export Kapptivate (catégorie source : Nimba Plus). Aucune correspondance fiable dans le catalogue existant (meilleure approximation : « Self identification », 52%, jugée insuffisante).</t>
  </si>
  <si>
    <t xml:space="preserve">Nimba Plus_API_INVENTORY MANAGEMENT</t>
  </si>
  <si>
    <t xml:space="preserve">Identifié via l'export Kapptivate (catégorie source : Nimba Plus). Aucune correspondance fiable dans le catalogue existant (meilleure approximation : « NSIA Assurance », 37%, jugée insuffisante).</t>
  </si>
  <si>
    <t xml:space="preserve">Nimba Plus_API_SETTINGS</t>
  </si>
  <si>
    <t xml:space="preserve">Identifié via l'export Kapptivate (catégorie source : Nimba Plus). Aucune correspondance fiable dans le catalogue existant (meilleure approximation : « Achat de pass pour tiers », 43%, jugée insuffisante).</t>
  </si>
  <si>
    <t xml:space="preserve">Nimba Plus_API_TELCO</t>
  </si>
  <si>
    <t xml:space="preserve">Identifié via l'export Kapptivate (catégorie source : Nimba Plus). Aucune correspondance fiable dans le catalogue existant (meilleure approximation : « SMS API (Paddock) », 46%, jugée insuffisante).</t>
  </si>
  <si>
    <t xml:space="preserve">Nimba Plus_API_Transaction OM</t>
  </si>
  <si>
    <t xml:space="preserve">Identifié via l'export Kapptivate (catégorie source : Nimba Plus). Aucune correspondance fiable dans le catalogue existant (meilleure approximation : « Validation transaction OM », 59%, jugée insuffisante).</t>
  </si>
  <si>
    <t xml:space="preserve">Nimba Plus_E2E_03 Depôt</t>
  </si>
  <si>
    <t xml:space="preserve">Identifié via l'export Kapptivate (catégorie source : Nimba Plus). Aucune correspondance fiable dans le catalogue existant (meilleure approximation : « SimBackup (sauvegarde répertoire) », 44%, jugée insuffisante).</t>
  </si>
  <si>
    <t xml:space="preserve">Nimba Plus_E2E_04 Retrait</t>
  </si>
  <si>
    <t xml:space="preserve">Identifié via l'export Kapptivate (catégorie source : Nimba Plus). Aucune correspondance fiable dans le catalogue existant (meilleure approximation : « Consultation frais de retrait », 52%, jugée insuffisante).</t>
  </si>
  <si>
    <t xml:space="preserve">Nimba Plus_Generateur Code QR_Offre Djoula</t>
  </si>
  <si>
    <t xml:space="preserve">Identifié via l'export Kapptivate (catégorie source : Nimba Plus). Aucune correspondance fiable dans le catalogue existant (meilleure approximation : « IRT corridor OFR », 41%, jugée insuffisante).</t>
  </si>
  <si>
    <t xml:space="preserve">Nimba Plus_Generateur Contrat_Offre Djoula</t>
  </si>
  <si>
    <t xml:space="preserve">Identifié via l'export Kapptivate (catégorie source : Nimba Plus). Aucune correspondance fiable dans le catalogue existant (meilleure approximation : « IRT corridor OFR », 38%, jugée insuffisante).</t>
  </si>
  <si>
    <t xml:space="preserve">Global Reporting</t>
  </si>
  <si>
    <t xml:space="preserve">Identifié via l'export Kapptivate (catégorie source : OM Addons Group). Aucune correspondance fiable dans le catalogue existant (meilleure approximation : « Report Avantage », 52%, jugée insuffisante). Priorité définie par défaut à P1 (service Orange Money / SVA USSD / SVA SMS / PICO — règle indiquée par l'utilisateur pour les priorités non précisées).</t>
  </si>
  <si>
    <t xml:space="preserve">Portail Distributeurs Orange Money</t>
  </si>
  <si>
    <t xml:space="preserve">Identifié via l'export Kapptivate (catégorie source : OM Addons Group). Aucune correspondance fiable dans le catalogue existant (meilleure approximation : « Cash IN Distributeur », 56%, jugée insuffisante). Priorité définie par défaut à P1 (service Orange Money / SVA USSD / SVA SMS / PICO — règle indiquée par l'utilisateur pour les priorités non précisées).</t>
  </si>
  <si>
    <t xml:space="preserve">Tango Pubic BO LAN - Login</t>
  </si>
  <si>
    <t xml:space="preserve">Identifié via l'export Kapptivate (catégorie source : OM Addons Group). Aucune correspondance fiable dans le catalogue existant (meilleure approximation : « API B2B Cash Minute », 47%, jugée insuffisante). Priorité définie par défaut à P1 (service Orange Money / SVA USSD / SVA SMS / PICO — règle indiquée par l'utilisateur pour les priorités non précisées).</t>
  </si>
  <si>
    <t xml:space="preserve">APIOM</t>
  </si>
  <si>
    <t xml:space="preserve">Identifié via l'export Kapptivate (catégorie source : OM Addons Locaux). Aucune correspondance fiable dans le catalogue existant (meilleure approximation : « Partenaire OM », 44%, jugée insuffisante). Priorité définie par défaut à P1 (service Orange Money / SVA USSD / SVA SMS / PICO — règle indiquée par l'utilisateur pour les priorités non précisées).</t>
  </si>
  <si>
    <t xml:space="preserve">CFU</t>
  </si>
  <si>
    <t xml:space="preserve">Identifié via l'export Kapptivate (catégorie source : OM Addons Locaux). Aucune correspondance fiable dans le catalogue existant (meilleure approximation : « MSC-GUI », 40%, jugée insuffisante). Priorité définie par défaut à P1 (service Orange Money / SVA USSD / SVA SMS / PICO — règle indiquée par l'utilisateur pour les priorités non précisées).</t>
  </si>
  <si>
    <t xml:space="preserve">Douane REDEVANCE</t>
  </si>
  <si>
    <t xml:space="preserve">Identifié via l'export Kapptivate (catégorie source : OM Addons Locaux). Aucune correspondance fiable dans le catalogue existant (meilleure approximation : « Lanala Assurance », 50%, jugée insuffisante). Priorité définie par défaut à P1 (service Orange Money / SVA USSD / SVA SMS / PICO — règle indiquée par l'utilisateur pour les priorités non précisées).</t>
  </si>
  <si>
    <t xml:space="preserve">Droits Routiers</t>
  </si>
  <si>
    <t xml:space="preserve">Identifié via l'export Kapptivate (catégorie source : OM Addons Locaux). Aucune correspondance fiable dans le catalogue existant (meilleure approximation : « Achat de crédit pour tiers », 59%, jugée insuffisante). Priorité définie par défaut à P1 (service Orange Money / SVA USSD / SVA SMS / PICO — règle indiquée par l'utilisateur pour les priorités non précisées).</t>
  </si>
  <si>
    <t xml:space="preserve">Minigrid_Paiement</t>
  </si>
  <si>
    <t xml:space="preserve">Identifié via l'export Kapptivate (catégorie source : OM Addons Locaux). Aucune correspondance fiable dans le catalogue existant (meilleure approximation : « Paiement Marchand », 48%, jugée insuffisante). Priorité définie par défaut à P1 (service Orange Money / SVA USSD / SVA SMS / PICO — règle indiquée par l'utilisateur pour les priorités non précisées).</t>
  </si>
  <si>
    <t xml:space="preserve">Minigrid_Souscription</t>
  </si>
  <si>
    <t xml:space="preserve">Identifié via l'export Kapptivate (catégorie source : OM Addons Locaux). Aucune correspondance fiable dans le catalogue existant (meilleure approximation : « SOS Crédit », 45%, jugée insuffisante). Priorité définie par défaut à P1 (service Orange Money / SVA USSD / SVA SMS / PICO — règle indiquée par l'utilisateur pour les priorités non précisées).</t>
  </si>
  <si>
    <t xml:space="preserve">Mouna</t>
  </si>
  <si>
    <t xml:space="preserve">Identifié via l'export Kapptivate (catégorie source : OM Addons Locaux). Aucune correspondance fiable dans le catalogue existant (meilleure approximation : « Coffina », 50%, jugée insuffisante). Priorité définie par défaut à P1 (service Orange Money / SVA USSD / SVA SMS / PICO — règle indiquée par l'utilisateur pour les priorités non précisées).</t>
  </si>
  <si>
    <t xml:space="preserve">Ouverture de compte OM</t>
  </si>
  <si>
    <t xml:space="preserve">Identifié via l'export Kapptivate (catégorie source : OM Addons Locaux). Aucune correspondance fiable dans le catalogue existant (meilleure approximation : « Déblocage compte », 48%, jugée insuffisante). Priorité définie par défaut à P1 (service Orange Money / SVA USSD / SVA SMS / PICO — règle indiquée par l'utilisateur pour les priorités non précisées).</t>
  </si>
  <si>
    <t xml:space="preserve">School Fees USSD</t>
  </si>
  <si>
    <t xml:space="preserve">Identifié via l'export Kapptivate (catégorie source : OM Addons Locaux). Aucune correspondance fiable dans le catalogue existant (meilleure approximation : « FFC (Football Fans Club) », 47%, jugée insuffisante). Priorité définie par défaut à P1 (service Orange Money / SVA USSD / SVA SMS / PICO — règle indiquée par l'utilisateur pour les priorités non précisées).</t>
  </si>
  <si>
    <t xml:space="preserve">UGAR-ACTIVA</t>
  </si>
  <si>
    <t xml:space="preserve">Identifié via l'export Kapptivate (catégorie source : OM Addons Locaux). Aucune correspondance fiable dans le catalogue existant (meilleure approximation : « UBIPHARM Marchand », 50%, jugée insuffisante). Priorité définie par défaut à P1 (service Orange Money / SVA USSD / SVA SMS / PICO — règle indiquée par l'utilisateur pour les priorités non précisées).</t>
  </si>
  <si>
    <t xml:space="preserve">AFG BANK B2W</t>
  </si>
  <si>
    <t xml:space="preserve">Identifié via l'export Kapptivate (catégorie source : OM Bank to Wallet). Aucune correspondance fiable dans le catalogue existant (meilleure approximation : « FBNBank », 53%, jugée insuffisante). Priorité définie par défaut à P1 (service Orange Money / SVA USSD / SVA SMS / PICO — règle indiquée par l'utilisateur pour les priorités non précisées).</t>
  </si>
  <si>
    <t xml:space="preserve">AFG BANK W2B</t>
  </si>
  <si>
    <t xml:space="preserve">BCI-B2W</t>
  </si>
  <si>
    <t xml:space="preserve">Identifié via l'export Kapptivate (catégorie source : OM Bank to Wallet). Aucune correspondance fiable dans le catalogue existant (meilleure approximation : « API B2B BNB », 44%, jugée insuffisante). Priorité définie par défaut à P1 (service Orange Money / SVA USSD / SVA SMS / PICO — règle indiquée par l'utilisateur pour les priorités non précisées).</t>
  </si>
  <si>
    <t xml:space="preserve">BCI-W2B</t>
  </si>
  <si>
    <t xml:space="preserve">BNG-B2W</t>
  </si>
  <si>
    <t xml:space="preserve">Identifié via l'export Kapptivate (catégorie source : OM Bank to Wallet). Aucune correspondance fiable dans le catalogue existant (meilleure approximation : « FBNBank », 43%, jugée insuffisante). Priorité définie par défaut à P1 (service Orange Money / SVA USSD / SVA SMS / PICO — règle indiquée par l'utilisateur pour les priorités non précisées).</t>
  </si>
  <si>
    <t xml:space="preserve">BNG-W2B</t>
  </si>
  <si>
    <t xml:space="preserve">BNIG - B2W</t>
  </si>
  <si>
    <t xml:space="preserve">Identifié via l'export Kapptivate (catégorie source : OM Bank to Wallet). Aucune correspondance fiable dans le catalogue existant (meilleure approximation : « BIG », 55%, jugée insuffisante). Priorité définie par défaut à P1 (service Orange Money / SVA USSD / SVA SMS / PICO — règle indiquée par l'utilisateur pour les priorités non précisées).</t>
  </si>
  <si>
    <t xml:space="preserve">BNIG - W2B</t>
  </si>
  <si>
    <t xml:space="preserve">BSIC - B2W</t>
  </si>
  <si>
    <t xml:space="preserve">Identifié via l'export Kapptivate (catégorie source : OM Bank to Wallet). Aucune correspondance fiable dans le catalogue existant (meilleure approximation : « API B2B BNB », 42%, jugée insuffisante). Priorité définie par défaut à P1 (service Orange Money / SVA USSD / SVA SMS / PICO — règle indiquée par l'utilisateur pour les priorités non précisées).</t>
  </si>
  <si>
    <t xml:space="preserve">BSIC - W2B</t>
  </si>
  <si>
    <t xml:space="preserve">Identifié via l'export Kapptivate (catégorie source : OM Bank to Wallet). Aucune correspondance fiable dans le catalogue existant (meilleure approximation : « Site web Orange », 43%, jugée insuffisante). Priorité définie par défaut à P1 (service Orange Money / SVA USSD / SVA SMS / PICO — règle indiquée par l'utilisateur pour les priorités non précisées).</t>
  </si>
  <si>
    <t xml:space="preserve">CORIS Bank - B2W</t>
  </si>
  <si>
    <t xml:space="preserve">Identifié via l'export Kapptivate (catégorie source : OM Bank to Wallet). Aucune correspondance fiable dans le catalogue existant (meilleure approximation : « Ecobank », 57%, jugée insuffisante). Priorité définie par défaut à P1 (service Orange Money / SVA USSD / SVA SMS / PICO — règle indiquée par l'utilisateur pour les priorités non précisées).</t>
  </si>
  <si>
    <t xml:space="preserve">CORIS Bank - W2B</t>
  </si>
  <si>
    <t xml:space="preserve">DIAMABANK-B2W</t>
  </si>
  <si>
    <t xml:space="preserve">Identifié via l'export Kapptivate (catégorie source : OM Bank to Wallet). Aucune correspondance fiable dans le catalogue existant (meilleure approximation : « VistaBank », 55%, jugée insuffisante). Priorité définie par défaut à P1 (service Orange Money / SVA USSD / SVA SMS / PICO — règle indiquée par l'utilisateur pour les priorités non précisées).</t>
  </si>
  <si>
    <t xml:space="preserve">DIAMABANK-W2B</t>
  </si>
  <si>
    <t xml:space="preserve">NSIA - B2W</t>
  </si>
  <si>
    <t xml:space="preserve">Identifié via l'export Kapptivate (catégorie source : OM Bank to Wallet). Aucune correspondance fiable dans le catalogue existant (meilleure approximation : « NSIA Assurance », 48%, jugée insuffisante). Priorité définie par défaut à P1 (service Orange Money / SVA USSD / SVA SMS / PICO — règle indiquée par l'utilisateur pour les priorités non précisées).</t>
  </si>
  <si>
    <t xml:space="preserve">NSIA - W2B</t>
  </si>
  <si>
    <t xml:space="preserve">SFCI-B2W</t>
  </si>
  <si>
    <t xml:space="preserve">Identifié via l'export Kapptivate (catégorie source : OM Bank to Wallet). Aucune correspondance fiable dans le catalogue existant (meilleure approximation : « YouScribe », 47%, jugée insuffisante). Priorité définie par défaut à P1 (service Orange Money / SVA USSD / SVA SMS / PICO — règle indiquée par l'utilisateur pour les priorités non précisées).</t>
  </si>
  <si>
    <t xml:space="preserve">SFCI-W2B</t>
  </si>
  <si>
    <t xml:space="preserve">SKYBank - B2W</t>
  </si>
  <si>
    <t xml:space="preserve">Identifié via l'export Kapptivate (catégorie source : OM Bank to Wallet). Aucune correspondance fiable dans le catalogue existant (meilleure approximation : « VistaBank », 50%, jugée insuffisante). Priorité définie par défaut à P1 (service Orange Money / SVA USSD / SVA SMS / PICO — règle indiquée par l'utilisateur pour les priorités non précisées).</t>
  </si>
  <si>
    <t xml:space="preserve">SKYBank - W2B</t>
  </si>
  <si>
    <t xml:space="preserve">VistaGUI</t>
  </si>
  <si>
    <t xml:space="preserve">Identifié via l'export Kapptivate (catégorie source : OM Bank to Wallet). Aucune correspondance fiable dans le catalogue existant (meilleure approximation : « VistaBank », 59%, jugée insuffisante). Priorité définie par défaut à P1 (service Orange Money / SVA USSD / SVA SMS / PICO — règle indiquée par l'utilisateur pour les priorités non précisées).</t>
  </si>
  <si>
    <t xml:space="preserve">VistaGUI - B2W</t>
  </si>
  <si>
    <t xml:space="preserve">Identifié via l'export Kapptivate (catégorie source : OM Bank to Wallet). Aucune correspondance fiable dans le catalogue existant (meilleure approximation : « VistaBank », 57%, jugée insuffisante). Priorité définie par défaut à P1 (service Orange Money / SVA USSD / SVA SMS / PICO — règle indiquée par l'utilisateur pour les priorités non précisées).</t>
  </si>
  <si>
    <t xml:space="preserve">VistaGUI - W2B</t>
  </si>
  <si>
    <t xml:space="preserve">Dual Wallet</t>
  </si>
  <si>
    <t xml:space="preserve">Identifié via l'export Kapptivate (catégorie source : OM Core). Aucune correspondance fiable dans le catalogue existant (meilleure approximation : « Data Mobile », 45%, jugée insuffisante). Priorité définie par défaut à P1 (service Orange Money / SVA USSD / SVA SMS / PICO — règle indiquée par l'utilisateur pour les priorités non précisées).</t>
  </si>
  <si>
    <t xml:space="preserve">CRM(KIBARU)</t>
  </si>
  <si>
    <t xml:space="preserve">Identifié via l'export Kapptivate (catégorie source : OUTILS SI). Aucune correspondance fiable dans le catalogue existant (meilleure approximation : « RMS Zebra », 53%, jugée insuffisante).</t>
  </si>
  <si>
    <t xml:space="preserve">Distrinet_Commande</t>
  </si>
  <si>
    <t xml:space="preserve">Identifié via l'export Kapptivate (catégorie source : OUTILS SI). Aucune correspondance fiable dans le catalogue existant (meilleure approximation : « Identification compte », 51%, jugée insuffisante).</t>
  </si>
  <si>
    <t xml:space="preserve">Distrinet_Encaissement</t>
  </si>
  <si>
    <t xml:space="preserve">Identifié via l'export Kapptivate (catégorie source : OUTILS SI). Aucune correspondance fiable dans le catalogue existant (meilleure approximation : « Internet Illimity », 51%, jugée insuffisante).</t>
  </si>
  <si>
    <t xml:space="preserve">M-Agri Healthcheck</t>
  </si>
  <si>
    <t xml:space="preserve">Identifié via l'export Kapptivate (catégorie source : OUTILS SI). Aucune correspondance fiable dans le catalogue existant (meilleure approximation : « SMS API (Paddock) », 48%, jugée insuffisante).</t>
  </si>
  <si>
    <t xml:space="preserve">OPS_Health Check</t>
  </si>
  <si>
    <t xml:space="preserve">Identifié via l'export Kapptivate (catégorie source : OUTILS SI). Aucune correspondance fiable dans le catalogue existant (meilleure approximation : « Forfait Choco », 48%, jugée insuffisante).</t>
  </si>
  <si>
    <t xml:space="preserve">RIGHT Q</t>
  </si>
  <si>
    <t xml:space="preserve">Identifié via l'export Kapptivate (catégorie source : OUTILS SI). Aucune correspondance fiable dans le catalogue existant (meilleure approximation : « LightBox Africa », 45%, jugée insuffisante).</t>
  </si>
  <si>
    <t xml:space="preserve">Pico - Check KYC</t>
  </si>
  <si>
    <t xml:space="preserve">Identifié via l'export Kapptivate (catégorie source : PICO). Aucune correspondance fiable dans le catalogue existant (meilleure approximation : « API B2B Wely Wely », 39%, jugée insuffisante). Priorité définie par défaut à P1 (service Orange Money / SVA USSD / SVA SMS / PICO — règle indiquée par l'utilisateur pour les priorités non précisées).</t>
  </si>
  <si>
    <t xml:space="preserve">Pico - Credit Tik Tak</t>
  </si>
  <si>
    <t xml:space="preserve">Identifié via l'export Kapptivate (catégorie source : PICO). Aucune correspondance fiable dans le catalogue existant (meilleure approximation : « CRG (crédit rural) », 57%, jugée insuffisante). Priorité définie par défaut à P1 (service Orange Money / SVA USSD / SVA SMS / PICO — règle indiquée par l'utilisateur pour les priorités non précisées).</t>
  </si>
  <si>
    <t xml:space="preserve">Pico - Epargne</t>
  </si>
  <si>
    <t xml:space="preserve">Identifié via l'export Kapptivate (catégorie source : PICO). Aucune correspondance fiable dans le catalogue existant (meilleure approximation : « Orange Énergie », 46%, jugée insuffisante). Priorité définie par défaut à P1 (service Orange Money / SVA USSD / SVA SMS / PICO — règle indiquée par l'utilisateur pour les priorités non précisées).</t>
  </si>
  <si>
    <t xml:space="preserve">Pico - Inscription USSD</t>
  </si>
  <si>
    <t xml:space="preserve">Identifié via l'export Kapptivate (catégorie source : PICO). Aucune correspondance fiable dans le catalogue existant (meilleure approximation : « Consultation SMS », 59%, jugée insuffisante). Priorité définie par défaut à P1 (service Orange Money / SVA USSD / SVA SMS / PICO — règle indiquée par l'utilisateur pour les priorités non précisées).</t>
  </si>
  <si>
    <t xml:space="preserve">Pico - Mini releve</t>
  </si>
  <si>
    <t xml:space="preserve">Identifié via l'export Kapptivate (catégorie source : PICO). Aucune correspondance fiable dans le catalogue existant (meilleure approximation : « API B2B Cash Minute », 46%, jugée insuffisante). Priorité définie par défaut à P1 (service Orange Money / SVA USSD / SVA SMS / PICO — règle indiquée par l'utilisateur pour les priorités non précisées).</t>
  </si>
  <si>
    <t xml:space="preserve">Pico - Scoring tool</t>
  </si>
  <si>
    <t xml:space="preserve">Identifié via l'export Kapptivate (catégorie source : PICO). Aucune correspondance fiable dans le catalogue existant (meilleure approximation : « IRT corridor OFR », 48%, jugée insuffisante). Priorité définie par défaut à P1 (service Orange Money / SVA USSD / SVA SMS / PICO — règle indiquée par l'utilisateur pour les priorités non précisées).</t>
  </si>
  <si>
    <t xml:space="preserve">Pico - Transfert Vers OM</t>
  </si>
  <si>
    <t xml:space="preserve">Identifié via l'export Kapptivate (catégorie source : PICO). Aucune correspondance fiable dans le catalogue existant (meilleure approximation : « Transfert DATA », 56%, jugée insuffisante). Priorité définie par défaut à P1 (service Orange Money / SVA USSD / SVA SMS / PICO — règle indiquée par l'utilisateur pour les priorités non précisées).</t>
  </si>
  <si>
    <t xml:space="preserve">API OTAP</t>
  </si>
  <si>
    <t xml:space="preserve">Identifié via l'export Kapptivate (catégorie source : SVA Data). Aucune correspondance fiable dans le catalogue existant (meilleure approximation : « Cash OUT », 50%, jugée insuffisante).</t>
  </si>
  <si>
    <t xml:space="preserve">Afreekaplay</t>
  </si>
  <si>
    <t xml:space="preserve">Identifié via l'export Kapptivate (catégorie source : SVA Data). Aucune correspondance fiable dans le catalogue existant (meilleure approximation : « Lafarge Marchand », 44%, jugée insuffisante).</t>
  </si>
  <si>
    <t xml:space="preserve">MAGOE.FR</t>
  </si>
  <si>
    <t xml:space="preserve">Identifié via l'export Kapptivate (catégorie source : SVA Data). Aucune correspondance fiable dans le catalogue existant (meilleure approximation : « Maersk », 57%, jugée insuffisante).</t>
  </si>
  <si>
    <t xml:space="preserve">VEEDZ TV Accueil</t>
  </si>
  <si>
    <t xml:space="preserve">Identifié via l'export Kapptivate (catégorie source : SVA Data). Aucune correspondance fiable dans le catalogue existant (meilleure approximation : « Easy TV », 48%, jugée insuffisante).</t>
  </si>
  <si>
    <t xml:space="preserve">VEEDZ TV Inscription</t>
  </si>
  <si>
    <t xml:space="preserve">Wido</t>
  </si>
  <si>
    <t xml:space="preserve">Identifié via l'export Kapptivate (catégorie source : SVA Data). Aucune correspondance fiable dans le catalogue existant (meilleure approximation : « MedLog », 40%, jugée insuffisante).</t>
  </si>
  <si>
    <t xml:space="preserve">CMS</t>
  </si>
  <si>
    <t xml:space="preserve">Identifié via l'export Kapptivate (catégorie source : SVA SMS). Aucune correspondance fiable dans le catalogue existant (meilleure approximation : « Achat SMS », 50%, jugée insuffisante). Priorité définie par défaut à P1 (service Orange Money / SVA USSD / SVA SMS / PICO — règle indiquée par l'utilisateur pour les priorités non précisées).</t>
  </si>
  <si>
    <t xml:space="preserve">Envoi SMS</t>
  </si>
  <si>
    <t xml:space="preserve">Identifié via l'export Kapptivate (catégorie source : SVA SMS). Aucune correspondance fiable dans le catalogue existant (meilleure approximation : « Consultation SMS », 48%, jugée insuffisante). Priorité définie par défaut à P1 (service Orange Money / SVA USSD / SVA SMS / PICO — règle indiquée par l'utilisateur pour les priorités non précisées).</t>
  </si>
  <si>
    <t xml:space="preserve">Paddock Paiement</t>
  </si>
  <si>
    <t xml:space="preserve">Identifié via l'export Kapptivate (catégorie source : SVA SMS). Aucune correspondance fiable dans le catalogue existant (meilleure approximation : « Paiement Marchand », 48%, jugée insuffisante). Priorité définie par défaut à P1 (service Orange Money / SVA USSD / SVA SMS / PICO — règle indiquée par l'utilisateur pour les priorités non précisées).</t>
  </si>
  <si>
    <t xml:space="preserve">Menu OM</t>
  </si>
  <si>
    <t xml:space="preserve">Identifié via l'export Kapptivate (catégorie source : SVA USSD). Aucune correspondance fiable dans le catalogue existant (meilleure approximation : « Partenaire OM », 50%, jugée insuffisante). Priorité définie par défaut à P1 (service Orange Money / SVA USSD / SVA SMS / PICO — règle indiquée par l'utilisateur pour les priorités non précisées).</t>
  </si>
  <si>
    <t xml:space="preserve">P4M</t>
  </si>
  <si>
    <t xml:space="preserve">Identifié via l'export Kapptivate (catégorie source : SVA USSD). Aucune correspondance fiable dans le catalogue existant (meilleure approximation : « Permis », 44%, jugée insuffisante). Priorité définie par défaut à P1 (service Orange Money / SVA USSD / SVA SMS / PICO — règle indiquée par l'utilisateur pour les priorités non précisées).</t>
  </si>
  <si>
    <t xml:space="preserve">USSD B2B CRG</t>
  </si>
  <si>
    <t xml:space="preserve">Identifié via l'export Kapptivate (catégorie source : SVA USSD). Aucune correspondance fiable dans le catalogue existant (meilleure approximation : « SOS Crédit », 45%, jugée insuffisante). Priorité définie par défaut à P1 (service Orange Money / SVA USSD / SVA SMS / PICO — règle indiquée par l'utilisateur pour les priorités non précisées).</t>
  </si>
  <si>
    <t xml:space="preserve">USSD B2B Lonagui</t>
  </si>
  <si>
    <t xml:space="preserve">Identifié via l'export Kapptivate (catégorie source : SVA USSD). Aucune correspondance fiable dans le catalogue existant (meilleure approximation : « Site web Orange », 45%, jugée insuffisante). Priorité définie par défaut à P1 (service Orange Money / SVA USSD / SVA SMS / PICO — règle indiquée par l'utilisateur pour les priorités non précisées).</t>
  </si>
  <si>
    <t xml:space="preserve">Vente Sims 777</t>
  </si>
  <si>
    <t xml:space="preserve">Identifié via l'export Kapptivate (catégorie source : SVA USSD). Aucune correspondance fiable dans le catalogue existant (meilleure approximation : « Achat SMS », 43%, jugée insuffisante). Priorité définie par défaut à P1 (service Orange Money / SVA USSD / SVA SMS / PICO — règle indiquée par l'utilisateur pour les priorités non précisées).</t>
  </si>
  <si>
    <t xml:space="preserve">Vérification Nombre Abonnement Telco</t>
  </si>
  <si>
    <t xml:space="preserve">Identifié via l'export Kapptivate (catégorie source : SVA USSD). Aucune correspondance fiable dans le catalogue existant (meilleure approximation : « Identification compte », 53%, jugée insuffisante). Priorité définie par défaut à P1 (service Orange Money / SVA USSD / SVA SMS / PICO — règle indiquée par l'utilisateur pour les priorités non précisées).</t>
  </si>
  <si>
    <t xml:space="preserve">Phone call 2G -&gt; VoLTE</t>
  </si>
  <si>
    <t xml:space="preserve">Identifié via l'export Kapptivate (catégorie source : VOIX). Aucune correspondance fiable dans le catalogue existant (meilleure approximation : « Call Shine », 48%, jugée insuffisante).</t>
  </si>
  <si>
    <t xml:space="preserve">Phone call 3G -&gt; VoLTE</t>
  </si>
  <si>
    <t xml:space="preserve">3G-3G - Master 613684443 - Slave1 612756202</t>
  </si>
  <si>
    <t xml:space="preserve">Identifié via l'export Kapptivate (catégorie source : VOIX). Aucune correspondance fiable dans le catalogue existant (meilleure approximation : « Registration 2G / 3G », 32%, jugée insuffisante).</t>
  </si>
  <si>
    <t xml:space="preserve">3G-3G - Master 613684443 - Slave2 613514278</t>
  </si>
  <si>
    <t xml:space="preserve">3G-3G - Slave1 612756202 - Master 613684443</t>
  </si>
  <si>
    <t xml:space="preserve">3G-3G - Slave2 613514278 - Master 613684443</t>
  </si>
  <si>
    <t xml:space="preserve">3G-3G - Slave1 612756202 - Slave2 613514278</t>
  </si>
  <si>
    <t xml:space="preserve">3G-3G - Slave2 613514278 - Slave1 612756202</t>
  </si>
  <si>
    <t xml:space="preserve">Phone call VoLTE</t>
  </si>
  <si>
    <t xml:space="preserve">Phone call VoLTE -&gt; 2G</t>
  </si>
  <si>
    <t xml:space="preserve">Phone call VoLTE -&gt; 3G</t>
  </si>
  <si>
    <t xml:space="preserve">VMS Vocal</t>
  </si>
  <si>
    <t xml:space="preserve">Identifié via l'export Kapptivate (catégorie source : VOIX). Aucune correspondance fiable dans le catalogue existant (meilleure approximation : « SMS Roaming », 50%, jugée insuffisante).</t>
  </si>
  <si>
    <t xml:space="preserve">GENESYS</t>
  </si>
  <si>
    <t xml:space="preserve">Identifié via l'export Kapptivate (catégorie source : VOIX NUMERO COURT). Aucune correspondance fiable dans le catalogue existant (meilleure approximation : « Easy TV », 43%, jugée insuffisante).</t>
  </si>
  <si>
    <t xml:space="preserve">Plateau GRAND PUBLIC</t>
  </si>
  <si>
    <t xml:space="preserve">Identifié via l'export Kapptivate (catégorie source : VOIX NUMERO COURT). Aucune correspondance fiable dans le catalogue existant (meilleure approximation : « Lafarge Marchand », 44%, jugée insuffisante).</t>
  </si>
  <si>
    <t xml:space="preserve">Plateau Orange Money</t>
  </si>
  <si>
    <t xml:space="preserve">Identifié via l'export Kapptivate (catégorie source : VOIX NUMERO COURT). Aucune correspondance fiable dans le catalogue existant (meilleure approximation : « Facture Orange », 59%, jugée insuffisante).</t>
  </si>
  <si>
    <t xml:space="preserve">PLATEAU B2B</t>
  </si>
  <si>
    <t xml:space="preserve">Identifié via l'export Kapptivate (catégorie source : VOIX NUMERO COURT). Aucune correspondance fiable dans le catalogue existant (meilleure approximation : « Partenaire OM », 50%, jugée insuffisante).</t>
  </si>
  <si>
    <t xml:space="preserve">Plateau Boutique en ligne</t>
  </si>
  <si>
    <t xml:space="preserve">Identifié via l'export Kapptivate (catégorie source : VOIX NUMERO COURT). Aucune correspondance fiable dans le catalogue existant (meilleure approximation : « Data Mobile Roaming », 45%, jugée insuffisante).</t>
  </si>
  <si>
    <t xml:space="preserve">QOMMOZEN Coverage</t>
  </si>
  <si>
    <t xml:space="preserve">Identifié via l'export Kapptivate (catégorie source : ZZ_Management). Aucune correspondance fiable dans le catalogue existant (meilleure approximation : « Changement code secret », 46%, jugée insuffisante).</t>
  </si>
  <si>
    <t xml:space="preserve">Catégorie(s) Kapptivate</t>
  </si>
  <si>
    <t xml:space="preserve">Service Kapptivate</t>
  </si>
  <si>
    <t xml:space="preserve">Technologie(s)</t>
  </si>
  <si>
    <t xml:space="preserve">Occurrences export</t>
  </si>
  <si>
    <t xml:space="preserve">Domaine — meilleure correspondance</t>
  </si>
  <si>
    <t xml:space="preserve">Service — meilleure correspondance</t>
  </si>
  <si>
    <t xml:space="preserve">Score de similarité</t>
  </si>
  <si>
    <t xml:space="preserve">Nouveau — ajouté au catalogue</t>
  </si>
  <si>
    <t xml:space="preserve">Data 3G, Data 4G</t>
  </si>
  <si>
    <t xml:space="preserve">4G/3G</t>
  </si>
  <si>
    <t xml:space="preserve">Nimba Plus, OUTILS SI</t>
  </si>
  <si>
    <t xml:space="preserve">4G</t>
  </si>
  <si>
    <t xml:space="preserve">Downdetector, Downdetector</t>
  </si>
  <si>
    <t xml:space="preserve">Recharge (Achat de credit pour soi OM)</t>
  </si>
  <si>
    <t xml:space="preserve">BNIG</t>
  </si>
  <si>
    <t xml:space="preserve">APIB2B CASH IN</t>
  </si>
  <si>
    <t xml:space="preserve">CallShine_SMS</t>
  </si>
  <si>
    <t xml:space="preserve">WhatsApp Mobile</t>
  </si>
  <si>
    <t xml:space="preserve">Self Reinitialisation</t>
  </si>
  <si>
    <t xml:space="preserve">Data 4G, SVA Data</t>
  </si>
  <si>
    <t xml:space="preserve">HTTP Identification Client</t>
  </si>
  <si>
    <t xml:space="preserve">Consul 10 dern trans OM</t>
  </si>
  <si>
    <t xml:space="preserve">Remboursement Marchand</t>
  </si>
  <si>
    <t xml:space="preserve">Ya!GAZ Marchand</t>
  </si>
  <si>
    <t xml:space="preserve">CORIS Bank</t>
  </si>
  <si>
    <t xml:space="preserve">Cofina - B2W</t>
  </si>
  <si>
    <t xml:space="preserve">Cofina - W2B</t>
  </si>
  <si>
    <t xml:space="preserve">Consul 5 dern Trans March</t>
  </si>
  <si>
    <t xml:space="preserve">AFG BANK</t>
  </si>
  <si>
    <t xml:space="preserve">BCI</t>
  </si>
  <si>
    <t xml:space="preserve">BNB transfert</t>
  </si>
  <si>
    <t xml:space="preserve">BNG</t>
  </si>
  <si>
    <t xml:space="preserve">DIAMABANK</t>
  </si>
  <si>
    <t xml:space="preserve">Instagram Mobile</t>
  </si>
  <si>
    <t xml:space="preserve">Tr DATA</t>
  </si>
  <si>
    <t xml:space="preserve">HTTP Jobs Orange</t>
  </si>
  <si>
    <t xml:space="preserve">TWITTER Mobile</t>
  </si>
  <si>
    <t xml:space="preserve">2G-3G - Master 613684443 - Slave1 612756202</t>
  </si>
  <si>
    <t xml:space="preserve">2G-3G - Master 613684443 - Slave2 613514278</t>
  </si>
  <si>
    <t xml:space="preserve">Self CASH IN</t>
  </si>
  <si>
    <t xml:space="preserve">Contravention GN</t>
  </si>
  <si>
    <t xml:space="preserve">HTTP orange-guinee</t>
  </si>
  <si>
    <t xml:space="preserve">SKYBank</t>
  </si>
  <si>
    <t xml:space="preserve">Web payment end to end</t>
  </si>
  <si>
    <t xml:space="preserve">YOUTUBE</t>
  </si>
  <si>
    <t xml:space="preserve">M-Agri</t>
  </si>
  <si>
    <t xml:space="preserve">Mobile Academy</t>
  </si>
  <si>
    <t xml:space="preserve">Verification Statut Carte</t>
  </si>
  <si>
    <t xml:space="preserve">Portail Islamique</t>
  </si>
  <si>
    <t xml:space="preserve">MaxIt-Achat pass pour soi Telco</t>
  </si>
  <si>
    <t xml:space="preserve">Canal alternatif (MaxIt)</t>
  </si>
  <si>
    <t xml:space="preserve">Maxit - Paiement Marchand</t>
  </si>
  <si>
    <t xml:space="preserve">Maxit-Achat pass pour soi OM</t>
  </si>
  <si>
    <t xml:space="preserve">Maxit-Forfait choco telco</t>
  </si>
  <si>
    <t xml:space="preserve">Maxit-Playcine</t>
  </si>
  <si>
    <t xml:space="preserve">Maxit-Playweez</t>
  </si>
  <si>
    <t xml:space="preserve">Maxit-Youscribe</t>
  </si>
  <si>
    <t xml:space="preserve">Maxit-achat pass pour tiers OM</t>
  </si>
  <si>
    <t xml:space="preserve">Maxit-forfait choco OM</t>
  </si>
  <si>
    <t xml:space="preserve">Maxit-OrangeJeux</t>
  </si>
  <si>
    <t xml:space="preserve">YMO Africa</t>
  </si>
  <si>
    <t xml:space="preserve">Maxit-Recharge credit fix OM</t>
  </si>
  <si>
    <t xml:space="preserve">Maxit-Transfert credit</t>
  </si>
  <si>
    <t xml:space="preserve">Maxit-Achat credit OM</t>
  </si>
  <si>
    <t xml:space="preserve">Maxit - Consult. Solde OM</t>
  </si>
  <si>
    <t xml:space="preserve">Maxit - Annulation Transation Client</t>
  </si>
  <si>
    <t xml:space="preserve">IRT OBF_ Max-it</t>
  </si>
  <si>
    <t xml:space="preserve">IRT OCI_Max-it</t>
  </si>
  <si>
    <t xml:space="preserve">Maxit - Transfert d'argent P2P</t>
  </si>
  <si>
    <t xml:space="preserve">Maxit-recharge credit fix telco</t>
  </si>
  <si>
    <t xml:space="preserve">Maxit - Consult. Solde Telco</t>
  </si>
  <si>
    <t xml:space="preserve">Maxit-SOS cerdit/Data</t>
  </si>
  <si>
    <t xml:space="preserve">Maxit-Pack sms OM</t>
  </si>
  <si>
    <t xml:space="preserve">IRT OML_Max-it</t>
  </si>
  <si>
    <t xml:space="preserve">Maxit-School Fees</t>
  </si>
  <si>
    <t xml:space="preserve">Pico-Inscription(Max-it )</t>
  </si>
  <si>
    <t xml:space="preserve">Maxit-Achat forfait box OM</t>
  </si>
  <si>
    <t xml:space="preserve">Maxit-Orange Illimité - Changer d'Offre</t>
  </si>
  <si>
    <t xml:space="preserve">Maxit orange illimite reconduire mon abonnement</t>
  </si>
  <si>
    <t xml:space="preserve">Maxit-depot d'argent</t>
  </si>
  <si>
    <t xml:space="preserve">Maxit-VeedzTV</t>
  </si>
  <si>
    <t xml:space="preserve">Maxit-Retrait d'argent</t>
  </si>
  <si>
    <t xml:space="preserve">Maxit-Full Univers - Without Authentification</t>
  </si>
  <si>
    <t xml:space="preserve">Maxit-Full Univers - With Auth</t>
  </si>
  <si>
    <t xml:space="preserve">Achat Pass</t>
  </si>
  <si>
    <t xml:space="preserve">Achat de Pass pour Tiers</t>
  </si>
  <si>
    <t xml:space="preserve">Achat de Pass pour Tiers OM</t>
  </si>
  <si>
    <t xml:space="preserve">Achat de Pass pour soi OM</t>
  </si>
  <si>
    <t xml:space="preserve">Achat de credit pour tiers OM</t>
  </si>
  <si>
    <t xml:space="preserve">Consultation Frais Retrait</t>
  </si>
  <si>
    <t xml:space="preserve">Consultation Numéro</t>
  </si>
  <si>
    <t xml:space="preserve">Consultation Solde</t>
  </si>
  <si>
    <t xml:space="preserve">MSC_GUI</t>
  </si>
  <si>
    <t xml:space="preserve">Orange Energie</t>
  </si>
  <si>
    <t xml:space="preserve">P2P Avec Frais</t>
  </si>
  <si>
    <t xml:space="preserve">SUNU Assurances</t>
  </si>
  <si>
    <t xml:space="preserve">Self Annulation</t>
  </si>
  <si>
    <t xml:space="preserve">Self Identification</t>
  </si>
  <si>
    <t xml:space="preserve">Validation Transaction OM</t>
  </si>
  <si>
    <t xml:space="preserve">ZEBRA-RMS</t>
  </si>
  <si>
    <t xml:space="preserve">5 dernières transactions Retailer</t>
  </si>
  <si>
    <t xml:space="preserve">APIB2B CASH OUT</t>
  </si>
  <si>
    <t xml:space="preserve">AccessBank-B2W</t>
  </si>
  <si>
    <t xml:space="preserve">AccessBank-W2B</t>
  </si>
  <si>
    <t xml:space="preserve">Achat Forfait Choco pour soi OM</t>
  </si>
  <si>
    <t xml:space="preserve">Achat Forfait Choco pour tiers OM</t>
  </si>
  <si>
    <t xml:space="preserve">BIG - B2W</t>
  </si>
  <si>
    <t xml:space="preserve">BIG - W2B</t>
  </si>
  <si>
    <t xml:space="preserve">Big Data Check MSISDN Frequent hbase</t>
  </si>
  <si>
    <t xml:space="preserve">Bonus Incoming Call (BIC)</t>
  </si>
  <si>
    <t xml:space="preserve">CRG</t>
  </si>
  <si>
    <t xml:space="preserve">Cash IN Distr</t>
  </si>
  <si>
    <t xml:space="preserve">Cash IN March</t>
  </si>
  <si>
    <t xml:space="preserve">Cash IN March webpayment</t>
  </si>
  <si>
    <t xml:space="preserve">Consultation Forfait Choco</t>
  </si>
  <si>
    <t xml:space="preserve">EDG Prepaid</t>
  </si>
  <si>
    <t xml:space="preserve">EcoBank-B2W</t>
  </si>
  <si>
    <t xml:space="preserve">EcoBank-W2B</t>
  </si>
  <si>
    <t xml:space="preserve">FBNBank - B2W</t>
  </si>
  <si>
    <t xml:space="preserve">FBNBank - W2B</t>
  </si>
  <si>
    <t xml:space="preserve">Facture Orange OM TEST</t>
  </si>
  <si>
    <t xml:space="preserve">Finadev - B2W</t>
  </si>
  <si>
    <t xml:space="preserve">Finadev - W2B</t>
  </si>
  <si>
    <t xml:space="preserve">Forfait Choco pour soi</t>
  </si>
  <si>
    <t xml:space="preserve">Forfait Choco pour tiers</t>
  </si>
  <si>
    <t xml:space="preserve">Forfait Swag</t>
  </si>
  <si>
    <t xml:space="preserve">Guinée GAMES TICKET</t>
  </si>
  <si>
    <t xml:space="preserve">NSIA</t>
  </si>
  <si>
    <t xml:space="preserve">Nimba Plus_E2E_01 Login &amp; Consultation Solde</t>
  </si>
  <si>
    <t xml:space="preserve">Nimba Plus_E2E_02 Identification Compte</t>
  </si>
  <si>
    <t xml:space="preserve">OraBank - B2W</t>
  </si>
  <si>
    <t xml:space="preserve">OraBank - W2B</t>
  </si>
  <si>
    <t xml:space="preserve">PLAYCINE 1</t>
  </si>
  <si>
    <t xml:space="preserve">PLAYCINE 2</t>
  </si>
  <si>
    <t xml:space="preserve">PLAYWEEZ 1</t>
  </si>
  <si>
    <t xml:space="preserve">PLAYWEEZ 2</t>
  </si>
  <si>
    <t xml:space="preserve">Permis de conduire</t>
  </si>
  <si>
    <t xml:space="preserve">Playweez Back Office</t>
  </si>
  <si>
    <t xml:space="preserve">Profil 4G</t>
  </si>
  <si>
    <t xml:space="preserve">SIMBackup</t>
  </si>
  <si>
    <t xml:space="preserve">Self Annulation PDV</t>
  </si>
  <si>
    <t xml:space="preserve">Solde Client</t>
  </si>
  <si>
    <t xml:space="preserve">Solde Distributeur</t>
  </si>
  <si>
    <t xml:space="preserve">Solde Marchand</t>
  </si>
  <si>
    <t xml:space="preserve">Solde Retailer (PDV)</t>
  </si>
  <si>
    <t xml:space="preserve">Top up distri</t>
  </si>
  <si>
    <t xml:space="preserve">UBA - B2W</t>
  </si>
  <si>
    <t xml:space="preserve">UBA - W2B</t>
  </si>
  <si>
    <t xml:space="preserve">USSD B2B AccessBank</t>
  </si>
  <si>
    <t xml:space="preserve">USSD B2B Ecobank Xpress</t>
  </si>
  <si>
    <t xml:space="preserve">USSD B2B FbnBank</t>
  </si>
  <si>
    <t xml:space="preserve">USSD PayCard</t>
  </si>
  <si>
    <t xml:space="preserve">VMS (Activation)</t>
  </si>
  <si>
    <t xml:space="preserve">VistaBank - B2W</t>
  </si>
  <si>
    <t xml:space="preserve">VistaBank - W2B</t>
  </si>
  <si>
    <t xml:space="preserve">YOUSCRIBE 1</t>
  </si>
  <si>
    <t xml:space="preserve">3G</t>
  </si>
  <si>
    <t xml:space="preserve">YOUSCRIBE 2</t>
  </si>
  <si>
    <t xml:space="preserve">Partenaires OM</t>
  </si>
  <si>
    <t xml:space="preserve">Identication Compte</t>
  </si>
  <si>
    <t xml:space="preserve">Orange Money App Pro- Login et Depot</t>
  </si>
  <si>
    <t xml:space="preserve">Orange Money App Pro- Login et Transfert</t>
  </si>
  <si>
    <t xml:space="preserve">Paddock SMS</t>
  </si>
  <si>
    <t xml:space="preserve">VMS (Désactivation)</t>
  </si>
  <si>
    <t xml:space="preserve">Orange Celebrite</t>
  </si>
  <si>
    <t xml:space="preserve">Cofina</t>
  </si>
  <si>
    <t xml:space="preserve">RECLASSEMENT DES SERVICES « AUTRES SVA »</t>
  </si>
  <si>
    <t xml:space="preserve">« Autres SVA » n'est pas un type de produit — les services qui correspondent clairement à une catégorie Kapptivate précise (SVA USSD, SVA SMS, SVA Data) ont été déplacés vers ce domaine. Seuil de reclassement automatique : 60% de similarité avec un service Kapptivate de la catégorie visée.</t>
  </si>
  <si>
    <t xml:space="preserve">Ancien domaine</t>
  </si>
  <si>
    <t xml:space="preserve">Nouveau domaine</t>
  </si>
  <si>
    <t xml:space="preserve">Correspondance Kapptivate</t>
  </si>
  <si>
    <t xml:space="preserve">Score</t>
  </si>
  <si>
    <t xml:space="preserve">MAXIT — CANAL ALTERNATIF, PAS UNE FAMILLE DE SERVICES</t>
  </si>
  <si>
    <t xml:space="preserve">MaxIt est une plateforme web donnant accès à des services déjà catalogués ailleurs (Orange Money, SVA...). Ces 34 entrées ne sont donc PAS ajoutées au catalogue comme nouveaux services. Cette liste sert à vérifier que chaque service accessible via MaxIt est bien couvert par ailleurs — colonne « À couvrir via MaxIt ? » à trancher.</t>
  </si>
  <si>
    <t xml:space="preserve">Service (libellé MaxIt)</t>
  </si>
  <si>
    <t xml:space="preserve">Correspondance jugée fiable</t>
  </si>
  <si>
    <t xml:space="preserve">À couvrir via MaxIt ?</t>
  </si>
  <si>
    <t xml:space="preserve">Commentaire</t>
  </si>
  <si>
    <t xml:space="preserve">SERVICES À VÉRIFIER MANUELLEMENT</t>
  </si>
  <si>
    <t xml:space="preserve">Score de similarité entre 60% et 89% (hors MaxIt, traité à part) : ressemblance repérée automatiquement mais pas assez fiable pour trancher seul.</t>
  </si>
  <si>
    <t xml:space="preserve">Domaine catalogue (approché)</t>
  </si>
  <si>
    <t xml:space="preserve">Service catalogue (approché)</t>
  </si>
  <si>
    <t xml:space="preserve">Décision</t>
  </si>
  <si>
    <t xml:space="preserve">DOUBLONS RÉSIDUELS DANS L'EXPORT KAPPTIVATE</t>
  </si>
  <si>
    <t xml:space="preserve">8 services apparaissent plusieurs fois dans le fichier source, hors sondes 3G/4G (déjà fusionnées automatiquement — voir Légende §2).</t>
  </si>
  <si>
    <t xml:space="preserve">Nb occurrences</t>
  </si>
  <si>
    <t xml:space="preserve">Catégorie(s) où il apparaît</t>
  </si>
  <si>
    <t xml:space="preserve">Type de doublon</t>
  </si>
  <si>
    <t xml:space="preserve">Downdetector / Downdetector</t>
  </si>
  <si>
    <t xml:space="preserve">Ligne répétée dans la même catégorie</t>
  </si>
  <si>
    <t xml:space="preserve">Nimba Plus / OUTILS SI</t>
  </si>
  <si>
    <t xml:space="preserve">Service listé dans plusieurs catégories</t>
  </si>
  <si>
    <t xml:space="preserve">POINTS D'ATTENTION ET ANOMALIES RELEVÉES</t>
  </si>
  <si>
    <t xml:space="preserve">Écarts constatés lors de la mise en forme du catalogue et de l'intégration de l'export Kapptivate.</t>
  </si>
  <si>
    <t xml:space="preserve">N°</t>
  </si>
  <si>
    <t xml:space="preserve">Type</t>
  </si>
  <si>
    <t xml:space="preserve">Service concerné</t>
  </si>
  <si>
    <t xml:space="preserve">Constat</t>
  </si>
  <si>
    <t xml:space="preserve">Décision / action</t>
  </si>
  <si>
    <t xml:space="preserve">Règle de conformité</t>
  </si>
  <si>
    <t xml:space="preserve">Autres SVA → SVA USSD/SMS/Data</t>
  </si>
  <si>
    <t xml:space="preserve">28 services reclassés depuis « Autres SVA » (qui n'est pas un type de produit) vers les vraies catégories Kapptivate SVA USSD / SVA SMS / SVA Data, sur preuve de correspondance ≥60%. Détail dans l'onglet « Reclassement SVA ».</t>
  </si>
  <si>
    <t xml:space="preserve">Traité</t>
  </si>
  <si>
    <t xml:space="preserve">À arbitrer</t>
  </si>
  <si>
    <t xml:space="preserve">12 services restant en « Autres SVA »</t>
  </si>
  <si>
    <t xml:space="preserve">Aucune correspondance Kapptivate suffisamment fiable (&lt;60%) pour les reclasser automatiquement : E-Shop, E-recharge via BaySIM, FFC (Football Fans Club), Friend and Family, Google RCS, Molotov, Orange &amp; Moi (web et app mobile), Orange Jeux, Paie pour Moi (M4P), SMSPRO (Pack Smart Pro), SOS Crédit, Site web Orange. À trancher manuellement si l'un d'eux relève en réalité d'une catégorie SVA précise.</t>
  </si>
  <si>
    <t xml:space="preserve">Couverture</t>
  </si>
  <si>
    <t xml:space="preserve">6 services P1 (version initiale)</t>
  </si>
  <si>
    <t xml:space="preserve">Prepaid Voix, AccessBank, API B2B BNB, API B2B Cash Minute, API B2B Wely Wely, Bonus Program (IRIS) : priorité critique, aucune supervision déclarée dans le document source initial.</t>
  </si>
  <si>
    <t xml:space="preserve">Bonne nouvelle à confirmer</t>
  </si>
  <si>
    <t xml:space="preserve">L'export Kapptivate contient des sondes « AccessBank-B2W » et « AccessBank-W2B » (≥90% de similarité avec « AccessBank »). Le service semble donc supervisé en réalité — à confirmer avant de retirer l'alerte P1.</t>
  </si>
  <si>
    <t xml:space="preserve">Doublon</t>
  </si>
  <si>
    <t xml:space="preserve">Présent deux fois dans le tableau source initial (P3 et P2). Fusionné, priorité retenue : P2.</t>
  </si>
  <si>
    <t xml:space="preserve">Traité — P2 retenue</t>
  </si>
  <si>
    <t xml:space="preserve">Sondes 3G/4G</t>
  </si>
  <si>
    <t xml:space="preserve">24 sondes « 3G | X » et « 4G | X » fusionnées en une seule ligne par service (même service, deux technologies), conformément à la précision fournie.</t>
  </si>
  <si>
    <t xml:space="preserve">MaxIt</t>
  </si>
  <si>
    <t xml:space="preserve">34 entrées « Maxit-… » exclues du catalogue comme nouveaux services : MaxIt est un canal web alternatif, pas une famille de services. Recensées dans l'onglet dédié pour vérification de couverture.</t>
  </si>
  <si>
    <t xml:space="preserve">Priorité par défaut P1</t>
  </si>
  <si>
    <t xml:space="preserve">53 nouveaux services Orange Money / SVA USSD / SVA SMS / PICO sans priorité définie mis à P1 par défaut, conformément à la règle fournie.</t>
  </si>
  <si>
    <t xml:space="preserve">Doublon export Kapptivate</t>
  </si>
  <si>
    <t xml:space="preserve">8 services</t>
  </si>
  <si>
    <t xml:space="preserve">Voir l'onglet « Doublons Kapptivate » (répétitions Downdetector, et un service rattaché à deux catégories).</t>
  </si>
  <si>
    <t xml:space="preserve">35 services</t>
  </si>
  <si>
    <t xml:space="preserve">Ressemblance 60-89% entre un service Kapptivate et un service du catalogue existant. Voir l'onglet « À vérifier ».</t>
  </si>
  <si>
    <t xml:space="preserve">Donnée manquante</t>
  </si>
  <si>
    <t xml:space="preserve">Aucune priorité renseignée dans le document source alors que le service est supervisé.</t>
  </si>
  <si>
    <t xml:space="preserve">Aucune priorité renseignée et aucune supervision déclarée.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</si>
</sst>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@"/>
    <numFmt numFmtId="168" formatCode="dd/mm/yyyy"/>
    <numFmt numFmtId="169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6"/>
      <color rgb="FF9C0006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9C5700"/>
      <name val="Arial"/>
      <family val="0"/>
      <charset val="1"/>
    </font>
    <font>
      <b val="true"/>
      <sz val="16"/>
      <color rgb="FF9C5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3"/>
      <color rgb="FF9C57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1E7B34"/>
      <name val="Arial"/>
      <family val="0"/>
      <charset val="1"/>
    </font>
    <font>
      <b val="true"/>
      <sz val="13"/>
      <color rgb="FF1E7B3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808080"/>
      <name val="Arial"/>
      <family val="0"/>
      <charset val="1"/>
    </font>
    <font>
      <b val="true"/>
      <sz val="9"/>
      <color rgb="FF1E7B34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5496"/>
        <bgColor rgb="FF1F4E78"/>
      </patternFill>
    </fill>
    <fill>
      <patternFill patternType="solid">
        <fgColor rgb="FFD9E2F3"/>
        <bgColor rgb="FFDDEBF7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F2F2F2"/>
        <bgColor rgb="FFF9F9F9"/>
      </patternFill>
    </fill>
    <fill>
      <patternFill patternType="solid">
        <fgColor rgb="FF1F3864"/>
        <bgColor rgb="FF1F4E78"/>
      </patternFill>
    </fill>
    <fill>
      <patternFill patternType="solid">
        <fgColor rgb="FFDDEBF7"/>
        <bgColor rgb="FFD9E2F3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2E549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7B34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B9C"/>
      <rgbColor rgb="FFD9E2F3"/>
      <rgbColor rgb="FFFCE4D6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339966"/>
      <rgbColor rgb="FF003300"/>
      <rgbColor rgb="FF333300"/>
      <rgbColor rgb="FF9C5700"/>
      <rgbColor rgb="FF595959"/>
      <rgbColor rgb="FF2E5496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Services Kapptivate par catégorie (après fusion 3G/4G)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'Synthèse Kapptivate'!B16</c:f>
              <c:strCache>
                <c:ptCount val="1"/>
                <c:pt idx="0">
                  <c:v>Nb services (après fusion)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'Synthèse Kapptivate'!$A$17:$A$36</c:f>
              <c:strCache>
                <c:ptCount val="20"/>
                <c:pt idx="0">
                  <c:v>OM Bank to Wallet</c:v>
                </c:pt>
                <c:pt idx="1">
                  <c:v>OM Addons Locaux</c:v>
                </c:pt>
                <c:pt idx="2">
                  <c:v>SVA USSD</c:v>
                </c:pt>
                <c:pt idx="3">
                  <c:v>Maxt-it</c:v>
                </c:pt>
                <c:pt idx="4">
                  <c:v>OM Core</c:v>
                </c:pt>
                <c:pt idx="5">
                  <c:v>SVA Data</c:v>
                </c:pt>
                <c:pt idx="6">
                  <c:v>VOIX</c:v>
                </c:pt>
                <c:pt idx="7">
                  <c:v>Nimba Plus</c:v>
                </c:pt>
                <c:pt idx="8">
                  <c:v>Data Social Network</c:v>
                </c:pt>
                <c:pt idx="9">
                  <c:v>Data 4G</c:v>
                </c:pt>
                <c:pt idx="10">
                  <c:v>OM Addons Group</c:v>
                </c:pt>
                <c:pt idx="11">
                  <c:v>Audit Facturation</c:v>
                </c:pt>
                <c:pt idx="12">
                  <c:v>Data 3G</c:v>
                </c:pt>
                <c:pt idx="13">
                  <c:v>OUTILS SI</c:v>
                </c:pt>
                <c:pt idx="14">
                  <c:v>PICO</c:v>
                </c:pt>
                <c:pt idx="15">
                  <c:v>Downdetector</c:v>
                </c:pt>
                <c:pt idx="16">
                  <c:v>SVA SMS</c:v>
                </c:pt>
                <c:pt idx="17">
                  <c:v>VOIX NUMERO COURT</c:v>
                </c:pt>
                <c:pt idx="18">
                  <c:v>Zebra</c:v>
                </c:pt>
                <c:pt idx="19">
                  <c:v>ZZ_Management</c:v>
                </c:pt>
              </c:strCache>
            </c:strRef>
          </c:cat>
          <c:val>
            <c:numRef>
              <c:f>'Synthèse Kapptivate'!$B$17:$B$36</c:f>
              <c:numCache>
                <c:formatCode>General</c:formatCode>
                <c:ptCount val="20"/>
                <c:pt idx="0">
                  <c:v>53</c:v>
                </c:pt>
                <c:pt idx="1">
                  <c:v>42</c:v>
                </c:pt>
                <c:pt idx="2">
                  <c:v>38</c:v>
                </c:pt>
                <c:pt idx="3">
                  <c:v>34</c:v>
                </c:pt>
                <c:pt idx="4">
                  <c:v>30</c:v>
                </c:pt>
                <c:pt idx="5">
                  <c:v>16</c:v>
                </c:pt>
                <c:pt idx="6">
                  <c:v>14</c:v>
                </c:pt>
                <c:pt idx="7">
                  <c:v>12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</c:ser>
        <c:gapWidth val="150"/>
        <c:overlap val="0"/>
        <c:axId val="33431866"/>
        <c:axId val="69691696"/>
      </c:barChart>
      <c:catAx>
        <c:axId val="3343186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 de services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91696"/>
        <c:crosses val="autoZero"/>
        <c:auto val="1"/>
        <c:lblAlgn val="ctr"/>
        <c:lblOffset val="100"/>
        <c:noMultiLvlLbl val="0"/>
      </c:catAx>
      <c:valAx>
        <c:axId val="69691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318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services Kapptivate par statut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'Synthèse Kapptivate'!B39</c:f>
              <c:strCache>
                <c:ptCount val="1"/>
                <c:pt idx="0">
                  <c:v>Nb services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'Synthèse Kapptivate'!$A$40:$A$43</c:f>
              <c:strCache>
                <c:ptCount val="4"/>
                <c:pt idx="0">
                  <c:v>Déjà dans le catalogue</c:v>
                </c:pt>
                <c:pt idx="1">
                  <c:v>À vérifier</c:v>
                </c:pt>
                <c:pt idx="2">
                  <c:v>Nouveau — ajouté</c:v>
                </c:pt>
                <c:pt idx="3">
                  <c:v>MaxIt (canal alternatif)</c:v>
                </c:pt>
              </c:strCache>
            </c:strRef>
          </c:cat>
          <c:val>
            <c:numRef>
              <c:f>'Synthèse Kapptivate'!$B$40:$B$43</c:f>
              <c:numCache>
                <c:formatCode>General</c:formatCode>
                <c:ptCount val="4"/>
                <c:pt idx="0">
                  <c:v>122</c:v>
                </c:pt>
                <c:pt idx="1">
                  <c:v>35</c:v>
                </c:pt>
                <c:pt idx="2">
                  <c:v>126</c:v>
                </c:pt>
                <c:pt idx="3">
                  <c:v>34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160920</xdr:rowOff>
    </xdr:from>
    <xdr:to>
      <xdr:col>8</xdr:col>
      <xdr:colOff>73440</xdr:colOff>
      <xdr:row>24</xdr:row>
      <xdr:rowOff>152280</xdr:rowOff>
    </xdr:to>
    <xdr:graphicFrame>
      <xdr:nvGraphicFramePr>
        <xdr:cNvPr id="0" name="Chart 1"/>
        <xdr:cNvGraphicFramePr/>
      </xdr:nvGraphicFramePr>
      <xdr:xfrm>
        <a:off x="5497920" y="57168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30</xdr:row>
      <xdr:rowOff>160560</xdr:rowOff>
    </xdr:from>
    <xdr:to>
      <xdr:col>6</xdr:col>
      <xdr:colOff>231480</xdr:colOff>
      <xdr:row>47</xdr:row>
      <xdr:rowOff>161640</xdr:rowOff>
    </xdr:to>
    <xdr:graphicFrame>
      <xdr:nvGraphicFramePr>
        <xdr:cNvPr id="1" name="Chart 2"/>
        <xdr:cNvGraphicFramePr/>
      </xdr:nvGraphicFramePr>
      <xdr:xfrm>
        <a:off x="5497920" y="676260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Catalogue" displayName="TblCatalogue" ref="A4:J260" headerRowCount="1" totalsRowCount="0" totalsRowShown="0">
  <autoFilter ref="A4:J260"/>
  <tableColumns count="10">
    <tableColumn id="1" name="Domaine"/>
    <tableColumn id="2" name="Service"/>
    <tableColumn id="3" name="Priorité"/>
    <tableColumn id="4" name="Supervisé"/>
    <tableColumn id="5" name="Outil(s) de supervision"/>
    <tableColumn id="6" name="SIM / MSISDN de test"/>
    <tableColumn id="7" name="Sonde / Terminal"/>
    <tableColumn id="8" name="Dernière vérification"/>
    <tableColumn id="9" name="Observations"/>
    <tableColumn id="10" name="Origine"/>
  </tableColumns>
</table>
</file>

<file path=xl/tables/table2.xml><?xml version="1.0" encoding="utf-8"?>
<table xmlns="http://schemas.openxmlformats.org/spreadsheetml/2006/main" id="2" name="TblComparatif" displayName="TblComparatif" ref="A1:H318" headerRowCount="1" totalsRowCount="0" totalsRowShown="0">
  <autoFilter ref="A1:H318"/>
  <tableColumns count="8">
    <tableColumn id="1" name="Catégorie(s) Kapptivate"/>
    <tableColumn id="2" name="Service Kapptivate"/>
    <tableColumn id="3" name="Technologie(s)"/>
    <tableColumn id="4" name="Occurrences export"/>
    <tableColumn id="5" name="Domaine — meilleure correspondance"/>
    <tableColumn id="6" name="Service — meilleure correspondance"/>
    <tableColumn id="7" name="Score de similarité"/>
    <tableColumn id="8" name="Statu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2"/>
    <col collapsed="false" customWidth="true" hidden="false" outlineLevel="0" max="6" min="4" style="0" width="22"/>
    <col collapsed="false" customWidth="true" hidden="false" outlineLevel="0" max="9" min="7" style="0" width="18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2</v>
      </c>
      <c r="B4" s="2" t="s">
        <v>3</v>
      </c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4" t="s">
        <v>4</v>
      </c>
      <c r="B5" s="5" t="s">
        <v>5</v>
      </c>
      <c r="C5" s="2"/>
      <c r="D5" s="2"/>
      <c r="E5" s="2"/>
      <c r="F5" s="2"/>
      <c r="G5" s="2"/>
      <c r="H5" s="2"/>
      <c r="I5" s="2"/>
    </row>
    <row r="6" customFormat="false" ht="15" hidden="false" customHeight="false" outlineLevel="0" collapsed="false">
      <c r="A6" s="4" t="s">
        <v>6</v>
      </c>
      <c r="B6" s="5" t="s">
        <v>5</v>
      </c>
      <c r="C6" s="2"/>
      <c r="D6" s="2"/>
      <c r="E6" s="2"/>
      <c r="F6" s="2"/>
      <c r="G6" s="2"/>
      <c r="H6" s="2"/>
      <c r="I6" s="2"/>
    </row>
    <row r="7" customFormat="false" ht="15" hidden="false" customHeight="false" outlineLevel="0" collapsed="false">
      <c r="A7" s="4" t="s">
        <v>7</v>
      </c>
      <c r="B7" s="2" t="s">
        <v>8</v>
      </c>
      <c r="C7" s="2"/>
      <c r="D7" s="2"/>
      <c r="E7" s="2"/>
      <c r="F7" s="2"/>
      <c r="G7" s="2"/>
      <c r="H7" s="2"/>
      <c r="I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</row>
    <row r="9" customFormat="false" ht="15" hidden="false" customHeight="false" outlineLevel="0" collapsed="false">
      <c r="A9" s="6" t="s">
        <v>9</v>
      </c>
      <c r="B9" s="2"/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7" t="s">
        <v>10</v>
      </c>
      <c r="B10" s="7" t="s">
        <v>11</v>
      </c>
      <c r="C10" s="7" t="s">
        <v>12</v>
      </c>
      <c r="D10" s="2"/>
      <c r="E10" s="2"/>
      <c r="F10" s="2"/>
      <c r="G10" s="2"/>
      <c r="H10" s="2"/>
      <c r="I10" s="2"/>
    </row>
    <row r="11" customFormat="false" ht="30" hidden="false" customHeight="true" outlineLevel="0" collapsed="false">
      <c r="A11" s="2" t="s">
        <v>13</v>
      </c>
      <c r="B11" s="2" t="s">
        <v>14</v>
      </c>
      <c r="C11" s="8" t="s">
        <v>15</v>
      </c>
      <c r="D11" s="2"/>
      <c r="E11" s="2"/>
      <c r="F11" s="2"/>
      <c r="G11" s="2"/>
      <c r="H11" s="2"/>
      <c r="I11" s="2"/>
    </row>
    <row r="12" customFormat="false" ht="30" hidden="false" customHeight="true" outlineLevel="0" collapsed="false">
      <c r="A12" s="2" t="s">
        <v>16</v>
      </c>
      <c r="B12" s="2" t="s">
        <v>17</v>
      </c>
      <c r="C12" s="8" t="s">
        <v>18</v>
      </c>
      <c r="D12" s="2"/>
      <c r="E12" s="2"/>
      <c r="F12" s="2"/>
      <c r="G12" s="2"/>
      <c r="H12" s="2"/>
      <c r="I12" s="2"/>
    </row>
    <row r="13" customFormat="false" ht="30" hidden="false" customHeight="true" outlineLevel="0" collapsed="false">
      <c r="A13" s="2" t="s">
        <v>19</v>
      </c>
      <c r="B13" s="2" t="s">
        <v>20</v>
      </c>
      <c r="C13" s="8" t="s">
        <v>21</v>
      </c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6" t="s">
        <v>22</v>
      </c>
      <c r="B15" s="2"/>
      <c r="C15" s="2"/>
      <c r="D15" s="2"/>
      <c r="E15" s="2"/>
      <c r="F15" s="2"/>
      <c r="G15" s="2"/>
      <c r="H15" s="2"/>
      <c r="I15" s="2"/>
    </row>
    <row r="16" customFormat="false" ht="31.5" hidden="false" customHeight="true" outlineLevel="0" collapsed="false">
      <c r="A16" s="2" t="s">
        <v>23</v>
      </c>
      <c r="B16" s="9" t="s">
        <v>24</v>
      </c>
      <c r="C16" s="9"/>
      <c r="D16" s="9"/>
      <c r="E16" s="9"/>
      <c r="F16" s="9"/>
      <c r="G16" s="9"/>
      <c r="H16" s="9"/>
      <c r="I16" s="2"/>
    </row>
    <row r="17" customFormat="false" ht="31.5" hidden="false" customHeight="true" outlineLevel="0" collapsed="false">
      <c r="A17" s="2" t="s">
        <v>23</v>
      </c>
      <c r="B17" s="9" t="s">
        <v>25</v>
      </c>
      <c r="C17" s="9"/>
      <c r="D17" s="9"/>
      <c r="E17" s="9"/>
      <c r="F17" s="9"/>
      <c r="G17" s="9"/>
      <c r="H17" s="9"/>
      <c r="I17" s="2"/>
    </row>
    <row r="18" customFormat="false" ht="31.5" hidden="false" customHeight="true" outlineLevel="0" collapsed="false">
      <c r="A18" s="2" t="s">
        <v>23</v>
      </c>
      <c r="B18" s="9" t="s">
        <v>26</v>
      </c>
      <c r="C18" s="9"/>
      <c r="D18" s="9"/>
      <c r="E18" s="9"/>
      <c r="F18" s="9"/>
      <c r="G18" s="9"/>
      <c r="H18" s="9"/>
      <c r="I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6" t="s">
        <v>27</v>
      </c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7" t="s">
        <v>28</v>
      </c>
      <c r="B21" s="7" t="s">
        <v>29</v>
      </c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 t="s">
        <v>30</v>
      </c>
      <c r="B22" s="2" t="s">
        <v>30</v>
      </c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 t="s">
        <v>31</v>
      </c>
      <c r="B23" s="2" t="s">
        <v>32</v>
      </c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 t="s">
        <v>33</v>
      </c>
      <c r="B24" s="2" t="s">
        <v>34</v>
      </c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 t="s">
        <v>35</v>
      </c>
      <c r="B25" s="2" t="s">
        <v>35</v>
      </c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 t="s">
        <v>36</v>
      </c>
      <c r="B26" s="2" t="s">
        <v>36</v>
      </c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 t="s">
        <v>37</v>
      </c>
      <c r="B27" s="2" t="s">
        <v>38</v>
      </c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 t="s">
        <v>39</v>
      </c>
      <c r="B28" s="2" t="s">
        <v>40</v>
      </c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 t="s">
        <v>41</v>
      </c>
      <c r="B29" s="2" t="s">
        <v>42</v>
      </c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 t="s">
        <v>43</v>
      </c>
      <c r="B30" s="2" t="s">
        <v>44</v>
      </c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 t="s">
        <v>45</v>
      </c>
      <c r="B31" s="2" t="s">
        <v>46</v>
      </c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 t="s">
        <v>47</v>
      </c>
      <c r="B32" s="2" t="s">
        <v>48</v>
      </c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 t="s">
        <v>49</v>
      </c>
      <c r="B33" s="2" t="s">
        <v>50</v>
      </c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10" t="s">
        <v>51</v>
      </c>
      <c r="B34" s="10"/>
      <c r="C34" s="10"/>
      <c r="D34" s="10"/>
      <c r="E34" s="10"/>
      <c r="F34" s="10"/>
      <c r="G34" s="2"/>
      <c r="H34" s="2"/>
      <c r="I34" s="2"/>
    </row>
    <row r="35" customFormat="false" ht="15" hidden="false" customHeight="false" outlineLevel="0" collapsed="false">
      <c r="A35" s="6" t="s">
        <v>52</v>
      </c>
      <c r="B35" s="2"/>
      <c r="C35" s="2"/>
      <c r="D35" s="2"/>
      <c r="E35" s="2"/>
      <c r="F35" s="2"/>
      <c r="G35" s="2"/>
      <c r="H35" s="2"/>
      <c r="I35" s="2"/>
    </row>
    <row r="36" customFormat="false" ht="25.5" hidden="false" customHeight="true" outlineLevel="0" collapsed="false">
      <c r="A36" s="2" t="s">
        <v>23</v>
      </c>
      <c r="B36" s="9" t="s">
        <v>53</v>
      </c>
      <c r="C36" s="9"/>
      <c r="D36" s="9"/>
      <c r="E36" s="9"/>
      <c r="F36" s="9"/>
      <c r="G36" s="9"/>
      <c r="H36" s="9"/>
      <c r="I36" s="2"/>
    </row>
    <row r="37" customFormat="false" ht="25.5" hidden="false" customHeight="true" outlineLevel="0" collapsed="false">
      <c r="A37" s="2" t="s">
        <v>23</v>
      </c>
      <c r="B37" s="9" t="s">
        <v>54</v>
      </c>
      <c r="C37" s="9"/>
      <c r="D37" s="9"/>
      <c r="E37" s="9"/>
      <c r="F37" s="9"/>
      <c r="G37" s="9"/>
      <c r="H37" s="9"/>
      <c r="I37" s="2"/>
    </row>
    <row r="38" customFormat="false" ht="25.5" hidden="false" customHeight="true" outlineLevel="0" collapsed="false">
      <c r="A38" s="2" t="s">
        <v>23</v>
      </c>
      <c r="B38" s="9" t="s">
        <v>55</v>
      </c>
      <c r="C38" s="9"/>
      <c r="D38" s="9"/>
      <c r="E38" s="9"/>
      <c r="F38" s="9"/>
      <c r="G38" s="9"/>
      <c r="H38" s="9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6" t="s">
        <v>56</v>
      </c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7" t="s">
        <v>57</v>
      </c>
      <c r="B41" s="7" t="s">
        <v>58</v>
      </c>
      <c r="C41" s="7" t="s">
        <v>59</v>
      </c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2" t="s">
        <v>28</v>
      </c>
      <c r="B42" s="2" t="s">
        <v>60</v>
      </c>
      <c r="C42" s="11" t="s">
        <v>61</v>
      </c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 t="s">
        <v>62</v>
      </c>
      <c r="B43" s="2" t="s">
        <v>63</v>
      </c>
      <c r="C43" s="11" t="s">
        <v>64</v>
      </c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2" t="s">
        <v>65</v>
      </c>
      <c r="B44" s="2" t="s">
        <v>66</v>
      </c>
      <c r="C44" s="11" t="s">
        <v>67</v>
      </c>
      <c r="D44" s="2"/>
      <c r="E44" s="2"/>
      <c r="F44" s="2"/>
      <c r="G44" s="2"/>
      <c r="H44" s="2"/>
      <c r="I44" s="2"/>
    </row>
    <row r="45" customFormat="false" ht="23.85" hidden="false" customHeight="false" outlineLevel="0" collapsed="false">
      <c r="A45" s="2" t="s">
        <v>68</v>
      </c>
      <c r="B45" s="2" t="s">
        <v>69</v>
      </c>
      <c r="C45" s="11" t="s">
        <v>70</v>
      </c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2" t="s">
        <v>71</v>
      </c>
      <c r="B46" s="2" t="s">
        <v>63</v>
      </c>
      <c r="C46" s="11" t="s">
        <v>72</v>
      </c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2" t="s">
        <v>73</v>
      </c>
      <c r="B47" s="2" t="s">
        <v>63</v>
      </c>
      <c r="C47" s="11" t="s">
        <v>74</v>
      </c>
      <c r="D47" s="2"/>
      <c r="E47" s="2"/>
      <c r="F47" s="2"/>
      <c r="G47" s="2"/>
      <c r="H47" s="2"/>
      <c r="I47" s="2"/>
    </row>
    <row r="48" customFormat="false" ht="23.85" hidden="false" customHeight="false" outlineLevel="0" collapsed="false">
      <c r="A48" s="2" t="s">
        <v>75</v>
      </c>
      <c r="B48" s="2" t="s">
        <v>63</v>
      </c>
      <c r="C48" s="11" t="s">
        <v>76</v>
      </c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A49" s="2" t="s">
        <v>77</v>
      </c>
      <c r="B49" s="2" t="s">
        <v>78</v>
      </c>
      <c r="C49" s="11" t="s">
        <v>79</v>
      </c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A50" s="2" t="s">
        <v>80</v>
      </c>
      <c r="B50" s="2" t="s">
        <v>63</v>
      </c>
      <c r="C50" s="11" t="s">
        <v>81</v>
      </c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</row>
  </sheetData>
  <mergeCells count="7">
    <mergeCell ref="B16:H16"/>
    <mergeCell ref="B17:H17"/>
    <mergeCell ref="B18:H18"/>
    <mergeCell ref="A34:F34"/>
    <mergeCell ref="B36:H36"/>
    <mergeCell ref="B37:H37"/>
    <mergeCell ref="B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5" min="3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12" t="s">
        <v>83</v>
      </c>
    </row>
    <row r="4" customFormat="false" ht="25.5" hidden="false" customHeight="true" outlineLevel="0" collapsed="false">
      <c r="A4" s="13" t="s">
        <v>84</v>
      </c>
      <c r="B4" s="14" t="n">
        <f aca="false">COUNTIFS(Catalogue!$C$5:$C$450,"P1",Catalogue!$D$5:$D$450,"Non")</f>
        <v>6</v>
      </c>
      <c r="C4" s="15" t="s">
        <v>85</v>
      </c>
    </row>
    <row r="5" customFormat="false" ht="25.5" hidden="false" customHeight="true" outlineLevel="0" collapsed="false">
      <c r="A5" s="16" t="s">
        <v>86</v>
      </c>
      <c r="B5" s="17" t="n">
        <f aca="false">IFERROR(COUNTIF(Catalogue!$D$5:$D$450,"Oui")/COUNTA(Catalogue!$B$5:$B$450),"-")</f>
        <v>0.8984375</v>
      </c>
      <c r="C5" s="3" t="s">
        <v>87</v>
      </c>
    </row>
    <row r="6" customFormat="false" ht="25.5" hidden="false" customHeight="true" outlineLevel="0" collapsed="false">
      <c r="A6" s="18" t="s">
        <v>88</v>
      </c>
      <c r="B6" s="19" t="n">
        <f aca="false">COUNTIFS(Catalogue!$B$5:$B$450,"&lt;&gt;",Catalogue!$C$5:$C$450,"")</f>
        <v>75</v>
      </c>
      <c r="C6" s="3" t="s">
        <v>89</v>
      </c>
    </row>
    <row r="8" customFormat="false" ht="15" hidden="false" customHeight="false" outlineLevel="0" collapsed="false">
      <c r="A8" s="6" t="s">
        <v>90</v>
      </c>
    </row>
    <row r="9" customFormat="false" ht="31.5" hidden="false" customHeight="true" outlineLevel="0" collapsed="false">
      <c r="A9" s="20" t="s">
        <v>28</v>
      </c>
      <c r="B9" s="20" t="s">
        <v>91</v>
      </c>
      <c r="C9" s="20" t="s">
        <v>13</v>
      </c>
      <c r="D9" s="20" t="s">
        <v>16</v>
      </c>
      <c r="E9" s="20" t="s">
        <v>19</v>
      </c>
      <c r="F9" s="20" t="s">
        <v>92</v>
      </c>
      <c r="G9" s="20" t="s">
        <v>93</v>
      </c>
      <c r="H9" s="20" t="s">
        <v>94</v>
      </c>
      <c r="I9" s="20" t="s">
        <v>95</v>
      </c>
      <c r="J9" s="20" t="s">
        <v>96</v>
      </c>
    </row>
    <row r="10" customFormat="false" ht="15" hidden="false" customHeight="false" outlineLevel="0" collapsed="false">
      <c r="A10" s="21" t="s">
        <v>97</v>
      </c>
      <c r="B10" s="22" t="n">
        <f aca="false">COUNTIF(Catalogue!$A$5:$A$450,$A10)</f>
        <v>20</v>
      </c>
      <c r="C10" s="22" t="n">
        <f aca="false">COUNTIFS(Catalogue!$A$5:$A$450,$A10,Catalogue!$C$5:$C$450,"P1")</f>
        <v>2</v>
      </c>
      <c r="D10" s="22" t="n">
        <f aca="false">COUNTIFS(Catalogue!$A$5:$A$450,$A10,Catalogue!$C$5:$C$450,"P2")</f>
        <v>2</v>
      </c>
      <c r="E10" s="22" t="n">
        <f aca="false">COUNTIFS(Catalogue!$A$5:$A$450,$A10,Catalogue!$C$5:$C$450,"P3")</f>
        <v>3</v>
      </c>
      <c r="F10" s="22" t="n">
        <f aca="false">$B10-SUM($C10:$E10)</f>
        <v>13</v>
      </c>
      <c r="G10" s="22" t="n">
        <f aca="false">COUNTIFS(Catalogue!$A$5:$A$450,$A10,Catalogue!$D$5:$D$450,"Oui")</f>
        <v>17</v>
      </c>
      <c r="H10" s="22" t="n">
        <f aca="false">COUNTIFS(Catalogue!$A$5:$A$450,$A10,Catalogue!$D$5:$D$450,"Non")</f>
        <v>3</v>
      </c>
      <c r="I10" s="23" t="n">
        <f aca="false">IFERROR($G10/$B10,"-")</f>
        <v>0.85</v>
      </c>
      <c r="J10" s="22" t="n">
        <f aca="false">COUNTIFS(Catalogue!$A$5:$A$450,$A10,Catalogue!$C$5:$C$450,"P1",Catalogue!$D$5:$D$450,"Non")</f>
        <v>1</v>
      </c>
    </row>
    <row r="11" customFormat="false" ht="15" hidden="false" customHeight="false" outlineLevel="0" collapsed="false">
      <c r="A11" s="24" t="s">
        <v>98</v>
      </c>
      <c r="B11" s="25" t="n">
        <f aca="false">COUNTIF(Catalogue!$A$5:$A$450,$A11)</f>
        <v>24</v>
      </c>
      <c r="C11" s="25" t="n">
        <f aca="false">COUNTIFS(Catalogue!$A$5:$A$450,$A11,Catalogue!$C$5:$C$450,"P1")</f>
        <v>14</v>
      </c>
      <c r="D11" s="25" t="n">
        <f aca="false">COUNTIFS(Catalogue!$A$5:$A$450,$A11,Catalogue!$C$5:$C$450,"P2")</f>
        <v>9</v>
      </c>
      <c r="E11" s="25" t="n">
        <f aca="false">COUNTIFS(Catalogue!$A$5:$A$450,$A11,Catalogue!$C$5:$C$450,"P3")</f>
        <v>1</v>
      </c>
      <c r="F11" s="25" t="n">
        <f aca="false">$B11-SUM($C11:$E11)</f>
        <v>0</v>
      </c>
      <c r="G11" s="25" t="n">
        <f aca="false">COUNTIFS(Catalogue!$A$5:$A$450,$A11,Catalogue!$D$5:$D$450,"Oui")</f>
        <v>24</v>
      </c>
      <c r="H11" s="25" t="n">
        <f aca="false">COUNTIFS(Catalogue!$A$5:$A$450,$A11,Catalogue!$D$5:$D$450,"Non")</f>
        <v>0</v>
      </c>
      <c r="I11" s="26" t="n">
        <f aca="false">IFERROR($G11/$B11,"-")</f>
        <v>1</v>
      </c>
      <c r="J11" s="25" t="n">
        <f aca="false">COUNTIFS(Catalogue!$A$5:$A$450,$A11,Catalogue!$C$5:$C$450,"P1",Catalogue!$D$5:$D$450,"Non")</f>
        <v>0</v>
      </c>
    </row>
    <row r="12" customFormat="false" ht="15" hidden="false" customHeight="false" outlineLevel="0" collapsed="false">
      <c r="A12" s="21" t="s">
        <v>99</v>
      </c>
      <c r="B12" s="22" t="n">
        <f aca="false">COUNTIF(Catalogue!$A$5:$A$450,$A12)</f>
        <v>42</v>
      </c>
      <c r="C12" s="22" t="n">
        <f aca="false">COUNTIFS(Catalogue!$A$5:$A$450,$A12,Catalogue!$C$5:$C$450,"P1")</f>
        <v>22</v>
      </c>
      <c r="D12" s="22" t="n">
        <f aca="false">COUNTIFS(Catalogue!$A$5:$A$450,$A12,Catalogue!$C$5:$C$450,"P2")</f>
        <v>16</v>
      </c>
      <c r="E12" s="22" t="n">
        <f aca="false">COUNTIFS(Catalogue!$A$5:$A$450,$A12,Catalogue!$C$5:$C$450,"P3")</f>
        <v>4</v>
      </c>
      <c r="F12" s="22" t="n">
        <f aca="false">$B12-SUM($C12:$E12)</f>
        <v>0</v>
      </c>
      <c r="G12" s="22" t="n">
        <f aca="false">COUNTIFS(Catalogue!$A$5:$A$450,$A12,Catalogue!$D$5:$D$450,"Oui")</f>
        <v>37</v>
      </c>
      <c r="H12" s="22" t="n">
        <f aca="false">COUNTIFS(Catalogue!$A$5:$A$450,$A12,Catalogue!$D$5:$D$450,"Non")</f>
        <v>5</v>
      </c>
      <c r="I12" s="23" t="n">
        <f aca="false">IFERROR($G12/$B12,"-")</f>
        <v>0.880952380952381</v>
      </c>
      <c r="J12" s="22" t="n">
        <f aca="false">COUNTIFS(Catalogue!$A$5:$A$450,$A12,Catalogue!$C$5:$C$450,"P1",Catalogue!$D$5:$D$450,"Non")</f>
        <v>0</v>
      </c>
    </row>
    <row r="13" customFormat="false" ht="15" hidden="false" customHeight="false" outlineLevel="0" collapsed="false">
      <c r="A13" s="24" t="s">
        <v>100</v>
      </c>
      <c r="B13" s="25" t="n">
        <f aca="false">COUNTIF(Catalogue!$A$5:$A$450,$A13)</f>
        <v>23</v>
      </c>
      <c r="C13" s="25" t="n">
        <f aca="false">COUNTIFS(Catalogue!$A$5:$A$450,$A13,Catalogue!$C$5:$C$450,"P1")</f>
        <v>19</v>
      </c>
      <c r="D13" s="25" t="n">
        <f aca="false">COUNTIFS(Catalogue!$A$5:$A$450,$A13,Catalogue!$C$5:$C$450,"P2")</f>
        <v>4</v>
      </c>
      <c r="E13" s="25" t="n">
        <f aca="false">COUNTIFS(Catalogue!$A$5:$A$450,$A13,Catalogue!$C$5:$C$450,"P3")</f>
        <v>0</v>
      </c>
      <c r="F13" s="25" t="n">
        <f aca="false">$B13-SUM($C13:$E13)</f>
        <v>0</v>
      </c>
      <c r="G13" s="25" t="n">
        <f aca="false">COUNTIFS(Catalogue!$A$5:$A$450,$A13,Catalogue!$D$5:$D$450,"Oui")</f>
        <v>16</v>
      </c>
      <c r="H13" s="25" t="n">
        <f aca="false">COUNTIFS(Catalogue!$A$5:$A$450,$A13,Catalogue!$D$5:$D$450,"Non")</f>
        <v>7</v>
      </c>
      <c r="I13" s="26" t="n">
        <f aca="false">IFERROR($G13/$B13,"-")</f>
        <v>0.695652173913044</v>
      </c>
      <c r="J13" s="25" t="n">
        <f aca="false">COUNTIFS(Catalogue!$A$5:$A$450,$A13,Catalogue!$C$5:$C$450,"P1",Catalogue!$D$5:$D$450,"Non")</f>
        <v>4</v>
      </c>
    </row>
    <row r="14" customFormat="false" ht="15" hidden="false" customHeight="false" outlineLevel="0" collapsed="false">
      <c r="A14" s="21" t="s">
        <v>101</v>
      </c>
      <c r="B14" s="22" t="n">
        <f aca="false">COUNTIF(Catalogue!$A$5:$A$450,$A14)</f>
        <v>5</v>
      </c>
      <c r="C14" s="22" t="n">
        <f aca="false">COUNTIFS(Catalogue!$A$5:$A$450,$A14,Catalogue!$C$5:$C$450,"P1")</f>
        <v>0</v>
      </c>
      <c r="D14" s="22" t="n">
        <f aca="false">COUNTIFS(Catalogue!$A$5:$A$450,$A14,Catalogue!$C$5:$C$450,"P2")</f>
        <v>2</v>
      </c>
      <c r="E14" s="22" t="n">
        <f aca="false">COUNTIFS(Catalogue!$A$5:$A$450,$A14,Catalogue!$C$5:$C$450,"P3")</f>
        <v>2</v>
      </c>
      <c r="F14" s="22" t="n">
        <f aca="false">$B14-SUM($C14:$E14)</f>
        <v>1</v>
      </c>
      <c r="G14" s="22" t="n">
        <f aca="false">COUNTIFS(Catalogue!$A$5:$A$450,$A14,Catalogue!$D$5:$D$450,"Oui")</f>
        <v>3</v>
      </c>
      <c r="H14" s="22" t="n">
        <f aca="false">COUNTIFS(Catalogue!$A$5:$A$450,$A14,Catalogue!$D$5:$D$450,"Non")</f>
        <v>2</v>
      </c>
      <c r="I14" s="23" t="n">
        <f aca="false">IFERROR($G14/$B14,"-")</f>
        <v>0.6</v>
      </c>
      <c r="J14" s="22" t="n">
        <f aca="false">COUNTIFS(Catalogue!$A$5:$A$450,$A14,Catalogue!$C$5:$C$450,"P1",Catalogue!$D$5:$D$450,"Non")</f>
        <v>0</v>
      </c>
    </row>
    <row r="15" customFormat="false" ht="15" hidden="false" customHeight="false" outlineLevel="0" collapsed="false">
      <c r="A15" s="24" t="s">
        <v>102</v>
      </c>
      <c r="B15" s="25" t="n">
        <f aca="false">COUNTIF(Catalogue!$A$5:$A$450,$A15)</f>
        <v>12</v>
      </c>
      <c r="C15" s="25" t="n">
        <f aca="false">COUNTIFS(Catalogue!$A$5:$A$450,$A15,Catalogue!$C$5:$C$450,"P1")</f>
        <v>0</v>
      </c>
      <c r="D15" s="25" t="n">
        <f aca="false">COUNTIFS(Catalogue!$A$5:$A$450,$A15,Catalogue!$C$5:$C$450,"P2")</f>
        <v>5</v>
      </c>
      <c r="E15" s="25" t="n">
        <f aca="false">COUNTIFS(Catalogue!$A$5:$A$450,$A15,Catalogue!$C$5:$C$450,"P3")</f>
        <v>7</v>
      </c>
      <c r="F15" s="25" t="n">
        <f aca="false">$B15-SUM($C15:$E15)</f>
        <v>0</v>
      </c>
      <c r="G15" s="25" t="n">
        <f aca="false">COUNTIFS(Catalogue!$A$5:$A$450,$A15,Catalogue!$D$5:$D$450,"Oui")</f>
        <v>7</v>
      </c>
      <c r="H15" s="25" t="n">
        <f aca="false">COUNTIFS(Catalogue!$A$5:$A$450,$A15,Catalogue!$D$5:$D$450,"Non")</f>
        <v>5</v>
      </c>
      <c r="I15" s="26" t="n">
        <f aca="false">IFERROR($G15/$B15,"-")</f>
        <v>0.583333333333333</v>
      </c>
      <c r="J15" s="25" t="n">
        <f aca="false">COUNTIFS(Catalogue!$A$5:$A$450,$A15,Catalogue!$C$5:$C$450,"P1",Catalogue!$D$5:$D$450,"Non")</f>
        <v>0</v>
      </c>
    </row>
    <row r="16" customFormat="false" ht="15" hidden="false" customHeight="false" outlineLevel="0" collapsed="false">
      <c r="A16" s="21" t="s">
        <v>103</v>
      </c>
      <c r="B16" s="22" t="n">
        <f aca="false">COUNTIF(Catalogue!$A$5:$A$450,$A16)</f>
        <v>2</v>
      </c>
      <c r="C16" s="22" t="n">
        <f aca="false">COUNTIFS(Catalogue!$A$5:$A$450,$A16,Catalogue!$C$5:$C$450,"P1")</f>
        <v>1</v>
      </c>
      <c r="D16" s="22" t="n">
        <f aca="false">COUNTIFS(Catalogue!$A$5:$A$450,$A16,Catalogue!$C$5:$C$450,"P2")</f>
        <v>1</v>
      </c>
      <c r="E16" s="22" t="n">
        <f aca="false">COUNTIFS(Catalogue!$A$5:$A$450,$A16,Catalogue!$C$5:$C$450,"P3")</f>
        <v>0</v>
      </c>
      <c r="F16" s="22" t="n">
        <f aca="false">$B16-SUM($C16:$E16)</f>
        <v>0</v>
      </c>
      <c r="G16" s="22" t="n">
        <f aca="false">COUNTIFS(Catalogue!$A$5:$A$450,$A16,Catalogue!$D$5:$D$450,"Oui")</f>
        <v>0</v>
      </c>
      <c r="H16" s="22" t="n">
        <f aca="false">COUNTIFS(Catalogue!$A$5:$A$450,$A16,Catalogue!$D$5:$D$450,"Non")</f>
        <v>2</v>
      </c>
      <c r="I16" s="23" t="n">
        <f aca="false">IFERROR($G16/$B16,"-")</f>
        <v>0</v>
      </c>
      <c r="J16" s="22" t="n">
        <f aca="false">COUNTIFS(Catalogue!$A$5:$A$450,$A16,Catalogue!$C$5:$C$450,"P1",Catalogue!$D$5:$D$450,"Non")</f>
        <v>1</v>
      </c>
    </row>
    <row r="17" customFormat="false" ht="15" hidden="false" customHeight="false" outlineLevel="0" collapsed="false">
      <c r="A17" s="24" t="s">
        <v>30</v>
      </c>
      <c r="B17" s="25" t="n">
        <f aca="false">COUNTIF(Catalogue!$A$5:$A$450,$A17)</f>
        <v>23</v>
      </c>
      <c r="C17" s="25" t="n">
        <f aca="false">COUNTIFS(Catalogue!$A$5:$A$450,$A17,Catalogue!$C$5:$C$450,"P1")</f>
        <v>23</v>
      </c>
      <c r="D17" s="25" t="n">
        <f aca="false">COUNTIFS(Catalogue!$A$5:$A$450,$A17,Catalogue!$C$5:$C$450,"P2")</f>
        <v>0</v>
      </c>
      <c r="E17" s="25" t="n">
        <f aca="false">COUNTIFS(Catalogue!$A$5:$A$450,$A17,Catalogue!$C$5:$C$450,"P3")</f>
        <v>0</v>
      </c>
      <c r="F17" s="25" t="n">
        <f aca="false">$B17-SUM($C17:$E17)</f>
        <v>0</v>
      </c>
      <c r="G17" s="25" t="n">
        <f aca="false">COUNTIFS(Catalogue!$A$5:$A$450,$A17,Catalogue!$D$5:$D$450,"Oui")</f>
        <v>23</v>
      </c>
      <c r="H17" s="25" t="n">
        <f aca="false">COUNTIFS(Catalogue!$A$5:$A$450,$A17,Catalogue!$D$5:$D$450,"Non")</f>
        <v>0</v>
      </c>
      <c r="I17" s="26" t="n">
        <f aca="false">IFERROR($G17/$B17,"-")</f>
        <v>1</v>
      </c>
      <c r="J17" s="25" t="n">
        <f aca="false">COUNTIFS(Catalogue!$A$5:$A$450,$A17,Catalogue!$C$5:$C$450,"P1",Catalogue!$D$5:$D$450,"Non")</f>
        <v>0</v>
      </c>
    </row>
    <row r="18" customFormat="false" ht="15" hidden="false" customHeight="false" outlineLevel="0" collapsed="false">
      <c r="A18" s="21" t="s">
        <v>31</v>
      </c>
      <c r="B18" s="22" t="n">
        <f aca="false">COUNTIF(Catalogue!$A$5:$A$450,$A18)</f>
        <v>16</v>
      </c>
      <c r="C18" s="22" t="n">
        <f aca="false">COUNTIFS(Catalogue!$A$5:$A$450,$A18,Catalogue!$C$5:$C$450,"P1")</f>
        <v>0</v>
      </c>
      <c r="D18" s="22" t="n">
        <f aca="false">COUNTIFS(Catalogue!$A$5:$A$450,$A18,Catalogue!$C$5:$C$450,"P2")</f>
        <v>0</v>
      </c>
      <c r="E18" s="22" t="n">
        <f aca="false">COUNTIFS(Catalogue!$A$5:$A$450,$A18,Catalogue!$C$5:$C$450,"P3")</f>
        <v>0</v>
      </c>
      <c r="F18" s="22" t="n">
        <f aca="false">$B18-SUM($C18:$E18)</f>
        <v>16</v>
      </c>
      <c r="G18" s="22" t="n">
        <f aca="false">COUNTIFS(Catalogue!$A$5:$A$450,$A18,Catalogue!$D$5:$D$450,"Oui")</f>
        <v>16</v>
      </c>
      <c r="H18" s="22" t="n">
        <f aca="false">COUNTIFS(Catalogue!$A$5:$A$450,$A18,Catalogue!$D$5:$D$450,"Non")</f>
        <v>0</v>
      </c>
      <c r="I18" s="23" t="n">
        <f aca="false">IFERROR($G18/$B18,"-")</f>
        <v>1</v>
      </c>
      <c r="J18" s="22" t="n">
        <f aca="false">COUNTIFS(Catalogue!$A$5:$A$450,$A18,Catalogue!$C$5:$C$450,"P1",Catalogue!$D$5:$D$450,"Non")</f>
        <v>0</v>
      </c>
    </row>
    <row r="19" customFormat="false" ht="15" hidden="false" customHeight="false" outlineLevel="0" collapsed="false">
      <c r="A19" s="24" t="s">
        <v>33</v>
      </c>
      <c r="B19" s="25" t="n">
        <f aca="false">COUNTIF(Catalogue!$A$5:$A$450,$A19)</f>
        <v>7</v>
      </c>
      <c r="C19" s="25" t="n">
        <f aca="false">COUNTIFS(Catalogue!$A$5:$A$450,$A19,Catalogue!$C$5:$C$450,"P1")</f>
        <v>0</v>
      </c>
      <c r="D19" s="25" t="n">
        <f aca="false">COUNTIFS(Catalogue!$A$5:$A$450,$A19,Catalogue!$C$5:$C$450,"P2")</f>
        <v>0</v>
      </c>
      <c r="E19" s="25" t="n">
        <f aca="false">COUNTIFS(Catalogue!$A$5:$A$450,$A19,Catalogue!$C$5:$C$450,"P3")</f>
        <v>0</v>
      </c>
      <c r="F19" s="25" t="n">
        <f aca="false">$B19-SUM($C19:$E19)</f>
        <v>7</v>
      </c>
      <c r="G19" s="25" t="n">
        <f aca="false">COUNTIFS(Catalogue!$A$5:$A$450,$A19,Catalogue!$D$5:$D$450,"Oui")</f>
        <v>7</v>
      </c>
      <c r="H19" s="25" t="n">
        <f aca="false">COUNTIFS(Catalogue!$A$5:$A$450,$A19,Catalogue!$D$5:$D$450,"Non")</f>
        <v>0</v>
      </c>
      <c r="I19" s="26" t="n">
        <f aca="false">IFERROR($G19/$B19,"-")</f>
        <v>1</v>
      </c>
      <c r="J19" s="25" t="n">
        <f aca="false">COUNTIFS(Catalogue!$A$5:$A$450,$A19,Catalogue!$C$5:$C$450,"P1",Catalogue!$D$5:$D$450,"Non")</f>
        <v>0</v>
      </c>
    </row>
    <row r="20" customFormat="false" ht="15" hidden="false" customHeight="false" outlineLevel="0" collapsed="false">
      <c r="A20" s="21" t="s">
        <v>35</v>
      </c>
      <c r="B20" s="22" t="n">
        <f aca="false">COUNTIF(Catalogue!$A$5:$A$450,$A20)</f>
        <v>10</v>
      </c>
      <c r="C20" s="22" t="n">
        <f aca="false">COUNTIFS(Catalogue!$A$5:$A$450,$A20,Catalogue!$C$5:$C$450,"P1")</f>
        <v>0</v>
      </c>
      <c r="D20" s="22" t="n">
        <f aca="false">COUNTIFS(Catalogue!$A$5:$A$450,$A20,Catalogue!$C$5:$C$450,"P2")</f>
        <v>0</v>
      </c>
      <c r="E20" s="22" t="n">
        <f aca="false">COUNTIFS(Catalogue!$A$5:$A$450,$A20,Catalogue!$C$5:$C$450,"P3")</f>
        <v>0</v>
      </c>
      <c r="F20" s="22" t="n">
        <f aca="false">$B20-SUM($C20:$E20)</f>
        <v>10</v>
      </c>
      <c r="G20" s="22" t="n">
        <f aca="false">COUNTIFS(Catalogue!$A$5:$A$450,$A20,Catalogue!$D$5:$D$450,"Oui")</f>
        <v>10</v>
      </c>
      <c r="H20" s="22" t="n">
        <f aca="false">COUNTIFS(Catalogue!$A$5:$A$450,$A20,Catalogue!$D$5:$D$450,"Non")</f>
        <v>0</v>
      </c>
      <c r="I20" s="23" t="n">
        <f aca="false">IFERROR($G20/$B20,"-")</f>
        <v>1</v>
      </c>
      <c r="J20" s="22" t="n">
        <f aca="false">COUNTIFS(Catalogue!$A$5:$A$450,$A20,Catalogue!$C$5:$C$450,"P1",Catalogue!$D$5:$D$450,"Non")</f>
        <v>0</v>
      </c>
    </row>
    <row r="21" customFormat="false" ht="15" hidden="false" customHeight="false" outlineLevel="0" collapsed="false">
      <c r="A21" s="24" t="s">
        <v>36</v>
      </c>
      <c r="B21" s="25" t="n">
        <f aca="false">COUNTIF(Catalogue!$A$5:$A$450,$A21)</f>
        <v>7</v>
      </c>
      <c r="C21" s="25" t="n">
        <f aca="false">COUNTIFS(Catalogue!$A$5:$A$450,$A21,Catalogue!$C$5:$C$450,"P1")</f>
        <v>7</v>
      </c>
      <c r="D21" s="25" t="n">
        <f aca="false">COUNTIFS(Catalogue!$A$5:$A$450,$A21,Catalogue!$C$5:$C$450,"P2")</f>
        <v>0</v>
      </c>
      <c r="E21" s="25" t="n">
        <f aca="false">COUNTIFS(Catalogue!$A$5:$A$450,$A21,Catalogue!$C$5:$C$450,"P3")</f>
        <v>0</v>
      </c>
      <c r="F21" s="25" t="n">
        <f aca="false">$B21-SUM($C21:$E21)</f>
        <v>0</v>
      </c>
      <c r="G21" s="25" t="n">
        <f aca="false">COUNTIFS(Catalogue!$A$5:$A$450,$A21,Catalogue!$D$5:$D$450,"Oui")</f>
        <v>7</v>
      </c>
      <c r="H21" s="25" t="n">
        <f aca="false">COUNTIFS(Catalogue!$A$5:$A$450,$A21,Catalogue!$D$5:$D$450,"Non")</f>
        <v>0</v>
      </c>
      <c r="I21" s="26" t="n">
        <f aca="false">IFERROR($G21/$B21,"-")</f>
        <v>1</v>
      </c>
      <c r="J21" s="25" t="n">
        <f aca="false">COUNTIFS(Catalogue!$A$5:$A$450,$A21,Catalogue!$C$5:$C$450,"P1",Catalogue!$D$5:$D$450,"Non")</f>
        <v>0</v>
      </c>
    </row>
    <row r="22" customFormat="false" ht="15" hidden="false" customHeight="false" outlineLevel="0" collapsed="false">
      <c r="A22" s="21" t="s">
        <v>37</v>
      </c>
      <c r="B22" s="22" t="n">
        <f aca="false">COUNTIF(Catalogue!$A$5:$A$450,$A22)</f>
        <v>6</v>
      </c>
      <c r="C22" s="22" t="n">
        <f aca="false">COUNTIFS(Catalogue!$A$5:$A$450,$A22,Catalogue!$C$5:$C$450,"P1")</f>
        <v>0</v>
      </c>
      <c r="D22" s="22" t="n">
        <f aca="false">COUNTIFS(Catalogue!$A$5:$A$450,$A22,Catalogue!$C$5:$C$450,"P2")</f>
        <v>0</v>
      </c>
      <c r="E22" s="22" t="n">
        <f aca="false">COUNTIFS(Catalogue!$A$5:$A$450,$A22,Catalogue!$C$5:$C$450,"P3")</f>
        <v>0</v>
      </c>
      <c r="F22" s="22" t="n">
        <f aca="false">$B22-SUM($C22:$E22)</f>
        <v>6</v>
      </c>
      <c r="G22" s="22" t="n">
        <f aca="false">COUNTIFS(Catalogue!$A$5:$A$450,$A22,Catalogue!$D$5:$D$450,"Oui")</f>
        <v>6</v>
      </c>
      <c r="H22" s="22" t="n">
        <f aca="false">COUNTIFS(Catalogue!$A$5:$A$450,$A22,Catalogue!$D$5:$D$450,"Non")</f>
        <v>0</v>
      </c>
      <c r="I22" s="23" t="n">
        <f aca="false">IFERROR($G22/$B22,"-")</f>
        <v>1</v>
      </c>
      <c r="J22" s="22" t="n">
        <f aca="false">COUNTIFS(Catalogue!$A$5:$A$450,$A22,Catalogue!$C$5:$C$450,"P1",Catalogue!$D$5:$D$450,"Non")</f>
        <v>0</v>
      </c>
    </row>
    <row r="23" customFormat="false" ht="15" hidden="false" customHeight="false" outlineLevel="0" collapsed="false">
      <c r="A23" s="24" t="s">
        <v>39</v>
      </c>
      <c r="B23" s="25" t="n">
        <f aca="false">COUNTIF(Catalogue!$A$5:$A$450,$A23)</f>
        <v>9</v>
      </c>
      <c r="C23" s="25" t="n">
        <f aca="false">COUNTIFS(Catalogue!$A$5:$A$450,$A23,Catalogue!$C$5:$C$450,"P1")</f>
        <v>0</v>
      </c>
      <c r="D23" s="25" t="n">
        <f aca="false">COUNTIFS(Catalogue!$A$5:$A$450,$A23,Catalogue!$C$5:$C$450,"P2")</f>
        <v>0</v>
      </c>
      <c r="E23" s="25" t="n">
        <f aca="false">COUNTIFS(Catalogue!$A$5:$A$450,$A23,Catalogue!$C$5:$C$450,"P3")</f>
        <v>0</v>
      </c>
      <c r="F23" s="25" t="n">
        <f aca="false">$B23-SUM($C23:$E23)</f>
        <v>9</v>
      </c>
      <c r="G23" s="25" t="n">
        <f aca="false">COUNTIFS(Catalogue!$A$5:$A$450,$A23,Catalogue!$D$5:$D$450,"Oui")</f>
        <v>9</v>
      </c>
      <c r="H23" s="25" t="n">
        <f aca="false">COUNTIFS(Catalogue!$A$5:$A$450,$A23,Catalogue!$D$5:$D$450,"Non")</f>
        <v>0</v>
      </c>
      <c r="I23" s="26" t="n">
        <f aca="false">IFERROR($G23/$B23,"-")</f>
        <v>1</v>
      </c>
      <c r="J23" s="25" t="n">
        <f aca="false">COUNTIFS(Catalogue!$A$5:$A$450,$A23,Catalogue!$C$5:$C$450,"P1",Catalogue!$D$5:$D$450,"Non")</f>
        <v>0</v>
      </c>
    </row>
    <row r="24" customFormat="false" ht="15" hidden="false" customHeight="false" outlineLevel="0" collapsed="false">
      <c r="A24" s="21" t="s">
        <v>41</v>
      </c>
      <c r="B24" s="22" t="n">
        <f aca="false">COUNTIF(Catalogue!$A$5:$A$450,$A24)</f>
        <v>1</v>
      </c>
      <c r="C24" s="22" t="n">
        <f aca="false">COUNTIFS(Catalogue!$A$5:$A$450,$A24,Catalogue!$C$5:$C$450,"P1")</f>
        <v>0</v>
      </c>
      <c r="D24" s="22" t="n">
        <f aca="false">COUNTIFS(Catalogue!$A$5:$A$450,$A24,Catalogue!$C$5:$C$450,"P2")</f>
        <v>0</v>
      </c>
      <c r="E24" s="22" t="n">
        <f aca="false">COUNTIFS(Catalogue!$A$5:$A$450,$A24,Catalogue!$C$5:$C$450,"P3")</f>
        <v>0</v>
      </c>
      <c r="F24" s="22" t="n">
        <f aca="false">$B24-SUM($C24:$E24)</f>
        <v>1</v>
      </c>
      <c r="G24" s="22" t="n">
        <f aca="false">COUNTIFS(Catalogue!$A$5:$A$450,$A24,Catalogue!$D$5:$D$450,"Oui")</f>
        <v>1</v>
      </c>
      <c r="H24" s="22" t="n">
        <f aca="false">COUNTIFS(Catalogue!$A$5:$A$450,$A24,Catalogue!$D$5:$D$450,"Non")</f>
        <v>0</v>
      </c>
      <c r="I24" s="23" t="n">
        <f aca="false">IFERROR($G24/$B24,"-")</f>
        <v>1</v>
      </c>
      <c r="J24" s="22" t="n">
        <f aca="false">COUNTIFS(Catalogue!$A$5:$A$450,$A24,Catalogue!$C$5:$C$450,"P1",Catalogue!$D$5:$D$450,"Non")</f>
        <v>0</v>
      </c>
    </row>
    <row r="25" customFormat="false" ht="15" hidden="false" customHeight="false" outlineLevel="0" collapsed="false">
      <c r="A25" s="24" t="s">
        <v>43</v>
      </c>
      <c r="B25" s="25" t="n">
        <f aca="false">COUNTIF(Catalogue!$A$5:$A$450,$A25)</f>
        <v>11</v>
      </c>
      <c r="C25" s="25" t="n">
        <f aca="false">COUNTIFS(Catalogue!$A$5:$A$450,$A25,Catalogue!$C$5:$C$450,"P1")</f>
        <v>2</v>
      </c>
      <c r="D25" s="25" t="n">
        <f aca="false">COUNTIFS(Catalogue!$A$5:$A$450,$A25,Catalogue!$C$5:$C$450,"P2")</f>
        <v>1</v>
      </c>
      <c r="E25" s="25" t="n">
        <f aca="false">COUNTIFS(Catalogue!$A$5:$A$450,$A25,Catalogue!$C$5:$C$450,"P3")</f>
        <v>1</v>
      </c>
      <c r="F25" s="25" t="n">
        <f aca="false">$B25-SUM($C25:$E25)</f>
        <v>7</v>
      </c>
      <c r="G25" s="25" t="n">
        <f aca="false">COUNTIFS(Catalogue!$A$5:$A$450,$A25,Catalogue!$D$5:$D$450,"Oui")</f>
        <v>11</v>
      </c>
      <c r="H25" s="25" t="n">
        <f aca="false">COUNTIFS(Catalogue!$A$5:$A$450,$A25,Catalogue!$D$5:$D$450,"Non")</f>
        <v>0</v>
      </c>
      <c r="I25" s="26" t="n">
        <f aca="false">IFERROR($G25/$B25,"-")</f>
        <v>1</v>
      </c>
      <c r="J25" s="25" t="n">
        <f aca="false">COUNTIFS(Catalogue!$A$5:$A$450,$A25,Catalogue!$C$5:$C$450,"P1",Catalogue!$D$5:$D$450,"Non")</f>
        <v>0</v>
      </c>
    </row>
    <row r="26" customFormat="false" ht="15" hidden="false" customHeight="false" outlineLevel="0" collapsed="false">
      <c r="A26" s="21" t="s">
        <v>45</v>
      </c>
      <c r="B26" s="22" t="n">
        <f aca="false">COUNTIF(Catalogue!$A$5:$A$450,$A26)</f>
        <v>5</v>
      </c>
      <c r="C26" s="22" t="n">
        <f aca="false">COUNTIFS(Catalogue!$A$5:$A$450,$A26,Catalogue!$C$5:$C$450,"P1")</f>
        <v>0</v>
      </c>
      <c r="D26" s="22" t="n">
        <f aca="false">COUNTIFS(Catalogue!$A$5:$A$450,$A26,Catalogue!$C$5:$C$450,"P2")</f>
        <v>0</v>
      </c>
      <c r="E26" s="22" t="n">
        <f aca="false">COUNTIFS(Catalogue!$A$5:$A$450,$A26,Catalogue!$C$5:$C$450,"P3")</f>
        <v>0</v>
      </c>
      <c r="F26" s="22" t="n">
        <f aca="false">$B26-SUM($C26:$E26)</f>
        <v>5</v>
      </c>
      <c r="G26" s="22" t="n">
        <f aca="false">COUNTIFS(Catalogue!$A$5:$A$450,$A26,Catalogue!$D$5:$D$450,"Oui")</f>
        <v>5</v>
      </c>
      <c r="H26" s="22" t="n">
        <f aca="false">COUNTIFS(Catalogue!$A$5:$A$450,$A26,Catalogue!$D$5:$D$450,"Non")</f>
        <v>0</v>
      </c>
      <c r="I26" s="23" t="n">
        <f aca="false">IFERROR($G26/$B26,"-")</f>
        <v>1</v>
      </c>
      <c r="J26" s="22" t="n">
        <f aca="false">COUNTIFS(Catalogue!$A$5:$A$450,$A26,Catalogue!$C$5:$C$450,"P1",Catalogue!$D$5:$D$450,"Non")</f>
        <v>0</v>
      </c>
    </row>
    <row r="27" customFormat="false" ht="15" hidden="false" customHeight="false" outlineLevel="0" collapsed="false">
      <c r="A27" s="24" t="s">
        <v>47</v>
      </c>
      <c r="B27" s="25" t="n">
        <f aca="false">COUNTIF(Catalogue!$A$5:$A$450,$A27)</f>
        <v>28</v>
      </c>
      <c r="C27" s="25" t="n">
        <f aca="false">COUNTIFS(Catalogue!$A$5:$A$450,$A27,Catalogue!$C$5:$C$450,"P1")</f>
        <v>9</v>
      </c>
      <c r="D27" s="25" t="n">
        <f aca="false">COUNTIFS(Catalogue!$A$5:$A$450,$A27,Catalogue!$C$5:$C$450,"P2")</f>
        <v>5</v>
      </c>
      <c r="E27" s="25" t="n">
        <f aca="false">COUNTIFS(Catalogue!$A$5:$A$450,$A27,Catalogue!$C$5:$C$450,"P3")</f>
        <v>14</v>
      </c>
      <c r="F27" s="25" t="n">
        <f aca="false">$B27-SUM($C27:$E27)</f>
        <v>0</v>
      </c>
      <c r="G27" s="25" t="n">
        <f aca="false">COUNTIFS(Catalogue!$A$5:$A$450,$A27,Catalogue!$D$5:$D$450,"Oui")</f>
        <v>27</v>
      </c>
      <c r="H27" s="25" t="n">
        <f aca="false">COUNTIFS(Catalogue!$A$5:$A$450,$A27,Catalogue!$D$5:$D$450,"Non")</f>
        <v>1</v>
      </c>
      <c r="I27" s="26" t="n">
        <f aca="false">IFERROR($G27/$B27,"-")</f>
        <v>0.964285714285714</v>
      </c>
      <c r="J27" s="25" t="n">
        <f aca="false">COUNTIFS(Catalogue!$A$5:$A$450,$A27,Catalogue!$C$5:$C$450,"P1",Catalogue!$D$5:$D$450,"Non")</f>
        <v>0</v>
      </c>
    </row>
    <row r="28" customFormat="false" ht="15" hidden="false" customHeight="false" outlineLevel="0" collapsed="false">
      <c r="A28" s="21" t="s">
        <v>49</v>
      </c>
      <c r="B28" s="22" t="n">
        <f aca="false">COUNTIF(Catalogue!$A$5:$A$450,$A28)</f>
        <v>5</v>
      </c>
      <c r="C28" s="22" t="n">
        <f aca="false">COUNTIFS(Catalogue!$A$5:$A$450,$A28,Catalogue!$C$5:$C$450,"P1")</f>
        <v>3</v>
      </c>
      <c r="D28" s="22" t="n">
        <f aca="false">COUNTIFS(Catalogue!$A$5:$A$450,$A28,Catalogue!$C$5:$C$450,"P2")</f>
        <v>1</v>
      </c>
      <c r="E28" s="22" t="n">
        <f aca="false">COUNTIFS(Catalogue!$A$5:$A$450,$A28,Catalogue!$C$5:$C$450,"P3")</f>
        <v>1</v>
      </c>
      <c r="F28" s="22" t="n">
        <f aca="false">$B28-SUM($C28:$E28)</f>
        <v>0</v>
      </c>
      <c r="G28" s="22" t="n">
        <f aca="false">COUNTIFS(Catalogue!$A$5:$A$450,$A28,Catalogue!$D$5:$D$450,"Oui")</f>
        <v>4</v>
      </c>
      <c r="H28" s="22" t="n">
        <f aca="false">COUNTIFS(Catalogue!$A$5:$A$450,$A28,Catalogue!$D$5:$D$450,"Non")</f>
        <v>1</v>
      </c>
      <c r="I28" s="23" t="n">
        <f aca="false">IFERROR($G28/$B28,"-")</f>
        <v>0.8</v>
      </c>
      <c r="J28" s="22" t="n">
        <f aca="false">COUNTIFS(Catalogue!$A$5:$A$450,$A28,Catalogue!$C$5:$C$450,"P1",Catalogue!$D$5:$D$450,"Non")</f>
        <v>0</v>
      </c>
    </row>
    <row r="29" customFormat="false" ht="15" hidden="false" customHeight="false" outlineLevel="0" collapsed="false">
      <c r="A29" s="27" t="s">
        <v>104</v>
      </c>
      <c r="B29" s="28" t="n">
        <f aca="false">SUM(B10:B28)</f>
        <v>256</v>
      </c>
      <c r="C29" s="28" t="n">
        <f aca="false">SUM(C10:C28)</f>
        <v>102</v>
      </c>
      <c r="D29" s="28" t="n">
        <f aca="false">SUM(D10:D28)</f>
        <v>46</v>
      </c>
      <c r="E29" s="28" t="n">
        <f aca="false">SUM(E10:E28)</f>
        <v>33</v>
      </c>
      <c r="F29" s="28" t="n">
        <f aca="false">SUM(F10:F28)</f>
        <v>75</v>
      </c>
      <c r="G29" s="28" t="n">
        <f aca="false">SUM(G10:G28)</f>
        <v>230</v>
      </c>
      <c r="H29" s="28" t="n">
        <f aca="false">SUM(H10:H28)</f>
        <v>26</v>
      </c>
      <c r="I29" s="29" t="n">
        <f aca="false">IFERROR($G29/$B29,"-")</f>
        <v>0.8984375</v>
      </c>
      <c r="J29" s="28" t="n">
        <f aca="false">SUM(J10:J28)</f>
        <v>6</v>
      </c>
    </row>
    <row r="31" customFormat="false" ht="15" hidden="false" customHeight="false" outlineLevel="0" collapsed="false">
      <c r="A31" s="6" t="s">
        <v>105</v>
      </c>
    </row>
    <row r="32" customFormat="false" ht="23.85" hidden="false" customHeight="false" outlineLevel="0" collapsed="false">
      <c r="A32" s="20" t="s">
        <v>65</v>
      </c>
      <c r="B32" s="20" t="s">
        <v>91</v>
      </c>
      <c r="C32" s="20" t="s">
        <v>93</v>
      </c>
      <c r="D32" s="20" t="s">
        <v>94</v>
      </c>
      <c r="E32" s="20" t="s">
        <v>95</v>
      </c>
    </row>
    <row r="33" customFormat="false" ht="15" hidden="false" customHeight="false" outlineLevel="0" collapsed="false">
      <c r="A33" s="21" t="s">
        <v>13</v>
      </c>
      <c r="B33" s="22" t="n">
        <f aca="false">COUNTIF(Catalogue!$C$5:$C$450,$A33)</f>
        <v>102</v>
      </c>
      <c r="C33" s="22" t="n">
        <f aca="false">COUNTIFS(Catalogue!$C$5:$C$450,$A33,Catalogue!$D$5:$D$450,"Oui")</f>
        <v>96</v>
      </c>
      <c r="D33" s="22" t="n">
        <f aca="false">COUNTIFS(Catalogue!$C$5:$C$450,$A33,Catalogue!$D$5:$D$450,"Non")</f>
        <v>6</v>
      </c>
      <c r="E33" s="23" t="n">
        <f aca="false">IFERROR($C33/$B33,"-")</f>
        <v>0.941176470588235</v>
      </c>
    </row>
    <row r="34" customFormat="false" ht="15" hidden="false" customHeight="false" outlineLevel="0" collapsed="false">
      <c r="A34" s="21" t="s">
        <v>16</v>
      </c>
      <c r="B34" s="22" t="n">
        <f aca="false">COUNTIF(Catalogue!$C$5:$C$450,$A34)</f>
        <v>46</v>
      </c>
      <c r="C34" s="22" t="n">
        <f aca="false">COUNTIFS(Catalogue!$C$5:$C$450,$A34,Catalogue!$D$5:$D$450,"Oui")</f>
        <v>34</v>
      </c>
      <c r="D34" s="22" t="n">
        <f aca="false">COUNTIFS(Catalogue!$C$5:$C$450,$A34,Catalogue!$D$5:$D$450,"Non")</f>
        <v>12</v>
      </c>
      <c r="E34" s="23" t="n">
        <f aca="false">IFERROR($C34/$B34,"-")</f>
        <v>0.739130434782609</v>
      </c>
    </row>
    <row r="35" customFormat="false" ht="15" hidden="false" customHeight="false" outlineLevel="0" collapsed="false">
      <c r="A35" s="21" t="s">
        <v>19</v>
      </c>
      <c r="B35" s="22" t="n">
        <f aca="false">COUNTIF(Catalogue!$C$5:$C$450,$A35)</f>
        <v>33</v>
      </c>
      <c r="C35" s="22" t="n">
        <f aca="false">COUNTIFS(Catalogue!$C$5:$C$450,$A35,Catalogue!$D$5:$D$450,"Oui")</f>
        <v>26</v>
      </c>
      <c r="D35" s="22" t="n">
        <f aca="false">COUNTIFS(Catalogue!$C$5:$C$450,$A35,Catalogue!$D$5:$D$450,"Non")</f>
        <v>7</v>
      </c>
      <c r="E35" s="23" t="n">
        <f aca="false">IFERROR($C35/$B35,"-")</f>
        <v>0.787878787878788</v>
      </c>
    </row>
    <row r="36" customFormat="false" ht="15" hidden="false" customHeight="false" outlineLevel="0" collapsed="false">
      <c r="A36" s="21" t="s">
        <v>92</v>
      </c>
      <c r="B36" s="22" t="n">
        <f aca="false">COUNTA(Catalogue!$B$5:$B$450)-SUM(B33:B35)</f>
        <v>75</v>
      </c>
      <c r="C36" s="22" t="n">
        <f aca="false">COUNTIFS(Catalogue!$C$5:$C$450,"",Catalogue!$D$5:$D$450,"Oui")</f>
        <v>56</v>
      </c>
      <c r="D36" s="22" t="n">
        <f aca="false">COUNTIFS(Catalogue!$C$5:$C$450,"",Catalogue!$D$5:$D$450,"Non")</f>
        <v>1</v>
      </c>
      <c r="E36" s="23" t="n">
        <f aca="false">IFERROR($C36/$B36,"-")</f>
        <v>0.746666666666667</v>
      </c>
    </row>
    <row r="38" customFormat="false" ht="15" hidden="false" customHeight="false" outlineLevel="0" collapsed="false">
      <c r="A38" s="6" t="s">
        <v>106</v>
      </c>
    </row>
    <row r="39" customFormat="false" ht="15" hidden="false" customHeight="false" outlineLevel="0" collapsed="false">
      <c r="A39" s="30" t="s">
        <v>107</v>
      </c>
      <c r="B39" s="30" t="s">
        <v>91</v>
      </c>
      <c r="C39" s="30" t="s">
        <v>108</v>
      </c>
    </row>
    <row r="40" customFormat="false" ht="15" hidden="false" customHeight="false" outlineLevel="0" collapsed="false">
      <c r="A40" s="21" t="s">
        <v>109</v>
      </c>
      <c r="B40" s="22" t="n">
        <f aca="false">SUMPRODUCT(--ISNUMBER(SEARCH($A40,Catalogue!$E$5:$E$450)))</f>
        <v>219</v>
      </c>
      <c r="C40" s="22" t="n">
        <f aca="false">SUMPRODUCT(--ISNUMBER(SEARCH($A40,Catalogue!$E$5:$E$450)),--(Catalogue!$C$5:$C$450="P1"))</f>
        <v>95</v>
      </c>
    </row>
    <row r="41" customFormat="false" ht="15" hidden="false" customHeight="false" outlineLevel="0" collapsed="false">
      <c r="A41" s="21" t="s">
        <v>110</v>
      </c>
      <c r="B41" s="22" t="n">
        <f aca="false">SUMPRODUCT(--ISNUMBER(SEARCH($A41,Catalogue!$E$5:$E$450)))</f>
        <v>22</v>
      </c>
      <c r="C41" s="22" t="n">
        <f aca="false">SUMPRODUCT(--ISNUMBER(SEARCH($A41,Catalogue!$E$5:$E$450)),--(Catalogue!$C$5:$C$450="P1"))</f>
        <v>4</v>
      </c>
    </row>
    <row r="42" customFormat="false" ht="15" hidden="false" customHeight="false" outlineLevel="0" collapsed="false">
      <c r="A42" s="21" t="s">
        <v>111</v>
      </c>
      <c r="B42" s="22" t="n">
        <f aca="false">SUMPRODUCT(--ISNUMBER(SEARCH($A42,Catalogue!$E$5:$E$450)))</f>
        <v>1</v>
      </c>
      <c r="C42" s="22" t="n">
        <f aca="false">SUMPRODUCT(--ISNUMBER(SEARCH($A42,Catalogue!$E$5:$E$450)),--(Catalogue!$C$5:$C$450="P1"))</f>
        <v>0</v>
      </c>
    </row>
    <row r="43" customFormat="false" ht="15" hidden="false" customHeight="false" outlineLevel="0" collapsed="false">
      <c r="A43" s="21" t="s">
        <v>112</v>
      </c>
      <c r="B43" s="22" t="n">
        <f aca="false">SUMPRODUCT(--ISNUMBER(SEARCH($A43,Catalogue!$E$5:$E$450)))</f>
        <v>2</v>
      </c>
      <c r="C43" s="22" t="n">
        <f aca="false">SUMPRODUCT(--ISNUMBER(SEARCH($A43,Catalogue!$E$5:$E$450)),--(Catalogue!$C$5:$C$450="P1"))</f>
        <v>1</v>
      </c>
    </row>
    <row r="44" customFormat="false" ht="15" hidden="false" customHeight="false" outlineLevel="0" collapsed="false">
      <c r="A44" s="21" t="s">
        <v>113</v>
      </c>
      <c r="B44" s="22" t="n">
        <f aca="false">SUMPRODUCT(--ISNUMBER(SEARCH($A44,Catalogue!$E$5:$E$450)))</f>
        <v>1</v>
      </c>
      <c r="C44" s="22" t="n">
        <f aca="false">SUMPRODUCT(--ISNUMBER(SEARCH($A44,Catalogue!$E$5:$E$450)),--(Catalogue!$C$5:$C$450="P1"))</f>
        <v>1</v>
      </c>
    </row>
    <row r="45" customFormat="false" ht="15" hidden="false" customHeight="false" outlineLevel="0" collapsed="false">
      <c r="A45" s="21" t="s">
        <v>114</v>
      </c>
      <c r="B45" s="22" t="n">
        <f aca="false">SUMPRODUCT(--ISNUMBER(SEARCH($A45,Catalogue!$E$5:$E$450)))</f>
        <v>6</v>
      </c>
      <c r="C45" s="22" t="n">
        <f aca="false">SUMPRODUCT(--ISNUMBER(SEARCH($A45,Catalogue!$E$5:$E$450)),--(Catalogue!$C$5:$C$450="P1"))</f>
        <v>6</v>
      </c>
    </row>
    <row r="46" customFormat="false" ht="15" hidden="false" customHeight="false" outlineLevel="0" collapsed="false">
      <c r="A46" s="12" t="s">
        <v>115</v>
      </c>
    </row>
  </sheetData>
  <conditionalFormatting sqref="A10:J28">
    <cfRule type="expression" priority="2" aboveAverage="0" equalAverage="0" bottom="0" percent="0" rank="0" text="" dxfId="0">
      <formula>$J10&gt;0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12" t="s">
        <v>117</v>
      </c>
    </row>
    <row r="4" customFormat="false" ht="21.75" hidden="false" customHeight="true" outlineLevel="0" collapsed="false">
      <c r="A4" s="16" t="s">
        <v>118</v>
      </c>
      <c r="B4" s="31" t="n">
        <v>346</v>
      </c>
    </row>
    <row r="5" customFormat="false" ht="21.75" hidden="false" customHeight="true" outlineLevel="0" collapsed="false">
      <c r="A5" s="16" t="s">
        <v>119</v>
      </c>
      <c r="B5" s="31" t="n">
        <v>317</v>
      </c>
    </row>
    <row r="6" customFormat="false" ht="21.75" hidden="false" customHeight="true" outlineLevel="0" collapsed="false">
      <c r="A6" s="32" t="s">
        <v>120</v>
      </c>
      <c r="B6" s="33" t="n">
        <v>24</v>
      </c>
    </row>
    <row r="7" customFormat="false" ht="21.75" hidden="false" customHeight="true" outlineLevel="0" collapsed="false">
      <c r="A7" s="18" t="s">
        <v>121</v>
      </c>
      <c r="B7" s="34" t="n">
        <v>8</v>
      </c>
    </row>
    <row r="8" customFormat="false" ht="21.75" hidden="false" customHeight="true" outlineLevel="0" collapsed="false">
      <c r="A8" s="35" t="s">
        <v>122</v>
      </c>
      <c r="B8" s="33" t="n">
        <v>34</v>
      </c>
    </row>
    <row r="9" customFormat="false" ht="21.75" hidden="false" customHeight="true" outlineLevel="0" collapsed="false">
      <c r="A9" s="36" t="s">
        <v>123</v>
      </c>
      <c r="B9" s="37" t="n">
        <v>122</v>
      </c>
    </row>
    <row r="10" customFormat="false" ht="21.75" hidden="false" customHeight="true" outlineLevel="0" collapsed="false">
      <c r="A10" s="38" t="s">
        <v>124</v>
      </c>
      <c r="B10" s="39" t="n">
        <v>35</v>
      </c>
    </row>
    <row r="11" customFormat="false" ht="21.75" hidden="false" customHeight="true" outlineLevel="0" collapsed="false">
      <c r="A11" s="36" t="s">
        <v>125</v>
      </c>
      <c r="B11" s="37" t="n">
        <v>126</v>
      </c>
    </row>
    <row r="12" customFormat="false" ht="21.75" hidden="false" customHeight="true" outlineLevel="0" collapsed="false">
      <c r="A12" s="32" t="s">
        <v>126</v>
      </c>
      <c r="B12" s="33" t="n">
        <v>53</v>
      </c>
    </row>
    <row r="13" customFormat="false" ht="21.75" hidden="false" customHeight="true" outlineLevel="0" collapsed="false">
      <c r="A13" s="16" t="s">
        <v>127</v>
      </c>
      <c r="B13" s="31" t="s">
        <v>128</v>
      </c>
    </row>
    <row r="16" customFormat="false" ht="15" hidden="false" customHeight="false" outlineLevel="0" collapsed="false">
      <c r="A16" s="40" t="s">
        <v>129</v>
      </c>
      <c r="B16" s="40" t="s">
        <v>130</v>
      </c>
    </row>
    <row r="17" customFormat="false" ht="15" hidden="false" customHeight="false" outlineLevel="0" collapsed="false">
      <c r="A17" s="41" t="s">
        <v>30</v>
      </c>
      <c r="B17" s="42" t="n">
        <v>53</v>
      </c>
    </row>
    <row r="18" customFormat="false" ht="15" hidden="false" customHeight="false" outlineLevel="0" collapsed="false">
      <c r="A18" s="41" t="s">
        <v>131</v>
      </c>
      <c r="B18" s="42" t="n">
        <v>42</v>
      </c>
    </row>
    <row r="19" customFormat="false" ht="15" hidden="false" customHeight="false" outlineLevel="0" collapsed="false">
      <c r="A19" s="41" t="s">
        <v>47</v>
      </c>
      <c r="B19" s="42" t="n">
        <v>38</v>
      </c>
    </row>
    <row r="20" customFormat="false" ht="15" hidden="false" customHeight="false" outlineLevel="0" collapsed="false">
      <c r="A20" s="41" t="s">
        <v>132</v>
      </c>
      <c r="B20" s="42" t="n">
        <v>34</v>
      </c>
    </row>
    <row r="21" customFormat="false" ht="15" hidden="false" customHeight="false" outlineLevel="0" collapsed="false">
      <c r="A21" s="41" t="s">
        <v>133</v>
      </c>
      <c r="B21" s="42" t="n">
        <v>30</v>
      </c>
    </row>
    <row r="22" customFormat="false" ht="15" hidden="false" customHeight="false" outlineLevel="0" collapsed="false">
      <c r="A22" s="41" t="s">
        <v>43</v>
      </c>
      <c r="B22" s="42" t="n">
        <v>16</v>
      </c>
    </row>
    <row r="23" customFormat="false" ht="15" hidden="false" customHeight="false" outlineLevel="0" collapsed="false">
      <c r="A23" s="41" t="s">
        <v>134</v>
      </c>
      <c r="B23" s="42" t="n">
        <v>14</v>
      </c>
    </row>
    <row r="24" customFormat="false" ht="15" hidden="false" customHeight="false" outlineLevel="0" collapsed="false">
      <c r="A24" s="41" t="s">
        <v>35</v>
      </c>
      <c r="B24" s="42" t="n">
        <v>12</v>
      </c>
    </row>
    <row r="25" customFormat="false" ht="15" hidden="false" customHeight="false" outlineLevel="0" collapsed="false">
      <c r="A25" s="41" t="s">
        <v>135</v>
      </c>
      <c r="B25" s="42" t="n">
        <v>12</v>
      </c>
    </row>
    <row r="26" customFormat="false" ht="15" hidden="false" customHeight="false" outlineLevel="0" collapsed="false">
      <c r="A26" s="41" t="s">
        <v>136</v>
      </c>
      <c r="B26" s="42" t="n">
        <v>10</v>
      </c>
    </row>
    <row r="27" customFormat="false" ht="15" hidden="false" customHeight="false" outlineLevel="0" collapsed="false">
      <c r="A27" s="41" t="s">
        <v>137</v>
      </c>
      <c r="B27" s="42" t="n">
        <v>10</v>
      </c>
    </row>
    <row r="28" customFormat="false" ht="15" hidden="false" customHeight="false" outlineLevel="0" collapsed="false">
      <c r="A28" s="41" t="s">
        <v>40</v>
      </c>
      <c r="B28" s="42" t="n">
        <v>9</v>
      </c>
    </row>
    <row r="29" customFormat="false" ht="15" hidden="false" customHeight="false" outlineLevel="0" collapsed="false">
      <c r="A29" s="41" t="s">
        <v>138</v>
      </c>
      <c r="B29" s="42" t="n">
        <v>8</v>
      </c>
    </row>
    <row r="30" customFormat="false" ht="15" hidden="false" customHeight="false" outlineLevel="0" collapsed="false">
      <c r="A30" s="41" t="s">
        <v>38</v>
      </c>
      <c r="B30" s="42" t="n">
        <v>8</v>
      </c>
    </row>
    <row r="31" customFormat="false" ht="15" hidden="false" customHeight="false" outlineLevel="0" collapsed="false">
      <c r="A31" s="41" t="s">
        <v>36</v>
      </c>
      <c r="B31" s="42" t="n">
        <v>7</v>
      </c>
    </row>
    <row r="32" customFormat="false" ht="15" hidden="false" customHeight="false" outlineLevel="0" collapsed="false">
      <c r="A32" s="41" t="s">
        <v>34</v>
      </c>
      <c r="B32" s="42" t="n">
        <v>7</v>
      </c>
    </row>
    <row r="33" customFormat="false" ht="15" hidden="false" customHeight="false" outlineLevel="0" collapsed="false">
      <c r="A33" s="41" t="s">
        <v>49</v>
      </c>
      <c r="B33" s="42" t="n">
        <v>6</v>
      </c>
    </row>
    <row r="34" customFormat="false" ht="15" hidden="false" customHeight="false" outlineLevel="0" collapsed="false">
      <c r="A34" s="41" t="s">
        <v>46</v>
      </c>
      <c r="B34" s="42" t="n">
        <v>5</v>
      </c>
    </row>
    <row r="35" customFormat="false" ht="15" hidden="false" customHeight="false" outlineLevel="0" collapsed="false">
      <c r="A35" s="41" t="s">
        <v>139</v>
      </c>
      <c r="B35" s="42" t="n">
        <v>4</v>
      </c>
    </row>
    <row r="36" customFormat="false" ht="15" hidden="false" customHeight="false" outlineLevel="0" collapsed="false">
      <c r="A36" s="41" t="s">
        <v>42</v>
      </c>
      <c r="B36" s="42" t="n">
        <v>1</v>
      </c>
    </row>
    <row r="39" customFormat="false" ht="15" hidden="false" customHeight="false" outlineLevel="0" collapsed="false">
      <c r="A39" s="40" t="s">
        <v>140</v>
      </c>
      <c r="B39" s="40" t="s">
        <v>91</v>
      </c>
    </row>
    <row r="40" customFormat="false" ht="15" hidden="false" customHeight="false" outlineLevel="0" collapsed="false">
      <c r="A40" s="41" t="s">
        <v>141</v>
      </c>
      <c r="B40" s="42" t="n">
        <v>122</v>
      </c>
    </row>
    <row r="41" customFormat="false" ht="15" hidden="false" customHeight="false" outlineLevel="0" collapsed="false">
      <c r="A41" s="41" t="s">
        <v>142</v>
      </c>
      <c r="B41" s="42" t="n">
        <v>35</v>
      </c>
    </row>
    <row r="42" customFormat="false" ht="15" hidden="false" customHeight="false" outlineLevel="0" collapsed="false">
      <c r="A42" s="41" t="s">
        <v>143</v>
      </c>
      <c r="B42" s="42" t="n">
        <v>126</v>
      </c>
    </row>
    <row r="43" customFormat="false" ht="15" hidden="false" customHeight="false" outlineLevel="0" collapsed="false">
      <c r="A43" s="41" t="s">
        <v>144</v>
      </c>
      <c r="B43" s="42" t="n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62"/>
    <col collapsed="false" customWidth="true" hidden="false" outlineLevel="0" max="10" min="10" style="0" width="16"/>
  </cols>
  <sheetData>
    <row r="1" customFormat="false" ht="21.75" hidden="false" customHeight="true" outlineLevel="0" collapsed="false">
      <c r="A1" s="1" t="s">
        <v>145</v>
      </c>
    </row>
    <row r="2" customFormat="false" ht="15" hidden="false" customHeight="false" outlineLevel="0" collapsed="false">
      <c r="A2" s="12" t="s">
        <v>146</v>
      </c>
    </row>
    <row r="4" customFormat="false" ht="30" hidden="false" customHeight="true" outlineLevel="0" collapsed="false">
      <c r="A4" s="20" t="s">
        <v>28</v>
      </c>
      <c r="B4" s="20" t="s">
        <v>62</v>
      </c>
      <c r="C4" s="20" t="s">
        <v>65</v>
      </c>
      <c r="D4" s="20" t="s">
        <v>68</v>
      </c>
      <c r="E4" s="20" t="s">
        <v>147</v>
      </c>
      <c r="F4" s="20" t="s">
        <v>73</v>
      </c>
      <c r="G4" s="20" t="s">
        <v>75</v>
      </c>
      <c r="H4" s="20" t="s">
        <v>77</v>
      </c>
      <c r="I4" s="20" t="s">
        <v>80</v>
      </c>
      <c r="J4" s="20" t="s">
        <v>148</v>
      </c>
    </row>
    <row r="5" customFormat="false" ht="46.25" hidden="false" customHeight="false" outlineLevel="0" collapsed="false">
      <c r="A5" s="21" t="s">
        <v>97</v>
      </c>
      <c r="B5" s="43" t="s">
        <v>149</v>
      </c>
      <c r="C5" s="44" t="s">
        <v>16</v>
      </c>
      <c r="D5" s="44" t="s">
        <v>150</v>
      </c>
      <c r="E5" s="43" t="s">
        <v>111</v>
      </c>
      <c r="F5" s="45" t="s">
        <v>151</v>
      </c>
      <c r="G5" s="46"/>
      <c r="H5" s="47"/>
      <c r="I5" s="43" t="s">
        <v>152</v>
      </c>
      <c r="J5" s="48" t="s">
        <v>153</v>
      </c>
    </row>
    <row r="6" customFormat="false" ht="15" hidden="false" customHeight="false" outlineLevel="0" collapsed="false">
      <c r="A6" s="24" t="s">
        <v>97</v>
      </c>
      <c r="B6" s="49" t="s">
        <v>154</v>
      </c>
      <c r="C6" s="50" t="s">
        <v>13</v>
      </c>
      <c r="D6" s="50" t="s">
        <v>155</v>
      </c>
      <c r="E6" s="49"/>
      <c r="F6" s="51"/>
      <c r="G6" s="52"/>
      <c r="H6" s="53"/>
      <c r="I6" s="49" t="s">
        <v>156</v>
      </c>
      <c r="J6" s="54" t="s">
        <v>153</v>
      </c>
    </row>
    <row r="7" customFormat="false" ht="15" hidden="false" customHeight="false" outlineLevel="0" collapsed="false">
      <c r="A7" s="21" t="s">
        <v>97</v>
      </c>
      <c r="B7" s="43" t="s">
        <v>157</v>
      </c>
      <c r="C7" s="44" t="s">
        <v>13</v>
      </c>
      <c r="D7" s="44" t="s">
        <v>150</v>
      </c>
      <c r="E7" s="43" t="s">
        <v>158</v>
      </c>
      <c r="F7" s="55"/>
      <c r="G7" s="46"/>
      <c r="H7" s="47"/>
      <c r="I7" s="43" t="s">
        <v>159</v>
      </c>
      <c r="J7" s="48" t="s">
        <v>153</v>
      </c>
    </row>
    <row r="8" customFormat="false" ht="15" hidden="false" customHeight="false" outlineLevel="0" collapsed="false">
      <c r="A8" s="24" t="s">
        <v>97</v>
      </c>
      <c r="B8" s="49" t="s">
        <v>160</v>
      </c>
      <c r="C8" s="50" t="s">
        <v>19</v>
      </c>
      <c r="D8" s="50" t="s">
        <v>155</v>
      </c>
      <c r="E8" s="49"/>
      <c r="F8" s="51"/>
      <c r="G8" s="52"/>
      <c r="H8" s="53"/>
      <c r="I8" s="49"/>
      <c r="J8" s="54" t="s">
        <v>153</v>
      </c>
    </row>
    <row r="9" customFormat="false" ht="15" hidden="false" customHeight="false" outlineLevel="0" collapsed="false">
      <c r="A9" s="21" t="s">
        <v>97</v>
      </c>
      <c r="B9" s="43" t="s">
        <v>161</v>
      </c>
      <c r="C9" s="44" t="s">
        <v>16</v>
      </c>
      <c r="D9" s="44" t="s">
        <v>150</v>
      </c>
      <c r="E9" s="43" t="s">
        <v>110</v>
      </c>
      <c r="F9" s="45" t="s">
        <v>162</v>
      </c>
      <c r="G9" s="46"/>
      <c r="H9" s="47"/>
      <c r="I9" s="43"/>
      <c r="J9" s="48" t="s">
        <v>153</v>
      </c>
    </row>
    <row r="10" customFormat="false" ht="15" hidden="false" customHeight="false" outlineLevel="0" collapsed="false">
      <c r="A10" s="24" t="s">
        <v>97</v>
      </c>
      <c r="B10" s="49" t="s">
        <v>163</v>
      </c>
      <c r="C10" s="50" t="s">
        <v>19</v>
      </c>
      <c r="D10" s="50" t="s">
        <v>150</v>
      </c>
      <c r="E10" s="49" t="s">
        <v>110</v>
      </c>
      <c r="F10" s="51" t="s">
        <v>162</v>
      </c>
      <c r="G10" s="52"/>
      <c r="H10" s="53"/>
      <c r="I10" s="49"/>
      <c r="J10" s="54" t="s">
        <v>153</v>
      </c>
    </row>
    <row r="11" customFormat="false" ht="15" hidden="false" customHeight="false" outlineLevel="0" collapsed="false">
      <c r="A11" s="21" t="s">
        <v>97</v>
      </c>
      <c r="B11" s="43" t="s">
        <v>164</v>
      </c>
      <c r="C11" s="44" t="s">
        <v>19</v>
      </c>
      <c r="D11" s="44" t="s">
        <v>155</v>
      </c>
      <c r="E11" s="43"/>
      <c r="F11" s="45"/>
      <c r="G11" s="46"/>
      <c r="H11" s="47"/>
      <c r="I11" s="43"/>
      <c r="J11" s="48" t="s">
        <v>153</v>
      </c>
    </row>
    <row r="12" customFormat="false" ht="35.05" hidden="false" customHeight="false" outlineLevel="0" collapsed="false">
      <c r="A12" s="24" t="s">
        <v>97</v>
      </c>
      <c r="B12" s="49" t="s">
        <v>165</v>
      </c>
      <c r="C12" s="56"/>
      <c r="D12" s="50" t="s">
        <v>150</v>
      </c>
      <c r="E12" s="49" t="s">
        <v>110</v>
      </c>
      <c r="F12" s="51" t="s">
        <v>166</v>
      </c>
      <c r="G12" s="52"/>
      <c r="H12" s="53"/>
      <c r="I12" s="49" t="s">
        <v>167</v>
      </c>
      <c r="J12" s="54" t="s">
        <v>153</v>
      </c>
    </row>
    <row r="13" customFormat="false" ht="15" hidden="false" customHeight="false" outlineLevel="0" collapsed="false">
      <c r="A13" s="21" t="s">
        <v>98</v>
      </c>
      <c r="B13" s="43" t="s">
        <v>168</v>
      </c>
      <c r="C13" s="44" t="s">
        <v>16</v>
      </c>
      <c r="D13" s="44" t="s">
        <v>150</v>
      </c>
      <c r="E13" s="43" t="s">
        <v>109</v>
      </c>
      <c r="F13" s="45" t="s">
        <v>169</v>
      </c>
      <c r="G13" s="46"/>
      <c r="H13" s="47"/>
      <c r="I13" s="43"/>
      <c r="J13" s="48" t="s">
        <v>153</v>
      </c>
    </row>
    <row r="14" customFormat="false" ht="15" hidden="false" customHeight="false" outlineLevel="0" collapsed="false">
      <c r="A14" s="24" t="s">
        <v>98</v>
      </c>
      <c r="B14" s="49" t="s">
        <v>170</v>
      </c>
      <c r="C14" s="50" t="s">
        <v>13</v>
      </c>
      <c r="D14" s="50" t="s">
        <v>150</v>
      </c>
      <c r="E14" s="49" t="s">
        <v>109</v>
      </c>
      <c r="F14" s="51" t="s">
        <v>171</v>
      </c>
      <c r="G14" s="52"/>
      <c r="H14" s="53"/>
      <c r="I14" s="49"/>
      <c r="J14" s="54" t="s">
        <v>153</v>
      </c>
    </row>
    <row r="15" customFormat="false" ht="15" hidden="false" customHeight="false" outlineLevel="0" collapsed="false">
      <c r="A15" s="21" t="s">
        <v>98</v>
      </c>
      <c r="B15" s="43" t="s">
        <v>172</v>
      </c>
      <c r="C15" s="44" t="s">
        <v>19</v>
      </c>
      <c r="D15" s="44" t="s">
        <v>150</v>
      </c>
      <c r="E15" s="43" t="s">
        <v>109</v>
      </c>
      <c r="F15" s="45" t="s">
        <v>171</v>
      </c>
      <c r="G15" s="46"/>
      <c r="H15" s="47"/>
      <c r="I15" s="43"/>
      <c r="J15" s="48" t="s">
        <v>153</v>
      </c>
    </row>
    <row r="16" customFormat="false" ht="15" hidden="false" customHeight="false" outlineLevel="0" collapsed="false">
      <c r="A16" s="24" t="s">
        <v>98</v>
      </c>
      <c r="B16" s="49" t="s">
        <v>173</v>
      </c>
      <c r="C16" s="50" t="s">
        <v>13</v>
      </c>
      <c r="D16" s="50" t="s">
        <v>150</v>
      </c>
      <c r="E16" s="49" t="s">
        <v>109</v>
      </c>
      <c r="F16" s="51" t="s">
        <v>174</v>
      </c>
      <c r="G16" s="52"/>
      <c r="H16" s="53"/>
      <c r="I16" s="49"/>
      <c r="J16" s="54" t="s">
        <v>153</v>
      </c>
    </row>
    <row r="17" customFormat="false" ht="15" hidden="false" customHeight="false" outlineLevel="0" collapsed="false">
      <c r="A17" s="21" t="s">
        <v>98</v>
      </c>
      <c r="B17" s="43" t="s">
        <v>175</v>
      </c>
      <c r="C17" s="44" t="s">
        <v>13</v>
      </c>
      <c r="D17" s="44" t="s">
        <v>150</v>
      </c>
      <c r="E17" s="43" t="s">
        <v>109</v>
      </c>
      <c r="F17" s="45" t="s">
        <v>169</v>
      </c>
      <c r="G17" s="46"/>
      <c r="H17" s="47"/>
      <c r="I17" s="43"/>
      <c r="J17" s="48" t="s">
        <v>153</v>
      </c>
    </row>
    <row r="18" customFormat="false" ht="15" hidden="false" customHeight="false" outlineLevel="0" collapsed="false">
      <c r="A18" s="24" t="s">
        <v>98</v>
      </c>
      <c r="B18" s="49" t="s">
        <v>176</v>
      </c>
      <c r="C18" s="50" t="s">
        <v>13</v>
      </c>
      <c r="D18" s="50" t="s">
        <v>150</v>
      </c>
      <c r="E18" s="49" t="s">
        <v>109</v>
      </c>
      <c r="F18" s="51" t="s">
        <v>177</v>
      </c>
      <c r="G18" s="52"/>
      <c r="H18" s="53"/>
      <c r="I18" s="49"/>
      <c r="J18" s="54" t="s">
        <v>153</v>
      </c>
    </row>
    <row r="19" customFormat="false" ht="15" hidden="false" customHeight="false" outlineLevel="0" collapsed="false">
      <c r="A19" s="21" t="s">
        <v>98</v>
      </c>
      <c r="B19" s="43" t="s">
        <v>178</v>
      </c>
      <c r="C19" s="44" t="s">
        <v>13</v>
      </c>
      <c r="D19" s="44" t="s">
        <v>150</v>
      </c>
      <c r="E19" s="43" t="s">
        <v>109</v>
      </c>
      <c r="F19" s="45" t="s">
        <v>169</v>
      </c>
      <c r="G19" s="46"/>
      <c r="H19" s="47"/>
      <c r="I19" s="43"/>
      <c r="J19" s="48" t="s">
        <v>153</v>
      </c>
    </row>
    <row r="20" customFormat="false" ht="15" hidden="false" customHeight="false" outlineLevel="0" collapsed="false">
      <c r="A20" s="24" t="s">
        <v>98</v>
      </c>
      <c r="B20" s="49" t="s">
        <v>179</v>
      </c>
      <c r="C20" s="50" t="s">
        <v>13</v>
      </c>
      <c r="D20" s="50" t="s">
        <v>150</v>
      </c>
      <c r="E20" s="49" t="s">
        <v>109</v>
      </c>
      <c r="F20" s="51" t="s">
        <v>180</v>
      </c>
      <c r="G20" s="52"/>
      <c r="H20" s="53"/>
      <c r="I20" s="49"/>
      <c r="J20" s="54" t="s">
        <v>153</v>
      </c>
    </row>
    <row r="21" customFormat="false" ht="15" hidden="false" customHeight="false" outlineLevel="0" collapsed="false">
      <c r="A21" s="21" t="s">
        <v>98</v>
      </c>
      <c r="B21" s="43" t="s">
        <v>181</v>
      </c>
      <c r="C21" s="44" t="s">
        <v>13</v>
      </c>
      <c r="D21" s="44" t="s">
        <v>150</v>
      </c>
      <c r="E21" s="43" t="s">
        <v>109</v>
      </c>
      <c r="F21" s="45" t="s">
        <v>169</v>
      </c>
      <c r="G21" s="46"/>
      <c r="H21" s="47"/>
      <c r="I21" s="43"/>
      <c r="J21" s="48" t="s">
        <v>153</v>
      </c>
    </row>
    <row r="22" customFormat="false" ht="15" hidden="false" customHeight="false" outlineLevel="0" collapsed="false">
      <c r="A22" s="24" t="s">
        <v>98</v>
      </c>
      <c r="B22" s="49" t="s">
        <v>182</v>
      </c>
      <c r="C22" s="50" t="s">
        <v>16</v>
      </c>
      <c r="D22" s="50" t="s">
        <v>150</v>
      </c>
      <c r="E22" s="49" t="s">
        <v>109</v>
      </c>
      <c r="F22" s="51" t="s">
        <v>183</v>
      </c>
      <c r="G22" s="52"/>
      <c r="H22" s="53"/>
      <c r="I22" s="49"/>
      <c r="J22" s="54" t="s">
        <v>153</v>
      </c>
    </row>
    <row r="23" customFormat="false" ht="15" hidden="false" customHeight="false" outlineLevel="0" collapsed="false">
      <c r="A23" s="21" t="s">
        <v>98</v>
      </c>
      <c r="B23" s="43" t="s">
        <v>184</v>
      </c>
      <c r="C23" s="44" t="s">
        <v>16</v>
      </c>
      <c r="D23" s="44" t="s">
        <v>150</v>
      </c>
      <c r="E23" s="43" t="s">
        <v>109</v>
      </c>
      <c r="F23" s="45" t="s">
        <v>174</v>
      </c>
      <c r="G23" s="46"/>
      <c r="H23" s="47"/>
      <c r="I23" s="43"/>
      <c r="J23" s="48" t="s">
        <v>153</v>
      </c>
    </row>
    <row r="24" customFormat="false" ht="15" hidden="false" customHeight="false" outlineLevel="0" collapsed="false">
      <c r="A24" s="24" t="s">
        <v>98</v>
      </c>
      <c r="B24" s="49" t="s">
        <v>185</v>
      </c>
      <c r="C24" s="50" t="s">
        <v>16</v>
      </c>
      <c r="D24" s="50" t="s">
        <v>150</v>
      </c>
      <c r="E24" s="49" t="s">
        <v>109</v>
      </c>
      <c r="F24" s="51" t="s">
        <v>177</v>
      </c>
      <c r="G24" s="52"/>
      <c r="H24" s="53"/>
      <c r="I24" s="49"/>
      <c r="J24" s="54" t="s">
        <v>153</v>
      </c>
    </row>
    <row r="25" customFormat="false" ht="15" hidden="false" customHeight="false" outlineLevel="0" collapsed="false">
      <c r="A25" s="21" t="s">
        <v>98</v>
      </c>
      <c r="B25" s="43" t="s">
        <v>186</v>
      </c>
      <c r="C25" s="44" t="s">
        <v>13</v>
      </c>
      <c r="D25" s="44" t="s">
        <v>150</v>
      </c>
      <c r="E25" s="43" t="s">
        <v>109</v>
      </c>
      <c r="F25" s="45" t="s">
        <v>174</v>
      </c>
      <c r="G25" s="46"/>
      <c r="H25" s="47"/>
      <c r="I25" s="43"/>
      <c r="J25" s="48" t="s">
        <v>153</v>
      </c>
    </row>
    <row r="26" customFormat="false" ht="15" hidden="false" customHeight="false" outlineLevel="0" collapsed="false">
      <c r="A26" s="24" t="s">
        <v>98</v>
      </c>
      <c r="B26" s="49" t="s">
        <v>187</v>
      </c>
      <c r="C26" s="50" t="s">
        <v>16</v>
      </c>
      <c r="D26" s="50" t="s">
        <v>150</v>
      </c>
      <c r="E26" s="49" t="s">
        <v>109</v>
      </c>
      <c r="F26" s="51" t="s">
        <v>171</v>
      </c>
      <c r="G26" s="52"/>
      <c r="H26" s="53"/>
      <c r="I26" s="49"/>
      <c r="J26" s="54" t="s">
        <v>153</v>
      </c>
    </row>
    <row r="27" customFormat="false" ht="15" hidden="false" customHeight="false" outlineLevel="0" collapsed="false">
      <c r="A27" s="21" t="s">
        <v>98</v>
      </c>
      <c r="B27" s="43" t="s">
        <v>188</v>
      </c>
      <c r="C27" s="44" t="s">
        <v>13</v>
      </c>
      <c r="D27" s="44" t="s">
        <v>150</v>
      </c>
      <c r="E27" s="43" t="s">
        <v>109</v>
      </c>
      <c r="F27" s="45" t="s">
        <v>171</v>
      </c>
      <c r="G27" s="46"/>
      <c r="H27" s="47"/>
      <c r="I27" s="43"/>
      <c r="J27" s="48" t="s">
        <v>153</v>
      </c>
    </row>
    <row r="28" customFormat="false" ht="15" hidden="false" customHeight="false" outlineLevel="0" collapsed="false">
      <c r="A28" s="24" t="s">
        <v>98</v>
      </c>
      <c r="B28" s="49" t="s">
        <v>189</v>
      </c>
      <c r="C28" s="50" t="s">
        <v>13</v>
      </c>
      <c r="D28" s="50" t="s">
        <v>150</v>
      </c>
      <c r="E28" s="49" t="s">
        <v>109</v>
      </c>
      <c r="F28" s="51" t="s">
        <v>190</v>
      </c>
      <c r="G28" s="52"/>
      <c r="H28" s="53"/>
      <c r="I28" s="49"/>
      <c r="J28" s="54" t="s">
        <v>153</v>
      </c>
    </row>
    <row r="29" customFormat="false" ht="15" hidden="false" customHeight="false" outlineLevel="0" collapsed="false">
      <c r="A29" s="21" t="s">
        <v>98</v>
      </c>
      <c r="B29" s="43" t="s">
        <v>191</v>
      </c>
      <c r="C29" s="44" t="s">
        <v>13</v>
      </c>
      <c r="D29" s="44" t="s">
        <v>150</v>
      </c>
      <c r="E29" s="43" t="s">
        <v>109</v>
      </c>
      <c r="F29" s="45" t="s">
        <v>192</v>
      </c>
      <c r="G29" s="46"/>
      <c r="H29" s="47"/>
      <c r="I29" s="43"/>
      <c r="J29" s="48" t="s">
        <v>153</v>
      </c>
    </row>
    <row r="30" customFormat="false" ht="15" hidden="false" customHeight="false" outlineLevel="0" collapsed="false">
      <c r="A30" s="24" t="s">
        <v>98</v>
      </c>
      <c r="B30" s="49" t="s">
        <v>193</v>
      </c>
      <c r="C30" s="50" t="s">
        <v>16</v>
      </c>
      <c r="D30" s="50" t="s">
        <v>150</v>
      </c>
      <c r="E30" s="49" t="s">
        <v>109</v>
      </c>
      <c r="F30" s="51" t="s">
        <v>174</v>
      </c>
      <c r="G30" s="52"/>
      <c r="H30" s="53"/>
      <c r="I30" s="49"/>
      <c r="J30" s="54" t="s">
        <v>153</v>
      </c>
    </row>
    <row r="31" customFormat="false" ht="15" hidden="false" customHeight="false" outlineLevel="0" collapsed="false">
      <c r="A31" s="21" t="s">
        <v>98</v>
      </c>
      <c r="B31" s="43" t="s">
        <v>194</v>
      </c>
      <c r="C31" s="44" t="s">
        <v>16</v>
      </c>
      <c r="D31" s="44" t="s">
        <v>150</v>
      </c>
      <c r="E31" s="43" t="s">
        <v>109</v>
      </c>
      <c r="F31" s="45" t="s">
        <v>183</v>
      </c>
      <c r="G31" s="46"/>
      <c r="H31" s="47"/>
      <c r="I31" s="43"/>
      <c r="J31" s="48" t="s">
        <v>153</v>
      </c>
    </row>
    <row r="32" customFormat="false" ht="15" hidden="false" customHeight="false" outlineLevel="0" collapsed="false">
      <c r="A32" s="24" t="s">
        <v>98</v>
      </c>
      <c r="B32" s="49" t="s">
        <v>195</v>
      </c>
      <c r="C32" s="50" t="s">
        <v>13</v>
      </c>
      <c r="D32" s="50" t="s">
        <v>150</v>
      </c>
      <c r="E32" s="49" t="s">
        <v>196</v>
      </c>
      <c r="F32" s="51" t="s">
        <v>197</v>
      </c>
      <c r="G32" s="52"/>
      <c r="H32" s="53"/>
      <c r="I32" s="49"/>
      <c r="J32" s="54" t="s">
        <v>153</v>
      </c>
    </row>
    <row r="33" customFormat="false" ht="15" hidden="false" customHeight="false" outlineLevel="0" collapsed="false">
      <c r="A33" s="21" t="s">
        <v>98</v>
      </c>
      <c r="B33" s="43" t="s">
        <v>198</v>
      </c>
      <c r="C33" s="44" t="s">
        <v>13</v>
      </c>
      <c r="D33" s="44" t="s">
        <v>150</v>
      </c>
      <c r="E33" s="43" t="s">
        <v>196</v>
      </c>
      <c r="F33" s="45" t="s">
        <v>199</v>
      </c>
      <c r="G33" s="46"/>
      <c r="H33" s="47"/>
      <c r="I33" s="43"/>
      <c r="J33" s="48" t="s">
        <v>153</v>
      </c>
    </row>
    <row r="34" customFormat="false" ht="15" hidden="false" customHeight="false" outlineLevel="0" collapsed="false">
      <c r="A34" s="24" t="s">
        <v>98</v>
      </c>
      <c r="B34" s="49" t="s">
        <v>200</v>
      </c>
      <c r="C34" s="50" t="s">
        <v>16</v>
      </c>
      <c r="D34" s="50" t="s">
        <v>150</v>
      </c>
      <c r="E34" s="49" t="s">
        <v>109</v>
      </c>
      <c r="F34" s="51" t="s">
        <v>177</v>
      </c>
      <c r="G34" s="52"/>
      <c r="H34" s="53"/>
      <c r="I34" s="49"/>
      <c r="J34" s="54" t="s">
        <v>153</v>
      </c>
    </row>
    <row r="35" customFormat="false" ht="15" hidden="false" customHeight="false" outlineLevel="0" collapsed="false">
      <c r="A35" s="21" t="s">
        <v>98</v>
      </c>
      <c r="B35" s="43" t="s">
        <v>201</v>
      </c>
      <c r="C35" s="44" t="s">
        <v>16</v>
      </c>
      <c r="D35" s="44" t="s">
        <v>150</v>
      </c>
      <c r="E35" s="43" t="s">
        <v>109</v>
      </c>
      <c r="F35" s="45" t="s">
        <v>169</v>
      </c>
      <c r="G35" s="46"/>
      <c r="H35" s="47"/>
      <c r="I35" s="43"/>
      <c r="J35" s="48" t="s">
        <v>153</v>
      </c>
    </row>
    <row r="36" customFormat="false" ht="15" hidden="false" customHeight="false" outlineLevel="0" collapsed="false">
      <c r="A36" s="24" t="s">
        <v>99</v>
      </c>
      <c r="B36" s="49" t="s">
        <v>202</v>
      </c>
      <c r="C36" s="50" t="s">
        <v>13</v>
      </c>
      <c r="D36" s="50" t="s">
        <v>150</v>
      </c>
      <c r="E36" s="49" t="s">
        <v>109</v>
      </c>
      <c r="F36" s="55"/>
      <c r="G36" s="52"/>
      <c r="H36" s="53"/>
      <c r="I36" s="49" t="s">
        <v>203</v>
      </c>
      <c r="J36" s="54" t="s">
        <v>153</v>
      </c>
    </row>
    <row r="37" customFormat="false" ht="15" hidden="false" customHeight="false" outlineLevel="0" collapsed="false">
      <c r="A37" s="21" t="s">
        <v>99</v>
      </c>
      <c r="B37" s="43" t="s">
        <v>204</v>
      </c>
      <c r="C37" s="44" t="s">
        <v>13</v>
      </c>
      <c r="D37" s="44" t="s">
        <v>150</v>
      </c>
      <c r="E37" s="43" t="s">
        <v>109</v>
      </c>
      <c r="F37" s="55"/>
      <c r="G37" s="46"/>
      <c r="H37" s="47"/>
      <c r="I37" s="43" t="s">
        <v>203</v>
      </c>
      <c r="J37" s="48" t="s">
        <v>153</v>
      </c>
    </row>
    <row r="38" customFormat="false" ht="15" hidden="false" customHeight="false" outlineLevel="0" collapsed="false">
      <c r="A38" s="24" t="s">
        <v>99</v>
      </c>
      <c r="B38" s="49" t="s">
        <v>205</v>
      </c>
      <c r="C38" s="50" t="s">
        <v>13</v>
      </c>
      <c r="D38" s="50" t="s">
        <v>150</v>
      </c>
      <c r="E38" s="49" t="s">
        <v>109</v>
      </c>
      <c r="F38" s="55"/>
      <c r="G38" s="52"/>
      <c r="H38" s="53"/>
      <c r="I38" s="49" t="s">
        <v>203</v>
      </c>
      <c r="J38" s="54" t="s">
        <v>153</v>
      </c>
    </row>
    <row r="39" customFormat="false" ht="15" hidden="false" customHeight="false" outlineLevel="0" collapsed="false">
      <c r="A39" s="21" t="s">
        <v>99</v>
      </c>
      <c r="B39" s="43" t="s">
        <v>206</v>
      </c>
      <c r="C39" s="44" t="s">
        <v>19</v>
      </c>
      <c r="D39" s="44" t="s">
        <v>150</v>
      </c>
      <c r="E39" s="43" t="s">
        <v>109</v>
      </c>
      <c r="F39" s="45" t="s">
        <v>207</v>
      </c>
      <c r="G39" s="46"/>
      <c r="H39" s="47"/>
      <c r="I39" s="43"/>
      <c r="J39" s="48" t="s">
        <v>153</v>
      </c>
    </row>
    <row r="40" customFormat="false" ht="15" hidden="false" customHeight="false" outlineLevel="0" collapsed="false">
      <c r="A40" s="24" t="s">
        <v>99</v>
      </c>
      <c r="B40" s="49" t="s">
        <v>208</v>
      </c>
      <c r="C40" s="50" t="s">
        <v>13</v>
      </c>
      <c r="D40" s="50" t="s">
        <v>150</v>
      </c>
      <c r="E40" s="49" t="s">
        <v>109</v>
      </c>
      <c r="F40" s="51" t="s">
        <v>171</v>
      </c>
      <c r="G40" s="52"/>
      <c r="H40" s="53"/>
      <c r="I40" s="49"/>
      <c r="J40" s="54" t="s">
        <v>153</v>
      </c>
    </row>
    <row r="41" customFormat="false" ht="15" hidden="false" customHeight="false" outlineLevel="0" collapsed="false">
      <c r="A41" s="21" t="s">
        <v>99</v>
      </c>
      <c r="B41" s="43" t="s">
        <v>209</v>
      </c>
      <c r="C41" s="44" t="s">
        <v>13</v>
      </c>
      <c r="D41" s="44" t="s">
        <v>150</v>
      </c>
      <c r="E41" s="43" t="s">
        <v>109</v>
      </c>
      <c r="F41" s="45" t="s">
        <v>174</v>
      </c>
      <c r="G41" s="46"/>
      <c r="H41" s="47"/>
      <c r="I41" s="43"/>
      <c r="J41" s="48" t="s">
        <v>153</v>
      </c>
    </row>
    <row r="42" customFormat="false" ht="15" hidden="false" customHeight="false" outlineLevel="0" collapsed="false">
      <c r="A42" s="24" t="s">
        <v>99</v>
      </c>
      <c r="B42" s="49" t="s">
        <v>210</v>
      </c>
      <c r="C42" s="50" t="s">
        <v>19</v>
      </c>
      <c r="D42" s="50" t="s">
        <v>150</v>
      </c>
      <c r="E42" s="49" t="s">
        <v>109</v>
      </c>
      <c r="F42" s="51" t="s">
        <v>192</v>
      </c>
      <c r="G42" s="52"/>
      <c r="H42" s="53"/>
      <c r="I42" s="49"/>
      <c r="J42" s="54" t="s">
        <v>153</v>
      </c>
    </row>
    <row r="43" customFormat="false" ht="15" hidden="false" customHeight="false" outlineLevel="0" collapsed="false">
      <c r="A43" s="21" t="s">
        <v>99</v>
      </c>
      <c r="B43" s="43" t="s">
        <v>211</v>
      </c>
      <c r="C43" s="44" t="s">
        <v>16</v>
      </c>
      <c r="D43" s="44" t="s">
        <v>150</v>
      </c>
      <c r="E43" s="43" t="s">
        <v>109</v>
      </c>
      <c r="F43" s="45" t="s">
        <v>183</v>
      </c>
      <c r="G43" s="46"/>
      <c r="H43" s="47"/>
      <c r="I43" s="43"/>
      <c r="J43" s="48" t="s">
        <v>153</v>
      </c>
    </row>
    <row r="44" customFormat="false" ht="15" hidden="false" customHeight="false" outlineLevel="0" collapsed="false">
      <c r="A44" s="24" t="s">
        <v>99</v>
      </c>
      <c r="B44" s="49" t="s">
        <v>212</v>
      </c>
      <c r="C44" s="50" t="s">
        <v>13</v>
      </c>
      <c r="D44" s="50" t="s">
        <v>150</v>
      </c>
      <c r="E44" s="49" t="s">
        <v>109</v>
      </c>
      <c r="F44" s="51" t="s">
        <v>180</v>
      </c>
      <c r="G44" s="52"/>
      <c r="H44" s="53"/>
      <c r="I44" s="49"/>
      <c r="J44" s="54" t="s">
        <v>153</v>
      </c>
    </row>
    <row r="45" customFormat="false" ht="15" hidden="false" customHeight="false" outlineLevel="0" collapsed="false">
      <c r="A45" s="21" t="s">
        <v>99</v>
      </c>
      <c r="B45" s="43" t="s">
        <v>213</v>
      </c>
      <c r="C45" s="44" t="s">
        <v>13</v>
      </c>
      <c r="D45" s="44" t="s">
        <v>150</v>
      </c>
      <c r="E45" s="43" t="s">
        <v>109</v>
      </c>
      <c r="F45" s="45" t="s">
        <v>180</v>
      </c>
      <c r="G45" s="46"/>
      <c r="H45" s="47"/>
      <c r="I45" s="43"/>
      <c r="J45" s="48" t="s">
        <v>153</v>
      </c>
    </row>
    <row r="46" customFormat="false" ht="15" hidden="false" customHeight="false" outlineLevel="0" collapsed="false">
      <c r="A46" s="24" t="s">
        <v>99</v>
      </c>
      <c r="B46" s="49" t="s">
        <v>214</v>
      </c>
      <c r="C46" s="50" t="s">
        <v>16</v>
      </c>
      <c r="D46" s="50" t="s">
        <v>150</v>
      </c>
      <c r="E46" s="49" t="s">
        <v>109</v>
      </c>
      <c r="F46" s="51" t="s">
        <v>190</v>
      </c>
      <c r="G46" s="52"/>
      <c r="H46" s="53"/>
      <c r="I46" s="49"/>
      <c r="J46" s="54" t="s">
        <v>153</v>
      </c>
    </row>
    <row r="47" customFormat="false" ht="15" hidden="false" customHeight="false" outlineLevel="0" collapsed="false">
      <c r="A47" s="21" t="s">
        <v>99</v>
      </c>
      <c r="B47" s="43" t="s">
        <v>215</v>
      </c>
      <c r="C47" s="44" t="s">
        <v>16</v>
      </c>
      <c r="D47" s="44" t="s">
        <v>150</v>
      </c>
      <c r="E47" s="43" t="s">
        <v>109</v>
      </c>
      <c r="F47" s="45" t="s">
        <v>190</v>
      </c>
      <c r="G47" s="46"/>
      <c r="H47" s="47"/>
      <c r="I47" s="43"/>
      <c r="J47" s="48" t="s">
        <v>153</v>
      </c>
    </row>
    <row r="48" customFormat="false" ht="15" hidden="false" customHeight="false" outlineLevel="0" collapsed="false">
      <c r="A48" s="24" t="s">
        <v>99</v>
      </c>
      <c r="B48" s="49" t="s">
        <v>216</v>
      </c>
      <c r="C48" s="50" t="s">
        <v>13</v>
      </c>
      <c r="D48" s="50" t="s">
        <v>150</v>
      </c>
      <c r="E48" s="49" t="s">
        <v>109</v>
      </c>
      <c r="F48" s="51" t="s">
        <v>177</v>
      </c>
      <c r="G48" s="52"/>
      <c r="H48" s="53"/>
      <c r="I48" s="49"/>
      <c r="J48" s="54" t="s">
        <v>153</v>
      </c>
    </row>
    <row r="49" customFormat="false" ht="15" hidden="false" customHeight="false" outlineLevel="0" collapsed="false">
      <c r="A49" s="21" t="s">
        <v>99</v>
      </c>
      <c r="B49" s="43" t="s">
        <v>217</v>
      </c>
      <c r="C49" s="44" t="s">
        <v>16</v>
      </c>
      <c r="D49" s="44" t="s">
        <v>150</v>
      </c>
      <c r="E49" s="43" t="s">
        <v>109</v>
      </c>
      <c r="F49" s="45" t="s">
        <v>190</v>
      </c>
      <c r="G49" s="46"/>
      <c r="H49" s="47"/>
      <c r="I49" s="43"/>
      <c r="J49" s="48" t="s">
        <v>153</v>
      </c>
    </row>
    <row r="50" customFormat="false" ht="15" hidden="false" customHeight="false" outlineLevel="0" collapsed="false">
      <c r="A50" s="24" t="s">
        <v>99</v>
      </c>
      <c r="B50" s="49" t="s">
        <v>218</v>
      </c>
      <c r="C50" s="50" t="s">
        <v>19</v>
      </c>
      <c r="D50" s="50" t="s">
        <v>150</v>
      </c>
      <c r="E50" s="49" t="s">
        <v>109</v>
      </c>
      <c r="F50" s="51" t="s">
        <v>190</v>
      </c>
      <c r="G50" s="52"/>
      <c r="H50" s="53"/>
      <c r="I50" s="49"/>
      <c r="J50" s="54" t="s">
        <v>153</v>
      </c>
    </row>
    <row r="51" customFormat="false" ht="15" hidden="false" customHeight="false" outlineLevel="0" collapsed="false">
      <c r="A51" s="21" t="s">
        <v>99</v>
      </c>
      <c r="B51" s="43" t="s">
        <v>219</v>
      </c>
      <c r="C51" s="44" t="s">
        <v>16</v>
      </c>
      <c r="D51" s="44" t="s">
        <v>150</v>
      </c>
      <c r="E51" s="43" t="s">
        <v>109</v>
      </c>
      <c r="F51" s="45" t="s">
        <v>192</v>
      </c>
      <c r="G51" s="46"/>
      <c r="H51" s="47"/>
      <c r="I51" s="43"/>
      <c r="J51" s="48" t="s">
        <v>153</v>
      </c>
    </row>
    <row r="52" customFormat="false" ht="15" hidden="false" customHeight="false" outlineLevel="0" collapsed="false">
      <c r="A52" s="24" t="s">
        <v>99</v>
      </c>
      <c r="B52" s="49" t="s">
        <v>220</v>
      </c>
      <c r="C52" s="50" t="s">
        <v>16</v>
      </c>
      <c r="D52" s="50" t="s">
        <v>150</v>
      </c>
      <c r="E52" s="49" t="s">
        <v>109</v>
      </c>
      <c r="F52" s="51" t="s">
        <v>177</v>
      </c>
      <c r="G52" s="52"/>
      <c r="H52" s="53"/>
      <c r="I52" s="49"/>
      <c r="J52" s="54" t="s">
        <v>153</v>
      </c>
    </row>
    <row r="53" customFormat="false" ht="15" hidden="false" customHeight="false" outlineLevel="0" collapsed="false">
      <c r="A53" s="21" t="s">
        <v>99</v>
      </c>
      <c r="B53" s="43" t="s">
        <v>221</v>
      </c>
      <c r="C53" s="44" t="s">
        <v>16</v>
      </c>
      <c r="D53" s="44" t="s">
        <v>150</v>
      </c>
      <c r="E53" s="43" t="s">
        <v>109</v>
      </c>
      <c r="F53" s="45" t="s">
        <v>190</v>
      </c>
      <c r="G53" s="46"/>
      <c r="H53" s="47"/>
      <c r="I53" s="43"/>
      <c r="J53" s="48" t="s">
        <v>153</v>
      </c>
    </row>
    <row r="54" customFormat="false" ht="15" hidden="false" customHeight="false" outlineLevel="0" collapsed="false">
      <c r="A54" s="24" t="s">
        <v>99</v>
      </c>
      <c r="B54" s="49" t="s">
        <v>222</v>
      </c>
      <c r="C54" s="50" t="s">
        <v>16</v>
      </c>
      <c r="D54" s="50" t="s">
        <v>150</v>
      </c>
      <c r="E54" s="49" t="s">
        <v>109</v>
      </c>
      <c r="F54" s="51" t="s">
        <v>192</v>
      </c>
      <c r="G54" s="52"/>
      <c r="H54" s="53"/>
      <c r="I54" s="49"/>
      <c r="J54" s="54" t="s">
        <v>153</v>
      </c>
    </row>
    <row r="55" customFormat="false" ht="15" hidden="false" customHeight="false" outlineLevel="0" collapsed="false">
      <c r="A55" s="21" t="s">
        <v>99</v>
      </c>
      <c r="B55" s="43" t="s">
        <v>223</v>
      </c>
      <c r="C55" s="44" t="s">
        <v>16</v>
      </c>
      <c r="D55" s="44" t="s">
        <v>150</v>
      </c>
      <c r="E55" s="43" t="s">
        <v>109</v>
      </c>
      <c r="F55" s="45" t="s">
        <v>177</v>
      </c>
      <c r="G55" s="46"/>
      <c r="H55" s="47"/>
      <c r="I55" s="43"/>
      <c r="J55" s="48" t="s">
        <v>153</v>
      </c>
    </row>
    <row r="56" customFormat="false" ht="15" hidden="false" customHeight="false" outlineLevel="0" collapsed="false">
      <c r="A56" s="24" t="s">
        <v>99</v>
      </c>
      <c r="B56" s="49" t="s">
        <v>224</v>
      </c>
      <c r="C56" s="50" t="s">
        <v>16</v>
      </c>
      <c r="D56" s="50" t="s">
        <v>150</v>
      </c>
      <c r="E56" s="49" t="s">
        <v>109</v>
      </c>
      <c r="F56" s="51" t="s">
        <v>190</v>
      </c>
      <c r="G56" s="52"/>
      <c r="H56" s="53"/>
      <c r="I56" s="49"/>
      <c r="J56" s="54" t="s">
        <v>153</v>
      </c>
    </row>
    <row r="57" customFormat="false" ht="15" hidden="false" customHeight="false" outlineLevel="0" collapsed="false">
      <c r="A57" s="21" t="s">
        <v>99</v>
      </c>
      <c r="B57" s="43" t="s">
        <v>225</v>
      </c>
      <c r="C57" s="44" t="s">
        <v>13</v>
      </c>
      <c r="D57" s="44" t="s">
        <v>150</v>
      </c>
      <c r="E57" s="43" t="s">
        <v>109</v>
      </c>
      <c r="F57" s="45" t="s">
        <v>190</v>
      </c>
      <c r="G57" s="46"/>
      <c r="H57" s="47"/>
      <c r="I57" s="43"/>
      <c r="J57" s="48" t="s">
        <v>153</v>
      </c>
    </row>
    <row r="58" customFormat="false" ht="15" hidden="false" customHeight="false" outlineLevel="0" collapsed="false">
      <c r="A58" s="24" t="s">
        <v>99</v>
      </c>
      <c r="B58" s="49" t="s">
        <v>226</v>
      </c>
      <c r="C58" s="50" t="s">
        <v>13</v>
      </c>
      <c r="D58" s="50" t="s">
        <v>150</v>
      </c>
      <c r="E58" s="49" t="s">
        <v>109</v>
      </c>
      <c r="F58" s="51" t="s">
        <v>192</v>
      </c>
      <c r="G58" s="52"/>
      <c r="H58" s="53"/>
      <c r="I58" s="49"/>
      <c r="J58" s="54" t="s">
        <v>153</v>
      </c>
    </row>
    <row r="59" customFormat="false" ht="15" hidden="false" customHeight="false" outlineLevel="0" collapsed="false">
      <c r="A59" s="21" t="s">
        <v>99</v>
      </c>
      <c r="B59" s="43" t="s">
        <v>227</v>
      </c>
      <c r="C59" s="44" t="s">
        <v>13</v>
      </c>
      <c r="D59" s="44" t="s">
        <v>150</v>
      </c>
      <c r="E59" s="43" t="s">
        <v>109</v>
      </c>
      <c r="F59" s="45" t="s">
        <v>177</v>
      </c>
      <c r="G59" s="46"/>
      <c r="H59" s="47"/>
      <c r="I59" s="43"/>
      <c r="J59" s="48" t="s">
        <v>153</v>
      </c>
    </row>
    <row r="60" customFormat="false" ht="15" hidden="false" customHeight="false" outlineLevel="0" collapsed="false">
      <c r="A60" s="24" t="s">
        <v>99</v>
      </c>
      <c r="B60" s="49" t="s">
        <v>228</v>
      </c>
      <c r="C60" s="50" t="s">
        <v>13</v>
      </c>
      <c r="D60" s="50" t="s">
        <v>150</v>
      </c>
      <c r="E60" s="49" t="s">
        <v>109</v>
      </c>
      <c r="F60" s="51" t="s">
        <v>190</v>
      </c>
      <c r="G60" s="52"/>
      <c r="H60" s="53"/>
      <c r="I60" s="49"/>
      <c r="J60" s="54" t="s">
        <v>153</v>
      </c>
    </row>
    <row r="61" customFormat="false" ht="23.85" hidden="false" customHeight="false" outlineLevel="0" collapsed="false">
      <c r="A61" s="21" t="s">
        <v>99</v>
      </c>
      <c r="B61" s="43" t="s">
        <v>229</v>
      </c>
      <c r="C61" s="44" t="s">
        <v>16</v>
      </c>
      <c r="D61" s="44" t="s">
        <v>150</v>
      </c>
      <c r="E61" s="43" t="s">
        <v>109</v>
      </c>
      <c r="F61" s="45" t="s">
        <v>177</v>
      </c>
      <c r="G61" s="46"/>
      <c r="H61" s="47"/>
      <c r="I61" s="43" t="s">
        <v>230</v>
      </c>
      <c r="J61" s="48" t="s">
        <v>153</v>
      </c>
    </row>
    <row r="62" customFormat="false" ht="15" hidden="false" customHeight="false" outlineLevel="0" collapsed="false">
      <c r="A62" s="24" t="s">
        <v>99</v>
      </c>
      <c r="B62" s="49" t="s">
        <v>231</v>
      </c>
      <c r="C62" s="50" t="s">
        <v>16</v>
      </c>
      <c r="D62" s="50" t="s">
        <v>155</v>
      </c>
      <c r="E62" s="49"/>
      <c r="F62" s="51"/>
      <c r="G62" s="52"/>
      <c r="H62" s="53"/>
      <c r="I62" s="49"/>
      <c r="J62" s="54" t="s">
        <v>153</v>
      </c>
    </row>
    <row r="63" customFormat="false" ht="15" hidden="false" customHeight="false" outlineLevel="0" collapsed="false">
      <c r="A63" s="21" t="s">
        <v>99</v>
      </c>
      <c r="B63" s="43" t="s">
        <v>232</v>
      </c>
      <c r="C63" s="44" t="s">
        <v>16</v>
      </c>
      <c r="D63" s="44" t="s">
        <v>155</v>
      </c>
      <c r="E63" s="43"/>
      <c r="F63" s="45"/>
      <c r="G63" s="46"/>
      <c r="H63" s="47"/>
      <c r="I63" s="43"/>
      <c r="J63" s="48" t="s">
        <v>153</v>
      </c>
    </row>
    <row r="64" customFormat="false" ht="15" hidden="false" customHeight="false" outlineLevel="0" collapsed="false">
      <c r="A64" s="24" t="s">
        <v>99</v>
      </c>
      <c r="B64" s="49" t="s">
        <v>233</v>
      </c>
      <c r="C64" s="50" t="s">
        <v>16</v>
      </c>
      <c r="D64" s="50" t="s">
        <v>155</v>
      </c>
      <c r="E64" s="49"/>
      <c r="F64" s="51"/>
      <c r="G64" s="52"/>
      <c r="H64" s="53"/>
      <c r="I64" s="49"/>
      <c r="J64" s="54" t="s">
        <v>153</v>
      </c>
    </row>
    <row r="65" customFormat="false" ht="15" hidden="false" customHeight="false" outlineLevel="0" collapsed="false">
      <c r="A65" s="21" t="s">
        <v>99</v>
      </c>
      <c r="B65" s="43" t="s">
        <v>234</v>
      </c>
      <c r="C65" s="44" t="s">
        <v>16</v>
      </c>
      <c r="D65" s="44" t="s">
        <v>155</v>
      </c>
      <c r="E65" s="43"/>
      <c r="F65" s="45"/>
      <c r="G65" s="46"/>
      <c r="H65" s="47"/>
      <c r="I65" s="43"/>
      <c r="J65" s="48" t="s">
        <v>153</v>
      </c>
    </row>
    <row r="66" customFormat="false" ht="15" hidden="false" customHeight="false" outlineLevel="0" collapsed="false">
      <c r="A66" s="24" t="s">
        <v>99</v>
      </c>
      <c r="B66" s="49" t="s">
        <v>235</v>
      </c>
      <c r="C66" s="50" t="s">
        <v>16</v>
      </c>
      <c r="D66" s="50" t="s">
        <v>155</v>
      </c>
      <c r="E66" s="49"/>
      <c r="F66" s="51"/>
      <c r="G66" s="52"/>
      <c r="H66" s="53"/>
      <c r="I66" s="49"/>
      <c r="J66" s="54" t="s">
        <v>153</v>
      </c>
    </row>
    <row r="67" customFormat="false" ht="15" hidden="false" customHeight="false" outlineLevel="0" collapsed="false">
      <c r="A67" s="21" t="s">
        <v>99</v>
      </c>
      <c r="B67" s="43" t="s">
        <v>236</v>
      </c>
      <c r="C67" s="44" t="s">
        <v>19</v>
      </c>
      <c r="D67" s="44" t="s">
        <v>150</v>
      </c>
      <c r="E67" s="43" t="s">
        <v>109</v>
      </c>
      <c r="F67" s="45"/>
      <c r="G67" s="46" t="s">
        <v>237</v>
      </c>
      <c r="H67" s="47"/>
      <c r="I67" s="43" t="s">
        <v>238</v>
      </c>
      <c r="J67" s="48" t="s">
        <v>153</v>
      </c>
    </row>
    <row r="68" customFormat="false" ht="15" hidden="false" customHeight="false" outlineLevel="0" collapsed="false">
      <c r="A68" s="24" t="s">
        <v>100</v>
      </c>
      <c r="B68" s="49" t="s">
        <v>239</v>
      </c>
      <c r="C68" s="50" t="s">
        <v>13</v>
      </c>
      <c r="D68" s="50" t="s">
        <v>150</v>
      </c>
      <c r="E68" s="49" t="s">
        <v>109</v>
      </c>
      <c r="F68" s="51" t="s">
        <v>169</v>
      </c>
      <c r="G68" s="52"/>
      <c r="H68" s="53"/>
      <c r="I68" s="49"/>
      <c r="J68" s="54" t="s">
        <v>153</v>
      </c>
    </row>
    <row r="69" customFormat="false" ht="15" hidden="false" customHeight="false" outlineLevel="0" collapsed="false">
      <c r="A69" s="21" t="s">
        <v>100</v>
      </c>
      <c r="B69" s="43" t="s">
        <v>240</v>
      </c>
      <c r="C69" s="44" t="s">
        <v>13</v>
      </c>
      <c r="D69" s="44" t="s">
        <v>150</v>
      </c>
      <c r="E69" s="43" t="s">
        <v>196</v>
      </c>
      <c r="F69" s="45" t="s">
        <v>241</v>
      </c>
      <c r="G69" s="46"/>
      <c r="H69" s="47"/>
      <c r="I69" s="43"/>
      <c r="J69" s="48" t="s">
        <v>153</v>
      </c>
    </row>
    <row r="70" customFormat="false" ht="15" hidden="false" customHeight="false" outlineLevel="0" collapsed="false">
      <c r="A70" s="24" t="s">
        <v>100</v>
      </c>
      <c r="B70" s="49" t="s">
        <v>242</v>
      </c>
      <c r="C70" s="50" t="s">
        <v>13</v>
      </c>
      <c r="D70" s="50" t="s">
        <v>150</v>
      </c>
      <c r="E70" s="49" t="s">
        <v>243</v>
      </c>
      <c r="F70" s="51" t="s">
        <v>174</v>
      </c>
      <c r="G70" s="52"/>
      <c r="H70" s="53"/>
      <c r="I70" s="49"/>
      <c r="J70" s="54" t="s">
        <v>153</v>
      </c>
    </row>
    <row r="71" customFormat="false" ht="15" hidden="false" customHeight="false" outlineLevel="0" collapsed="false">
      <c r="A71" s="21" t="s">
        <v>100</v>
      </c>
      <c r="B71" s="43" t="s">
        <v>244</v>
      </c>
      <c r="C71" s="44" t="s">
        <v>13</v>
      </c>
      <c r="D71" s="44" t="s">
        <v>150</v>
      </c>
      <c r="E71" s="43" t="s">
        <v>109</v>
      </c>
      <c r="F71" s="45" t="s">
        <v>192</v>
      </c>
      <c r="G71" s="46"/>
      <c r="H71" s="47"/>
      <c r="I71" s="43"/>
      <c r="J71" s="48" t="s">
        <v>153</v>
      </c>
    </row>
    <row r="72" customFormat="false" ht="15" hidden="false" customHeight="false" outlineLevel="0" collapsed="false">
      <c r="A72" s="24" t="s">
        <v>100</v>
      </c>
      <c r="B72" s="49" t="s">
        <v>245</v>
      </c>
      <c r="C72" s="50" t="s">
        <v>13</v>
      </c>
      <c r="D72" s="50" t="s">
        <v>150</v>
      </c>
      <c r="E72" s="49" t="s">
        <v>243</v>
      </c>
      <c r="F72" s="51" t="s">
        <v>174</v>
      </c>
      <c r="G72" s="52"/>
      <c r="H72" s="53"/>
      <c r="I72" s="49"/>
      <c r="J72" s="54" t="s">
        <v>153</v>
      </c>
    </row>
    <row r="73" customFormat="false" ht="15" hidden="false" customHeight="false" outlineLevel="0" collapsed="false">
      <c r="A73" s="21" t="s">
        <v>100</v>
      </c>
      <c r="B73" s="43" t="s">
        <v>246</v>
      </c>
      <c r="C73" s="44" t="s">
        <v>13</v>
      </c>
      <c r="D73" s="44" t="s">
        <v>150</v>
      </c>
      <c r="E73" s="43" t="s">
        <v>243</v>
      </c>
      <c r="F73" s="45" t="s">
        <v>180</v>
      </c>
      <c r="G73" s="46"/>
      <c r="H73" s="47"/>
      <c r="I73" s="43"/>
      <c r="J73" s="48" t="s">
        <v>153</v>
      </c>
    </row>
    <row r="74" customFormat="false" ht="15" hidden="false" customHeight="false" outlineLevel="0" collapsed="false">
      <c r="A74" s="24" t="s">
        <v>100</v>
      </c>
      <c r="B74" s="49" t="s">
        <v>247</v>
      </c>
      <c r="C74" s="50" t="s">
        <v>13</v>
      </c>
      <c r="D74" s="50" t="s">
        <v>150</v>
      </c>
      <c r="E74" s="49" t="s">
        <v>109</v>
      </c>
      <c r="F74" s="51" t="s">
        <v>192</v>
      </c>
      <c r="G74" s="52"/>
      <c r="H74" s="53"/>
      <c r="I74" s="49"/>
      <c r="J74" s="54" t="s">
        <v>153</v>
      </c>
    </row>
    <row r="75" customFormat="false" ht="15" hidden="false" customHeight="false" outlineLevel="0" collapsed="false">
      <c r="A75" s="21" t="s">
        <v>100</v>
      </c>
      <c r="B75" s="43" t="s">
        <v>248</v>
      </c>
      <c r="C75" s="44" t="s">
        <v>16</v>
      </c>
      <c r="D75" s="44" t="s">
        <v>155</v>
      </c>
      <c r="E75" s="43"/>
      <c r="F75" s="45"/>
      <c r="G75" s="46"/>
      <c r="H75" s="47"/>
      <c r="I75" s="43"/>
      <c r="J75" s="48" t="s">
        <v>153</v>
      </c>
    </row>
    <row r="76" customFormat="false" ht="15" hidden="false" customHeight="false" outlineLevel="0" collapsed="false">
      <c r="A76" s="24" t="s">
        <v>100</v>
      </c>
      <c r="B76" s="49" t="s">
        <v>249</v>
      </c>
      <c r="C76" s="50" t="s">
        <v>16</v>
      </c>
      <c r="D76" s="50" t="s">
        <v>155</v>
      </c>
      <c r="E76" s="49"/>
      <c r="F76" s="51"/>
      <c r="G76" s="52"/>
      <c r="H76" s="53"/>
      <c r="I76" s="49"/>
      <c r="J76" s="54" t="s">
        <v>153</v>
      </c>
    </row>
    <row r="77" customFormat="false" ht="15" hidden="false" customHeight="false" outlineLevel="0" collapsed="false">
      <c r="A77" s="21" t="s">
        <v>100</v>
      </c>
      <c r="B77" s="43" t="s">
        <v>250</v>
      </c>
      <c r="C77" s="44" t="s">
        <v>16</v>
      </c>
      <c r="D77" s="44" t="s">
        <v>155</v>
      </c>
      <c r="E77" s="43"/>
      <c r="F77" s="45"/>
      <c r="G77" s="46"/>
      <c r="H77" s="47"/>
      <c r="I77" s="43" t="s">
        <v>251</v>
      </c>
      <c r="J77" s="48" t="s">
        <v>153</v>
      </c>
    </row>
    <row r="78" customFormat="false" ht="15" hidden="false" customHeight="false" outlineLevel="0" collapsed="false">
      <c r="A78" s="24" t="s">
        <v>100</v>
      </c>
      <c r="B78" s="49" t="s">
        <v>252</v>
      </c>
      <c r="C78" s="50" t="s">
        <v>13</v>
      </c>
      <c r="D78" s="50" t="s">
        <v>150</v>
      </c>
      <c r="E78" s="49" t="s">
        <v>243</v>
      </c>
      <c r="F78" s="51" t="s">
        <v>171</v>
      </c>
      <c r="G78" s="52"/>
      <c r="H78" s="53"/>
      <c r="I78" s="49"/>
      <c r="J78" s="54" t="s">
        <v>153</v>
      </c>
    </row>
    <row r="79" customFormat="false" ht="15" hidden="false" customHeight="false" outlineLevel="0" collapsed="false">
      <c r="A79" s="21" t="s">
        <v>100</v>
      </c>
      <c r="B79" s="43" t="s">
        <v>253</v>
      </c>
      <c r="C79" s="44" t="s">
        <v>16</v>
      </c>
      <c r="D79" s="44" t="s">
        <v>150</v>
      </c>
      <c r="E79" s="43" t="s">
        <v>109</v>
      </c>
      <c r="F79" s="45"/>
      <c r="G79" s="46" t="s">
        <v>254</v>
      </c>
      <c r="H79" s="47"/>
      <c r="I79" s="43" t="s">
        <v>255</v>
      </c>
      <c r="J79" s="48" t="s">
        <v>153</v>
      </c>
    </row>
    <row r="80" customFormat="false" ht="15" hidden="false" customHeight="false" outlineLevel="0" collapsed="false">
      <c r="A80" s="24" t="s">
        <v>100</v>
      </c>
      <c r="B80" s="49" t="s">
        <v>256</v>
      </c>
      <c r="C80" s="50" t="s">
        <v>13</v>
      </c>
      <c r="D80" s="50" t="s">
        <v>150</v>
      </c>
      <c r="E80" s="49" t="s">
        <v>109</v>
      </c>
      <c r="F80" s="51"/>
      <c r="G80" s="52" t="s">
        <v>257</v>
      </c>
      <c r="H80" s="53"/>
      <c r="I80" s="49" t="s">
        <v>255</v>
      </c>
      <c r="J80" s="54" t="s">
        <v>153</v>
      </c>
    </row>
    <row r="81" customFormat="false" ht="15" hidden="false" customHeight="false" outlineLevel="0" collapsed="false">
      <c r="A81" s="21" t="s">
        <v>100</v>
      </c>
      <c r="B81" s="43" t="s">
        <v>258</v>
      </c>
      <c r="C81" s="44" t="s">
        <v>13</v>
      </c>
      <c r="D81" s="44" t="s">
        <v>150</v>
      </c>
      <c r="E81" s="43" t="s">
        <v>243</v>
      </c>
      <c r="F81" s="45" t="s">
        <v>169</v>
      </c>
      <c r="G81" s="46"/>
      <c r="H81" s="47"/>
      <c r="I81" s="43"/>
      <c r="J81" s="48" t="s">
        <v>153</v>
      </c>
    </row>
    <row r="82" customFormat="false" ht="15" hidden="false" customHeight="false" outlineLevel="0" collapsed="false">
      <c r="A82" s="24" t="s">
        <v>100</v>
      </c>
      <c r="B82" s="49" t="s">
        <v>259</v>
      </c>
      <c r="C82" s="50" t="s">
        <v>13</v>
      </c>
      <c r="D82" s="50" t="s">
        <v>150</v>
      </c>
      <c r="E82" s="49" t="s">
        <v>243</v>
      </c>
      <c r="F82" s="51" t="s">
        <v>169</v>
      </c>
      <c r="G82" s="52"/>
      <c r="H82" s="53"/>
      <c r="I82" s="49"/>
      <c r="J82" s="54" t="s">
        <v>153</v>
      </c>
    </row>
    <row r="83" customFormat="false" ht="15" hidden="false" customHeight="false" outlineLevel="0" collapsed="false">
      <c r="A83" s="21" t="s">
        <v>100</v>
      </c>
      <c r="B83" s="43" t="s">
        <v>260</v>
      </c>
      <c r="C83" s="44" t="s">
        <v>13</v>
      </c>
      <c r="D83" s="44" t="s">
        <v>155</v>
      </c>
      <c r="E83" s="43"/>
      <c r="F83" s="45"/>
      <c r="G83" s="46"/>
      <c r="H83" s="47"/>
      <c r="I83" s="43" t="s">
        <v>156</v>
      </c>
      <c r="J83" s="48" t="s">
        <v>153</v>
      </c>
    </row>
    <row r="84" customFormat="false" ht="15" hidden="false" customHeight="false" outlineLevel="0" collapsed="false">
      <c r="A84" s="24" t="s">
        <v>100</v>
      </c>
      <c r="B84" s="49" t="s">
        <v>261</v>
      </c>
      <c r="C84" s="50" t="s">
        <v>13</v>
      </c>
      <c r="D84" s="50" t="s">
        <v>150</v>
      </c>
      <c r="E84" s="49" t="s">
        <v>109</v>
      </c>
      <c r="F84" s="51" t="s">
        <v>174</v>
      </c>
      <c r="G84" s="52"/>
      <c r="H84" s="53"/>
      <c r="I84" s="49"/>
      <c r="J84" s="54" t="s">
        <v>153</v>
      </c>
    </row>
    <row r="85" customFormat="false" ht="15" hidden="false" customHeight="false" outlineLevel="0" collapsed="false">
      <c r="A85" s="21" t="s">
        <v>100</v>
      </c>
      <c r="B85" s="43" t="s">
        <v>262</v>
      </c>
      <c r="C85" s="44" t="s">
        <v>13</v>
      </c>
      <c r="D85" s="44" t="s">
        <v>155</v>
      </c>
      <c r="E85" s="43"/>
      <c r="F85" s="45"/>
      <c r="G85" s="46"/>
      <c r="H85" s="47"/>
      <c r="I85" s="43" t="s">
        <v>156</v>
      </c>
      <c r="J85" s="48" t="s">
        <v>153</v>
      </c>
    </row>
    <row r="86" customFormat="false" ht="15" hidden="false" customHeight="false" outlineLevel="0" collapsed="false">
      <c r="A86" s="24" t="s">
        <v>100</v>
      </c>
      <c r="B86" s="49" t="s">
        <v>263</v>
      </c>
      <c r="C86" s="50" t="s">
        <v>13</v>
      </c>
      <c r="D86" s="50" t="s">
        <v>155</v>
      </c>
      <c r="E86" s="49"/>
      <c r="F86" s="51"/>
      <c r="G86" s="52"/>
      <c r="H86" s="53"/>
      <c r="I86" s="49" t="s">
        <v>156</v>
      </c>
      <c r="J86" s="54" t="s">
        <v>153</v>
      </c>
    </row>
    <row r="87" customFormat="false" ht="15" hidden="false" customHeight="false" outlineLevel="0" collapsed="false">
      <c r="A87" s="21" t="s">
        <v>100</v>
      </c>
      <c r="B87" s="43" t="s">
        <v>264</v>
      </c>
      <c r="C87" s="44" t="s">
        <v>13</v>
      </c>
      <c r="D87" s="44" t="s">
        <v>155</v>
      </c>
      <c r="E87" s="43"/>
      <c r="F87" s="45"/>
      <c r="G87" s="46"/>
      <c r="H87" s="47"/>
      <c r="I87" s="43" t="s">
        <v>156</v>
      </c>
      <c r="J87" s="48" t="s">
        <v>153</v>
      </c>
    </row>
    <row r="88" customFormat="false" ht="15" hidden="false" customHeight="false" outlineLevel="0" collapsed="false">
      <c r="A88" s="24" t="s">
        <v>101</v>
      </c>
      <c r="B88" s="49" t="s">
        <v>265</v>
      </c>
      <c r="C88" s="50" t="s">
        <v>19</v>
      </c>
      <c r="D88" s="50" t="s">
        <v>150</v>
      </c>
      <c r="E88" s="49" t="s">
        <v>109</v>
      </c>
      <c r="F88" s="51" t="s">
        <v>266</v>
      </c>
      <c r="G88" s="52"/>
      <c r="H88" s="53"/>
      <c r="I88" s="49"/>
      <c r="J88" s="54" t="s">
        <v>153</v>
      </c>
    </row>
    <row r="89" customFormat="false" ht="15" hidden="false" customHeight="false" outlineLevel="0" collapsed="false">
      <c r="A89" s="21" t="s">
        <v>101</v>
      </c>
      <c r="B89" s="43" t="s">
        <v>267</v>
      </c>
      <c r="C89" s="44" t="s">
        <v>16</v>
      </c>
      <c r="D89" s="44" t="s">
        <v>150</v>
      </c>
      <c r="E89" s="43" t="s">
        <v>109</v>
      </c>
      <c r="F89" s="45" t="s">
        <v>268</v>
      </c>
      <c r="G89" s="46"/>
      <c r="H89" s="47"/>
      <c r="I89" s="43"/>
      <c r="J89" s="48" t="s">
        <v>153</v>
      </c>
    </row>
    <row r="90" customFormat="false" ht="15" hidden="false" customHeight="false" outlineLevel="0" collapsed="false">
      <c r="A90" s="24" t="s">
        <v>101</v>
      </c>
      <c r="B90" s="49" t="s">
        <v>269</v>
      </c>
      <c r="C90" s="50" t="s">
        <v>16</v>
      </c>
      <c r="D90" s="50" t="s">
        <v>150</v>
      </c>
      <c r="E90" s="49" t="s">
        <v>112</v>
      </c>
      <c r="F90" s="55"/>
      <c r="G90" s="52"/>
      <c r="H90" s="53"/>
      <c r="I90" s="49" t="s">
        <v>270</v>
      </c>
      <c r="J90" s="54" t="s">
        <v>153</v>
      </c>
    </row>
    <row r="91" customFormat="false" ht="15" hidden="false" customHeight="false" outlineLevel="0" collapsed="false">
      <c r="A91" s="21" t="s">
        <v>101</v>
      </c>
      <c r="B91" s="43" t="s">
        <v>271</v>
      </c>
      <c r="C91" s="44" t="s">
        <v>19</v>
      </c>
      <c r="D91" s="44" t="s">
        <v>155</v>
      </c>
      <c r="E91" s="43"/>
      <c r="F91" s="45"/>
      <c r="G91" s="46"/>
      <c r="H91" s="47"/>
      <c r="I91" s="43"/>
      <c r="J91" s="48" t="s">
        <v>153</v>
      </c>
    </row>
    <row r="92" customFormat="false" ht="15" hidden="false" customHeight="false" outlineLevel="0" collapsed="false">
      <c r="A92" s="24" t="s">
        <v>101</v>
      </c>
      <c r="B92" s="49" t="s">
        <v>272</v>
      </c>
      <c r="C92" s="56"/>
      <c r="D92" s="50" t="s">
        <v>155</v>
      </c>
      <c r="E92" s="49"/>
      <c r="F92" s="51"/>
      <c r="G92" s="52"/>
      <c r="H92" s="53"/>
      <c r="I92" s="49" t="s">
        <v>167</v>
      </c>
      <c r="J92" s="54" t="s">
        <v>153</v>
      </c>
    </row>
    <row r="93" customFormat="false" ht="23.85" hidden="false" customHeight="false" outlineLevel="0" collapsed="false">
      <c r="A93" s="21" t="s">
        <v>47</v>
      </c>
      <c r="B93" s="43" t="s">
        <v>273</v>
      </c>
      <c r="C93" s="44" t="s">
        <v>13</v>
      </c>
      <c r="D93" s="44" t="s">
        <v>150</v>
      </c>
      <c r="E93" s="43" t="s">
        <v>196</v>
      </c>
      <c r="F93" s="45" t="s">
        <v>274</v>
      </c>
      <c r="G93" s="46"/>
      <c r="H93" s="47"/>
      <c r="I93" s="43" t="s">
        <v>275</v>
      </c>
      <c r="J93" s="48" t="s">
        <v>153</v>
      </c>
    </row>
    <row r="94" customFormat="false" ht="23.85" hidden="false" customHeight="false" outlineLevel="0" collapsed="false">
      <c r="A94" s="24" t="s">
        <v>47</v>
      </c>
      <c r="B94" s="49" t="s">
        <v>276</v>
      </c>
      <c r="C94" s="50" t="s">
        <v>16</v>
      </c>
      <c r="D94" s="50" t="s">
        <v>150</v>
      </c>
      <c r="E94" s="49" t="s">
        <v>109</v>
      </c>
      <c r="F94" s="51" t="s">
        <v>268</v>
      </c>
      <c r="G94" s="52"/>
      <c r="H94" s="53"/>
      <c r="I94" s="49" t="s">
        <v>277</v>
      </c>
      <c r="J94" s="54" t="s">
        <v>153</v>
      </c>
    </row>
    <row r="95" customFormat="false" ht="23.85" hidden="false" customHeight="false" outlineLevel="0" collapsed="false">
      <c r="A95" s="21" t="s">
        <v>47</v>
      </c>
      <c r="B95" s="43" t="s">
        <v>278</v>
      </c>
      <c r="C95" s="44" t="s">
        <v>13</v>
      </c>
      <c r="D95" s="44" t="s">
        <v>150</v>
      </c>
      <c r="E95" s="43" t="s">
        <v>109</v>
      </c>
      <c r="F95" s="45" t="s">
        <v>207</v>
      </c>
      <c r="G95" s="46"/>
      <c r="H95" s="47"/>
      <c r="I95" s="43" t="s">
        <v>279</v>
      </c>
      <c r="J95" s="48" t="s">
        <v>153</v>
      </c>
    </row>
    <row r="96" customFormat="false" ht="15" hidden="false" customHeight="false" outlineLevel="0" collapsed="false">
      <c r="A96" s="24" t="s">
        <v>102</v>
      </c>
      <c r="B96" s="49" t="s">
        <v>280</v>
      </c>
      <c r="C96" s="50" t="s">
        <v>16</v>
      </c>
      <c r="D96" s="50" t="s">
        <v>150</v>
      </c>
      <c r="E96" s="49" t="s">
        <v>109</v>
      </c>
      <c r="F96" s="51" t="s">
        <v>171</v>
      </c>
      <c r="G96" s="52"/>
      <c r="H96" s="53"/>
      <c r="I96" s="49"/>
      <c r="J96" s="54" t="s">
        <v>153</v>
      </c>
    </row>
    <row r="97" customFormat="false" ht="23.85" hidden="false" customHeight="false" outlineLevel="0" collapsed="false">
      <c r="A97" s="21" t="s">
        <v>49</v>
      </c>
      <c r="B97" s="43" t="s">
        <v>281</v>
      </c>
      <c r="C97" s="44" t="s">
        <v>19</v>
      </c>
      <c r="D97" s="44" t="s">
        <v>150</v>
      </c>
      <c r="E97" s="43" t="s">
        <v>110</v>
      </c>
      <c r="F97" s="45" t="s">
        <v>282</v>
      </c>
      <c r="G97" s="46"/>
      <c r="H97" s="47"/>
      <c r="I97" s="43" t="s">
        <v>283</v>
      </c>
      <c r="J97" s="48" t="s">
        <v>153</v>
      </c>
    </row>
    <row r="98" customFormat="false" ht="15" hidden="false" customHeight="false" outlineLevel="0" collapsed="false">
      <c r="A98" s="24" t="s">
        <v>102</v>
      </c>
      <c r="B98" s="49" t="s">
        <v>284</v>
      </c>
      <c r="C98" s="50" t="s">
        <v>19</v>
      </c>
      <c r="D98" s="50" t="s">
        <v>155</v>
      </c>
      <c r="E98" s="49"/>
      <c r="F98" s="51"/>
      <c r="G98" s="52"/>
      <c r="H98" s="53"/>
      <c r="I98" s="49"/>
      <c r="J98" s="54" t="s">
        <v>153</v>
      </c>
    </row>
    <row r="99" customFormat="false" ht="15" hidden="false" customHeight="false" outlineLevel="0" collapsed="false">
      <c r="A99" s="21" t="s">
        <v>102</v>
      </c>
      <c r="B99" s="43" t="s">
        <v>285</v>
      </c>
      <c r="C99" s="44" t="s">
        <v>16</v>
      </c>
      <c r="D99" s="44" t="s">
        <v>150</v>
      </c>
      <c r="E99" s="43" t="s">
        <v>196</v>
      </c>
      <c r="F99" s="45" t="s">
        <v>286</v>
      </c>
      <c r="G99" s="46" t="s">
        <v>257</v>
      </c>
      <c r="H99" s="47"/>
      <c r="I99" s="43"/>
      <c r="J99" s="48" t="s">
        <v>153</v>
      </c>
    </row>
    <row r="100" customFormat="false" ht="23.85" hidden="false" customHeight="false" outlineLevel="0" collapsed="false">
      <c r="A100" s="24" t="s">
        <v>47</v>
      </c>
      <c r="B100" s="49" t="s">
        <v>287</v>
      </c>
      <c r="C100" s="50" t="s">
        <v>19</v>
      </c>
      <c r="D100" s="50" t="s">
        <v>150</v>
      </c>
      <c r="E100" s="49" t="s">
        <v>109</v>
      </c>
      <c r="F100" s="51" t="s">
        <v>288</v>
      </c>
      <c r="G100" s="52"/>
      <c r="H100" s="53"/>
      <c r="I100" s="49" t="s">
        <v>289</v>
      </c>
      <c r="J100" s="54" t="s">
        <v>153</v>
      </c>
    </row>
    <row r="101" customFormat="false" ht="23.85" hidden="false" customHeight="false" outlineLevel="0" collapsed="false">
      <c r="A101" s="21" t="s">
        <v>47</v>
      </c>
      <c r="B101" s="43" t="s">
        <v>290</v>
      </c>
      <c r="C101" s="44" t="s">
        <v>19</v>
      </c>
      <c r="D101" s="44" t="s">
        <v>150</v>
      </c>
      <c r="E101" s="43" t="s">
        <v>196</v>
      </c>
      <c r="F101" s="45" t="s">
        <v>291</v>
      </c>
      <c r="G101" s="46"/>
      <c r="H101" s="47"/>
      <c r="I101" s="43" t="s">
        <v>292</v>
      </c>
      <c r="J101" s="48" t="s">
        <v>153</v>
      </c>
    </row>
    <row r="102" customFormat="false" ht="23.85" hidden="false" customHeight="false" outlineLevel="0" collapsed="false">
      <c r="A102" s="24" t="s">
        <v>47</v>
      </c>
      <c r="B102" s="49" t="s">
        <v>293</v>
      </c>
      <c r="C102" s="50" t="s">
        <v>16</v>
      </c>
      <c r="D102" s="50" t="s">
        <v>150</v>
      </c>
      <c r="E102" s="49" t="s">
        <v>196</v>
      </c>
      <c r="F102" s="51" t="s">
        <v>294</v>
      </c>
      <c r="G102" s="52"/>
      <c r="H102" s="53"/>
      <c r="I102" s="49" t="s">
        <v>295</v>
      </c>
      <c r="J102" s="54" t="s">
        <v>153</v>
      </c>
    </row>
    <row r="103" customFormat="false" ht="15" hidden="false" customHeight="false" outlineLevel="0" collapsed="false">
      <c r="A103" s="21" t="s">
        <v>102</v>
      </c>
      <c r="B103" s="43" t="s">
        <v>296</v>
      </c>
      <c r="C103" s="44" t="s">
        <v>19</v>
      </c>
      <c r="D103" s="44" t="s">
        <v>155</v>
      </c>
      <c r="E103" s="43"/>
      <c r="F103" s="45"/>
      <c r="G103" s="46"/>
      <c r="H103" s="47"/>
      <c r="I103" s="43"/>
      <c r="J103" s="48" t="s">
        <v>153</v>
      </c>
    </row>
    <row r="104" customFormat="false" ht="15" hidden="false" customHeight="false" outlineLevel="0" collapsed="false">
      <c r="A104" s="24" t="s">
        <v>102</v>
      </c>
      <c r="B104" s="49" t="s">
        <v>297</v>
      </c>
      <c r="C104" s="50" t="s">
        <v>19</v>
      </c>
      <c r="D104" s="50" t="s">
        <v>150</v>
      </c>
      <c r="E104" s="49" t="s">
        <v>196</v>
      </c>
      <c r="F104" s="51" t="s">
        <v>298</v>
      </c>
      <c r="G104" s="52"/>
      <c r="H104" s="53"/>
      <c r="I104" s="49"/>
      <c r="J104" s="54" t="s">
        <v>153</v>
      </c>
    </row>
    <row r="105" customFormat="false" ht="23.85" hidden="false" customHeight="false" outlineLevel="0" collapsed="false">
      <c r="A105" s="21" t="s">
        <v>47</v>
      </c>
      <c r="B105" s="43" t="s">
        <v>299</v>
      </c>
      <c r="C105" s="44" t="s">
        <v>13</v>
      </c>
      <c r="D105" s="44" t="s">
        <v>150</v>
      </c>
      <c r="E105" s="43" t="s">
        <v>109</v>
      </c>
      <c r="F105" s="45" t="s">
        <v>288</v>
      </c>
      <c r="G105" s="46"/>
      <c r="H105" s="47"/>
      <c r="I105" s="43" t="s">
        <v>300</v>
      </c>
      <c r="J105" s="48" t="s">
        <v>153</v>
      </c>
    </row>
    <row r="106" customFormat="false" ht="23.85" hidden="false" customHeight="false" outlineLevel="0" collapsed="false">
      <c r="A106" s="24" t="s">
        <v>47</v>
      </c>
      <c r="B106" s="49" t="s">
        <v>301</v>
      </c>
      <c r="C106" s="50" t="s">
        <v>19</v>
      </c>
      <c r="D106" s="50" t="s">
        <v>150</v>
      </c>
      <c r="E106" s="49" t="s">
        <v>109</v>
      </c>
      <c r="F106" s="51" t="s">
        <v>302</v>
      </c>
      <c r="G106" s="52"/>
      <c r="H106" s="53"/>
      <c r="I106" s="49" t="s">
        <v>303</v>
      </c>
      <c r="J106" s="54" t="s">
        <v>153</v>
      </c>
    </row>
    <row r="107" customFormat="false" ht="23.85" hidden="false" customHeight="false" outlineLevel="0" collapsed="false">
      <c r="A107" s="21" t="s">
        <v>47</v>
      </c>
      <c r="B107" s="43" t="s">
        <v>304</v>
      </c>
      <c r="C107" s="44" t="s">
        <v>19</v>
      </c>
      <c r="D107" s="44" t="s">
        <v>150</v>
      </c>
      <c r="E107" s="43" t="s">
        <v>109</v>
      </c>
      <c r="F107" s="45" t="s">
        <v>302</v>
      </c>
      <c r="G107" s="46"/>
      <c r="H107" s="47"/>
      <c r="I107" s="43" t="s">
        <v>305</v>
      </c>
      <c r="J107" s="48" t="s">
        <v>153</v>
      </c>
    </row>
    <row r="108" customFormat="false" ht="23.85" hidden="false" customHeight="false" outlineLevel="0" collapsed="false">
      <c r="A108" s="24" t="s">
        <v>47</v>
      </c>
      <c r="B108" s="49" t="s">
        <v>306</v>
      </c>
      <c r="C108" s="50" t="s">
        <v>16</v>
      </c>
      <c r="D108" s="50" t="s">
        <v>150</v>
      </c>
      <c r="E108" s="49" t="s">
        <v>109</v>
      </c>
      <c r="F108" s="51" t="s">
        <v>302</v>
      </c>
      <c r="G108" s="52"/>
      <c r="H108" s="53"/>
      <c r="I108" s="49" t="s">
        <v>307</v>
      </c>
      <c r="J108" s="54" t="s">
        <v>153</v>
      </c>
    </row>
    <row r="109" customFormat="false" ht="23.85" hidden="false" customHeight="false" outlineLevel="0" collapsed="false">
      <c r="A109" s="21" t="s">
        <v>47</v>
      </c>
      <c r="B109" s="43" t="s">
        <v>308</v>
      </c>
      <c r="C109" s="44" t="s">
        <v>16</v>
      </c>
      <c r="D109" s="44" t="s">
        <v>150</v>
      </c>
      <c r="E109" s="43" t="s">
        <v>109</v>
      </c>
      <c r="F109" s="45" t="s">
        <v>207</v>
      </c>
      <c r="G109" s="46"/>
      <c r="H109" s="47"/>
      <c r="I109" s="43" t="s">
        <v>309</v>
      </c>
      <c r="J109" s="48" t="s">
        <v>153</v>
      </c>
    </row>
    <row r="110" customFormat="false" ht="15" hidden="false" customHeight="false" outlineLevel="0" collapsed="false">
      <c r="A110" s="24" t="s">
        <v>102</v>
      </c>
      <c r="B110" s="49" t="s">
        <v>310</v>
      </c>
      <c r="C110" s="50" t="s">
        <v>19</v>
      </c>
      <c r="D110" s="50" t="s">
        <v>150</v>
      </c>
      <c r="E110" s="49" t="s">
        <v>196</v>
      </c>
      <c r="F110" s="51" t="s">
        <v>311</v>
      </c>
      <c r="G110" s="52"/>
      <c r="H110" s="53"/>
      <c r="I110" s="49"/>
      <c r="J110" s="54" t="s">
        <v>153</v>
      </c>
    </row>
    <row r="111" customFormat="false" ht="23.85" hidden="false" customHeight="false" outlineLevel="0" collapsed="false">
      <c r="A111" s="21" t="s">
        <v>47</v>
      </c>
      <c r="B111" s="43" t="s">
        <v>312</v>
      </c>
      <c r="C111" s="44" t="s">
        <v>19</v>
      </c>
      <c r="D111" s="44" t="s">
        <v>150</v>
      </c>
      <c r="E111" s="43" t="s">
        <v>196</v>
      </c>
      <c r="F111" s="45" t="s">
        <v>313</v>
      </c>
      <c r="G111" s="46"/>
      <c r="H111" s="47"/>
      <c r="I111" s="43" t="s">
        <v>314</v>
      </c>
      <c r="J111" s="48" t="s">
        <v>153</v>
      </c>
    </row>
    <row r="112" customFormat="false" ht="23.85" hidden="false" customHeight="false" outlineLevel="0" collapsed="false">
      <c r="A112" s="24" t="s">
        <v>47</v>
      </c>
      <c r="B112" s="49" t="s">
        <v>315</v>
      </c>
      <c r="C112" s="50" t="s">
        <v>19</v>
      </c>
      <c r="D112" s="50" t="s">
        <v>150</v>
      </c>
      <c r="E112" s="49" t="s">
        <v>196</v>
      </c>
      <c r="F112" s="51" t="s">
        <v>316</v>
      </c>
      <c r="G112" s="52"/>
      <c r="H112" s="53"/>
      <c r="I112" s="49" t="s">
        <v>317</v>
      </c>
      <c r="J112" s="54" t="s">
        <v>153</v>
      </c>
    </row>
    <row r="113" customFormat="false" ht="23.85" hidden="false" customHeight="false" outlineLevel="0" collapsed="false">
      <c r="A113" s="21" t="s">
        <v>47</v>
      </c>
      <c r="B113" s="43" t="s">
        <v>318</v>
      </c>
      <c r="C113" s="44" t="s">
        <v>19</v>
      </c>
      <c r="D113" s="44" t="s">
        <v>150</v>
      </c>
      <c r="E113" s="43" t="s">
        <v>109</v>
      </c>
      <c r="F113" s="45" t="s">
        <v>207</v>
      </c>
      <c r="G113" s="46"/>
      <c r="H113" s="47"/>
      <c r="I113" s="43" t="s">
        <v>319</v>
      </c>
      <c r="J113" s="48" t="s">
        <v>153</v>
      </c>
    </row>
    <row r="114" customFormat="false" ht="23.85" hidden="false" customHeight="false" outlineLevel="0" collapsed="false">
      <c r="A114" s="24" t="s">
        <v>47</v>
      </c>
      <c r="B114" s="49" t="s">
        <v>320</v>
      </c>
      <c r="C114" s="50" t="s">
        <v>19</v>
      </c>
      <c r="D114" s="50" t="s">
        <v>155</v>
      </c>
      <c r="E114" s="49"/>
      <c r="F114" s="51"/>
      <c r="G114" s="52"/>
      <c r="H114" s="53"/>
      <c r="I114" s="49" t="s">
        <v>321</v>
      </c>
      <c r="J114" s="54" t="s">
        <v>153</v>
      </c>
    </row>
    <row r="115" customFormat="false" ht="15" hidden="false" customHeight="false" outlineLevel="0" collapsed="false">
      <c r="A115" s="21" t="s">
        <v>102</v>
      </c>
      <c r="B115" s="43" t="s">
        <v>322</v>
      </c>
      <c r="C115" s="44" t="s">
        <v>16</v>
      </c>
      <c r="D115" s="44" t="s">
        <v>150</v>
      </c>
      <c r="E115" s="43" t="s">
        <v>196</v>
      </c>
      <c r="F115" s="45" t="s">
        <v>323</v>
      </c>
      <c r="G115" s="46"/>
      <c r="H115" s="47"/>
      <c r="I115" s="43"/>
      <c r="J115" s="48" t="s">
        <v>153</v>
      </c>
    </row>
    <row r="116" customFormat="false" ht="23.85" hidden="false" customHeight="false" outlineLevel="0" collapsed="false">
      <c r="A116" s="24" t="s">
        <v>47</v>
      </c>
      <c r="B116" s="49" t="s">
        <v>324</v>
      </c>
      <c r="C116" s="50" t="s">
        <v>19</v>
      </c>
      <c r="D116" s="50" t="s">
        <v>150</v>
      </c>
      <c r="E116" s="49" t="s">
        <v>109</v>
      </c>
      <c r="F116" s="51" t="s">
        <v>266</v>
      </c>
      <c r="G116" s="52"/>
      <c r="H116" s="53"/>
      <c r="I116" s="49" t="s">
        <v>325</v>
      </c>
      <c r="J116" s="54" t="s">
        <v>153</v>
      </c>
    </row>
    <row r="117" customFormat="false" ht="23.85" hidden="false" customHeight="false" outlineLevel="0" collapsed="false">
      <c r="A117" s="21" t="s">
        <v>47</v>
      </c>
      <c r="B117" s="43" t="s">
        <v>326</v>
      </c>
      <c r="C117" s="44" t="s">
        <v>19</v>
      </c>
      <c r="D117" s="44" t="s">
        <v>150</v>
      </c>
      <c r="E117" s="43" t="s">
        <v>109</v>
      </c>
      <c r="F117" s="45" t="s">
        <v>327</v>
      </c>
      <c r="G117" s="46"/>
      <c r="H117" s="47"/>
      <c r="I117" s="43" t="s">
        <v>328</v>
      </c>
      <c r="J117" s="48" t="s">
        <v>153</v>
      </c>
    </row>
    <row r="118" customFormat="false" ht="23.85" hidden="false" customHeight="false" outlineLevel="0" collapsed="false">
      <c r="A118" s="24" t="s">
        <v>47</v>
      </c>
      <c r="B118" s="49" t="s">
        <v>329</v>
      </c>
      <c r="C118" s="50" t="s">
        <v>19</v>
      </c>
      <c r="D118" s="50" t="s">
        <v>150</v>
      </c>
      <c r="E118" s="49" t="s">
        <v>109</v>
      </c>
      <c r="F118" s="51" t="s">
        <v>268</v>
      </c>
      <c r="G118" s="52"/>
      <c r="H118" s="53"/>
      <c r="I118" s="49" t="s">
        <v>330</v>
      </c>
      <c r="J118" s="54" t="s">
        <v>153</v>
      </c>
    </row>
    <row r="119" customFormat="false" ht="23.85" hidden="false" customHeight="false" outlineLevel="0" collapsed="false">
      <c r="A119" s="21" t="s">
        <v>47</v>
      </c>
      <c r="B119" s="43" t="s">
        <v>331</v>
      </c>
      <c r="C119" s="44" t="s">
        <v>19</v>
      </c>
      <c r="D119" s="44" t="s">
        <v>150</v>
      </c>
      <c r="E119" s="43" t="s">
        <v>109</v>
      </c>
      <c r="F119" s="45" t="s">
        <v>327</v>
      </c>
      <c r="G119" s="46"/>
      <c r="H119" s="47"/>
      <c r="I119" s="43" t="s">
        <v>332</v>
      </c>
      <c r="J119" s="48" t="s">
        <v>153</v>
      </c>
    </row>
    <row r="120" customFormat="false" ht="23.85" hidden="false" customHeight="false" outlineLevel="0" collapsed="false">
      <c r="A120" s="24" t="s">
        <v>47</v>
      </c>
      <c r="B120" s="49" t="s">
        <v>333</v>
      </c>
      <c r="C120" s="50" t="s">
        <v>16</v>
      </c>
      <c r="D120" s="50" t="s">
        <v>150</v>
      </c>
      <c r="E120" s="49" t="s">
        <v>196</v>
      </c>
      <c r="F120" s="51" t="s">
        <v>298</v>
      </c>
      <c r="G120" s="52"/>
      <c r="H120" s="53"/>
      <c r="I120" s="49" t="s">
        <v>334</v>
      </c>
      <c r="J120" s="54" t="s">
        <v>153</v>
      </c>
    </row>
    <row r="121" customFormat="false" ht="15" hidden="false" customHeight="false" outlineLevel="0" collapsed="false">
      <c r="A121" s="21" t="s">
        <v>102</v>
      </c>
      <c r="B121" s="43" t="s">
        <v>335</v>
      </c>
      <c r="C121" s="44" t="s">
        <v>19</v>
      </c>
      <c r="D121" s="44" t="s">
        <v>150</v>
      </c>
      <c r="E121" s="43" t="s">
        <v>110</v>
      </c>
      <c r="F121" s="45" t="s">
        <v>336</v>
      </c>
      <c r="G121" s="46"/>
      <c r="H121" s="47"/>
      <c r="I121" s="43"/>
      <c r="J121" s="48" t="s">
        <v>153</v>
      </c>
    </row>
    <row r="122" customFormat="false" ht="23.85" hidden="false" customHeight="false" outlineLevel="0" collapsed="false">
      <c r="A122" s="24" t="s">
        <v>47</v>
      </c>
      <c r="B122" s="49" t="s">
        <v>337</v>
      </c>
      <c r="C122" s="50" t="s">
        <v>19</v>
      </c>
      <c r="D122" s="50" t="s">
        <v>150</v>
      </c>
      <c r="E122" s="49" t="s">
        <v>110</v>
      </c>
      <c r="F122" s="51" t="s">
        <v>336</v>
      </c>
      <c r="G122" s="52"/>
      <c r="H122" s="53"/>
      <c r="I122" s="49" t="s">
        <v>338</v>
      </c>
      <c r="J122" s="54" t="s">
        <v>153</v>
      </c>
    </row>
    <row r="123" customFormat="false" ht="23.85" hidden="false" customHeight="false" outlineLevel="0" collapsed="false">
      <c r="A123" s="21" t="s">
        <v>47</v>
      </c>
      <c r="B123" s="43" t="s">
        <v>339</v>
      </c>
      <c r="C123" s="44" t="s">
        <v>19</v>
      </c>
      <c r="D123" s="44" t="s">
        <v>150</v>
      </c>
      <c r="E123" s="43" t="s">
        <v>110</v>
      </c>
      <c r="F123" s="45" t="s">
        <v>336</v>
      </c>
      <c r="G123" s="46"/>
      <c r="H123" s="47"/>
      <c r="I123" s="43" t="s">
        <v>340</v>
      </c>
      <c r="J123" s="48" t="s">
        <v>153</v>
      </c>
    </row>
    <row r="124" customFormat="false" ht="23.85" hidden="false" customHeight="false" outlineLevel="0" collapsed="false">
      <c r="A124" s="24" t="s">
        <v>43</v>
      </c>
      <c r="B124" s="49" t="s">
        <v>341</v>
      </c>
      <c r="C124" s="50" t="s">
        <v>19</v>
      </c>
      <c r="D124" s="50" t="s">
        <v>150</v>
      </c>
      <c r="E124" s="49" t="s">
        <v>110</v>
      </c>
      <c r="F124" s="51" t="s">
        <v>342</v>
      </c>
      <c r="G124" s="52"/>
      <c r="H124" s="53"/>
      <c r="I124" s="49" t="s">
        <v>343</v>
      </c>
      <c r="J124" s="54" t="s">
        <v>153</v>
      </c>
    </row>
    <row r="125" customFormat="false" ht="91" hidden="false" customHeight="false" outlineLevel="0" collapsed="false">
      <c r="A125" s="21" t="s">
        <v>102</v>
      </c>
      <c r="B125" s="43" t="s">
        <v>344</v>
      </c>
      <c r="C125" s="44" t="s">
        <v>19</v>
      </c>
      <c r="D125" s="44" t="s">
        <v>150</v>
      </c>
      <c r="E125" s="43" t="s">
        <v>196</v>
      </c>
      <c r="F125" s="45" t="s">
        <v>345</v>
      </c>
      <c r="G125" s="46"/>
      <c r="H125" s="47"/>
      <c r="I125" s="43" t="s">
        <v>346</v>
      </c>
      <c r="J125" s="48" t="s">
        <v>153</v>
      </c>
    </row>
    <row r="126" customFormat="false" ht="23.85" hidden="false" customHeight="false" outlineLevel="0" collapsed="false">
      <c r="A126" s="24" t="s">
        <v>49</v>
      </c>
      <c r="B126" s="49" t="s">
        <v>347</v>
      </c>
      <c r="C126" s="50" t="s">
        <v>16</v>
      </c>
      <c r="D126" s="50" t="s">
        <v>155</v>
      </c>
      <c r="E126" s="49"/>
      <c r="F126" s="51"/>
      <c r="G126" s="52"/>
      <c r="H126" s="53"/>
      <c r="I126" s="49" t="s">
        <v>348</v>
      </c>
      <c r="J126" s="54" t="s">
        <v>153</v>
      </c>
    </row>
    <row r="127" customFormat="false" ht="15" hidden="false" customHeight="false" outlineLevel="0" collapsed="false">
      <c r="A127" s="21" t="s">
        <v>102</v>
      </c>
      <c r="B127" s="43" t="s">
        <v>349</v>
      </c>
      <c r="C127" s="44" t="s">
        <v>19</v>
      </c>
      <c r="D127" s="44" t="s">
        <v>155</v>
      </c>
      <c r="E127" s="43"/>
      <c r="F127" s="45"/>
      <c r="G127" s="46"/>
      <c r="H127" s="47"/>
      <c r="I127" s="43"/>
      <c r="J127" s="48" t="s">
        <v>153</v>
      </c>
    </row>
    <row r="128" customFormat="false" ht="23.85" hidden="false" customHeight="false" outlineLevel="0" collapsed="false">
      <c r="A128" s="24" t="s">
        <v>43</v>
      </c>
      <c r="B128" s="49" t="s">
        <v>350</v>
      </c>
      <c r="C128" s="50" t="s">
        <v>13</v>
      </c>
      <c r="D128" s="50" t="s">
        <v>150</v>
      </c>
      <c r="E128" s="49" t="s">
        <v>109</v>
      </c>
      <c r="F128" s="51" t="s">
        <v>351</v>
      </c>
      <c r="G128" s="52"/>
      <c r="H128" s="53"/>
      <c r="I128" s="49" t="s">
        <v>352</v>
      </c>
      <c r="J128" s="54" t="s">
        <v>153</v>
      </c>
    </row>
    <row r="129" customFormat="false" ht="23.85" hidden="false" customHeight="false" outlineLevel="0" collapsed="false">
      <c r="A129" s="21" t="s">
        <v>43</v>
      </c>
      <c r="B129" s="43" t="s">
        <v>353</v>
      </c>
      <c r="C129" s="44" t="s">
        <v>13</v>
      </c>
      <c r="D129" s="44" t="s">
        <v>150</v>
      </c>
      <c r="E129" s="43" t="s">
        <v>109</v>
      </c>
      <c r="F129" s="45" t="s">
        <v>351</v>
      </c>
      <c r="G129" s="46"/>
      <c r="H129" s="47"/>
      <c r="I129" s="43" t="s">
        <v>354</v>
      </c>
      <c r="J129" s="48" t="s">
        <v>153</v>
      </c>
    </row>
    <row r="130" customFormat="false" ht="15" hidden="false" customHeight="false" outlineLevel="0" collapsed="false">
      <c r="A130" s="24" t="s">
        <v>102</v>
      </c>
      <c r="B130" s="49" t="s">
        <v>355</v>
      </c>
      <c r="C130" s="50" t="s">
        <v>16</v>
      </c>
      <c r="D130" s="50" t="s">
        <v>155</v>
      </c>
      <c r="E130" s="49"/>
      <c r="F130" s="51"/>
      <c r="G130" s="52"/>
      <c r="H130" s="53"/>
      <c r="I130" s="49"/>
      <c r="J130" s="54" t="s">
        <v>153</v>
      </c>
    </row>
    <row r="131" customFormat="false" ht="15" hidden="false" customHeight="false" outlineLevel="0" collapsed="false">
      <c r="A131" s="21" t="s">
        <v>102</v>
      </c>
      <c r="B131" s="43" t="s">
        <v>356</v>
      </c>
      <c r="C131" s="44" t="s">
        <v>16</v>
      </c>
      <c r="D131" s="44" t="s">
        <v>155</v>
      </c>
      <c r="E131" s="43"/>
      <c r="F131" s="45"/>
      <c r="G131" s="46"/>
      <c r="H131" s="47"/>
      <c r="I131" s="43"/>
      <c r="J131" s="48" t="s">
        <v>153</v>
      </c>
    </row>
    <row r="132" customFormat="false" ht="35.05" hidden="false" customHeight="false" outlineLevel="0" collapsed="false">
      <c r="A132" s="24" t="s">
        <v>43</v>
      </c>
      <c r="B132" s="49" t="s">
        <v>357</v>
      </c>
      <c r="C132" s="50" t="s">
        <v>16</v>
      </c>
      <c r="D132" s="50" t="s">
        <v>150</v>
      </c>
      <c r="E132" s="49" t="s">
        <v>109</v>
      </c>
      <c r="F132" s="51" t="s">
        <v>358</v>
      </c>
      <c r="G132" s="52"/>
      <c r="H132" s="53"/>
      <c r="I132" s="49" t="s">
        <v>359</v>
      </c>
      <c r="J132" s="54" t="s">
        <v>153</v>
      </c>
    </row>
    <row r="133" customFormat="false" ht="15" hidden="false" customHeight="false" outlineLevel="0" collapsed="false">
      <c r="A133" s="21" t="s">
        <v>103</v>
      </c>
      <c r="B133" s="43" t="s">
        <v>360</v>
      </c>
      <c r="C133" s="44" t="s">
        <v>16</v>
      </c>
      <c r="D133" s="44" t="s">
        <v>155</v>
      </c>
      <c r="E133" s="43"/>
      <c r="F133" s="45"/>
      <c r="G133" s="46"/>
      <c r="H133" s="47"/>
      <c r="I133" s="43"/>
      <c r="J133" s="48" t="s">
        <v>153</v>
      </c>
    </row>
    <row r="134" customFormat="false" ht="15" hidden="false" customHeight="false" outlineLevel="0" collapsed="false">
      <c r="A134" s="24" t="s">
        <v>103</v>
      </c>
      <c r="B134" s="49" t="s">
        <v>361</v>
      </c>
      <c r="C134" s="50" t="s">
        <v>13</v>
      </c>
      <c r="D134" s="50" t="s">
        <v>155</v>
      </c>
      <c r="E134" s="49"/>
      <c r="F134" s="51"/>
      <c r="G134" s="52"/>
      <c r="H134" s="53"/>
      <c r="I134" s="49" t="s">
        <v>156</v>
      </c>
      <c r="J134" s="54" t="s">
        <v>153</v>
      </c>
    </row>
    <row r="135" customFormat="false" ht="35.05" hidden="false" customHeight="false" outlineLevel="0" collapsed="false">
      <c r="A135" s="57" t="s">
        <v>31</v>
      </c>
      <c r="B135" s="58" t="s">
        <v>362</v>
      </c>
      <c r="C135" s="56"/>
      <c r="D135" s="59" t="s">
        <v>150</v>
      </c>
      <c r="E135" s="58" t="s">
        <v>109</v>
      </c>
      <c r="F135" s="60"/>
      <c r="G135" s="61"/>
      <c r="H135" s="62"/>
      <c r="I135" s="58" t="s">
        <v>363</v>
      </c>
      <c r="J135" s="63" t="s">
        <v>364</v>
      </c>
    </row>
    <row r="136" customFormat="false" ht="35.05" hidden="false" customHeight="false" outlineLevel="0" collapsed="false">
      <c r="A136" s="57" t="s">
        <v>31</v>
      </c>
      <c r="B136" s="58" t="s">
        <v>365</v>
      </c>
      <c r="C136" s="56"/>
      <c r="D136" s="59" t="s">
        <v>150</v>
      </c>
      <c r="E136" s="58" t="s">
        <v>109</v>
      </c>
      <c r="F136" s="60"/>
      <c r="G136" s="61"/>
      <c r="H136" s="62"/>
      <c r="I136" s="58" t="s">
        <v>366</v>
      </c>
      <c r="J136" s="63" t="s">
        <v>364</v>
      </c>
    </row>
    <row r="137" customFormat="false" ht="46.25" hidden="false" customHeight="false" outlineLevel="0" collapsed="false">
      <c r="A137" s="57" t="s">
        <v>31</v>
      </c>
      <c r="B137" s="58" t="s">
        <v>367</v>
      </c>
      <c r="C137" s="56"/>
      <c r="D137" s="59" t="s">
        <v>150</v>
      </c>
      <c r="E137" s="58" t="s">
        <v>109</v>
      </c>
      <c r="F137" s="60"/>
      <c r="G137" s="61"/>
      <c r="H137" s="62"/>
      <c r="I137" s="58" t="s">
        <v>368</v>
      </c>
      <c r="J137" s="63" t="s">
        <v>364</v>
      </c>
    </row>
    <row r="138" customFormat="false" ht="35.05" hidden="false" customHeight="false" outlineLevel="0" collapsed="false">
      <c r="A138" s="57" t="s">
        <v>31</v>
      </c>
      <c r="B138" s="58" t="s">
        <v>369</v>
      </c>
      <c r="C138" s="56"/>
      <c r="D138" s="59" t="s">
        <v>150</v>
      </c>
      <c r="E138" s="58" t="s">
        <v>109</v>
      </c>
      <c r="F138" s="60"/>
      <c r="G138" s="61"/>
      <c r="H138" s="62"/>
      <c r="I138" s="58" t="s">
        <v>370</v>
      </c>
      <c r="J138" s="63" t="s">
        <v>364</v>
      </c>
    </row>
    <row r="139" customFormat="false" ht="46.25" hidden="false" customHeight="false" outlineLevel="0" collapsed="false">
      <c r="A139" s="57" t="s">
        <v>31</v>
      </c>
      <c r="B139" s="58" t="s">
        <v>371</v>
      </c>
      <c r="C139" s="56"/>
      <c r="D139" s="59" t="s">
        <v>150</v>
      </c>
      <c r="E139" s="58" t="s">
        <v>109</v>
      </c>
      <c r="F139" s="60"/>
      <c r="G139" s="61"/>
      <c r="H139" s="62"/>
      <c r="I139" s="58" t="s">
        <v>372</v>
      </c>
      <c r="J139" s="63" t="s">
        <v>364</v>
      </c>
    </row>
    <row r="140" customFormat="false" ht="35.05" hidden="false" customHeight="false" outlineLevel="0" collapsed="false">
      <c r="A140" s="57" t="s">
        <v>31</v>
      </c>
      <c r="B140" s="58" t="s">
        <v>373</v>
      </c>
      <c r="C140" s="56"/>
      <c r="D140" s="59" t="s">
        <v>150</v>
      </c>
      <c r="E140" s="58" t="s">
        <v>109</v>
      </c>
      <c r="F140" s="60"/>
      <c r="G140" s="61"/>
      <c r="H140" s="62"/>
      <c r="I140" s="58" t="s">
        <v>374</v>
      </c>
      <c r="J140" s="63" t="s">
        <v>364</v>
      </c>
    </row>
    <row r="141" customFormat="false" ht="35.05" hidden="false" customHeight="false" outlineLevel="0" collapsed="false">
      <c r="A141" s="57" t="s">
        <v>31</v>
      </c>
      <c r="B141" s="58" t="s">
        <v>375</v>
      </c>
      <c r="C141" s="56"/>
      <c r="D141" s="59" t="s">
        <v>150</v>
      </c>
      <c r="E141" s="58" t="s">
        <v>109</v>
      </c>
      <c r="F141" s="60"/>
      <c r="G141" s="61"/>
      <c r="H141" s="62"/>
      <c r="I141" s="58" t="s">
        <v>376</v>
      </c>
      <c r="J141" s="63" t="s">
        <v>364</v>
      </c>
    </row>
    <row r="142" customFormat="false" ht="46.25" hidden="false" customHeight="false" outlineLevel="0" collapsed="false">
      <c r="A142" s="57" t="s">
        <v>31</v>
      </c>
      <c r="B142" s="58" t="s">
        <v>377</v>
      </c>
      <c r="C142" s="56"/>
      <c r="D142" s="59" t="s">
        <v>150</v>
      </c>
      <c r="E142" s="58" t="s">
        <v>109</v>
      </c>
      <c r="F142" s="60"/>
      <c r="G142" s="61"/>
      <c r="H142" s="62"/>
      <c r="I142" s="58" t="s">
        <v>378</v>
      </c>
      <c r="J142" s="63" t="s">
        <v>364</v>
      </c>
    </row>
    <row r="143" customFormat="false" ht="46.25" hidden="false" customHeight="false" outlineLevel="0" collapsed="false">
      <c r="A143" s="57" t="s">
        <v>31</v>
      </c>
      <c r="B143" s="58" t="s">
        <v>379</v>
      </c>
      <c r="C143" s="56"/>
      <c r="D143" s="59" t="s">
        <v>150</v>
      </c>
      <c r="E143" s="58" t="s">
        <v>109</v>
      </c>
      <c r="F143" s="60"/>
      <c r="G143" s="61"/>
      <c r="H143" s="62"/>
      <c r="I143" s="58" t="s">
        <v>380</v>
      </c>
      <c r="J143" s="63" t="s">
        <v>364</v>
      </c>
    </row>
    <row r="144" customFormat="false" ht="46.25" hidden="false" customHeight="false" outlineLevel="0" collapsed="false">
      <c r="A144" s="57" t="s">
        <v>31</v>
      </c>
      <c r="B144" s="58" t="s">
        <v>381</v>
      </c>
      <c r="C144" s="56"/>
      <c r="D144" s="59" t="s">
        <v>150</v>
      </c>
      <c r="E144" s="58" t="s">
        <v>109</v>
      </c>
      <c r="F144" s="60"/>
      <c r="G144" s="61"/>
      <c r="H144" s="62"/>
      <c r="I144" s="58" t="s">
        <v>382</v>
      </c>
      <c r="J144" s="63" t="s">
        <v>364</v>
      </c>
    </row>
    <row r="145" customFormat="false" ht="35.05" hidden="false" customHeight="false" outlineLevel="0" collapsed="false">
      <c r="A145" s="57" t="s">
        <v>31</v>
      </c>
      <c r="B145" s="58" t="s">
        <v>383</v>
      </c>
      <c r="C145" s="56"/>
      <c r="D145" s="59" t="s">
        <v>150</v>
      </c>
      <c r="E145" s="58" t="s">
        <v>109</v>
      </c>
      <c r="F145" s="60"/>
      <c r="G145" s="61"/>
      <c r="H145" s="62"/>
      <c r="I145" s="58" t="s">
        <v>384</v>
      </c>
      <c r="J145" s="63" t="s">
        <v>364</v>
      </c>
    </row>
    <row r="146" customFormat="false" ht="35.05" hidden="false" customHeight="false" outlineLevel="0" collapsed="false">
      <c r="A146" s="57" t="s">
        <v>31</v>
      </c>
      <c r="B146" s="58" t="s">
        <v>385</v>
      </c>
      <c r="C146" s="56"/>
      <c r="D146" s="59" t="s">
        <v>150</v>
      </c>
      <c r="E146" s="58" t="s">
        <v>109</v>
      </c>
      <c r="F146" s="60"/>
      <c r="G146" s="61"/>
      <c r="H146" s="62"/>
      <c r="I146" s="58" t="s">
        <v>386</v>
      </c>
      <c r="J146" s="63" t="s">
        <v>364</v>
      </c>
    </row>
    <row r="147" customFormat="false" ht="46.25" hidden="false" customHeight="false" outlineLevel="0" collapsed="false">
      <c r="A147" s="57" t="s">
        <v>31</v>
      </c>
      <c r="B147" s="58" t="s">
        <v>387</v>
      </c>
      <c r="C147" s="56"/>
      <c r="D147" s="59" t="s">
        <v>150</v>
      </c>
      <c r="E147" s="58" t="s">
        <v>109</v>
      </c>
      <c r="F147" s="60"/>
      <c r="G147" s="61"/>
      <c r="H147" s="62"/>
      <c r="I147" s="58" t="s">
        <v>388</v>
      </c>
      <c r="J147" s="63" t="s">
        <v>364</v>
      </c>
    </row>
    <row r="148" customFormat="false" ht="46.25" hidden="false" customHeight="false" outlineLevel="0" collapsed="false">
      <c r="A148" s="57" t="s">
        <v>43</v>
      </c>
      <c r="B148" s="58" t="s">
        <v>389</v>
      </c>
      <c r="C148" s="56"/>
      <c r="D148" s="59" t="s">
        <v>150</v>
      </c>
      <c r="E148" s="58" t="s">
        <v>109</v>
      </c>
      <c r="F148" s="60"/>
      <c r="G148" s="61"/>
      <c r="H148" s="62"/>
      <c r="I148" s="58" t="s">
        <v>390</v>
      </c>
      <c r="J148" s="63" t="s">
        <v>364</v>
      </c>
    </row>
    <row r="149" customFormat="false" ht="35.05" hidden="false" customHeight="false" outlineLevel="0" collapsed="false">
      <c r="A149" s="57" t="s">
        <v>39</v>
      </c>
      <c r="B149" s="58" t="s">
        <v>391</v>
      </c>
      <c r="C149" s="56"/>
      <c r="D149" s="59" t="s">
        <v>150</v>
      </c>
      <c r="E149" s="58" t="s">
        <v>109</v>
      </c>
      <c r="F149" s="60"/>
      <c r="G149" s="61"/>
      <c r="H149" s="62"/>
      <c r="I149" s="58" t="s">
        <v>392</v>
      </c>
      <c r="J149" s="63" t="s">
        <v>364</v>
      </c>
    </row>
    <row r="150" customFormat="false" ht="35.05" hidden="false" customHeight="false" outlineLevel="0" collapsed="false">
      <c r="A150" s="57" t="s">
        <v>39</v>
      </c>
      <c r="B150" s="58" t="s">
        <v>393</v>
      </c>
      <c r="C150" s="56"/>
      <c r="D150" s="59" t="s">
        <v>150</v>
      </c>
      <c r="E150" s="58" t="s">
        <v>109</v>
      </c>
      <c r="F150" s="60"/>
      <c r="G150" s="61"/>
      <c r="H150" s="62"/>
      <c r="I150" s="58" t="s">
        <v>394</v>
      </c>
      <c r="J150" s="63" t="s">
        <v>364</v>
      </c>
    </row>
    <row r="151" customFormat="false" ht="35.05" hidden="false" customHeight="false" outlineLevel="0" collapsed="false">
      <c r="A151" s="57" t="s">
        <v>39</v>
      </c>
      <c r="B151" s="58" t="s">
        <v>395</v>
      </c>
      <c r="C151" s="56"/>
      <c r="D151" s="59" t="s">
        <v>150</v>
      </c>
      <c r="E151" s="58" t="s">
        <v>109</v>
      </c>
      <c r="F151" s="60"/>
      <c r="G151" s="61"/>
      <c r="H151" s="62"/>
      <c r="I151" s="58" t="s">
        <v>396</v>
      </c>
      <c r="J151" s="63" t="s">
        <v>364</v>
      </c>
    </row>
    <row r="152" customFormat="false" ht="35.05" hidden="false" customHeight="false" outlineLevel="0" collapsed="false">
      <c r="A152" s="57" t="s">
        <v>39</v>
      </c>
      <c r="B152" s="58" t="s">
        <v>397</v>
      </c>
      <c r="C152" s="56"/>
      <c r="D152" s="59" t="s">
        <v>150</v>
      </c>
      <c r="E152" s="58" t="s">
        <v>109</v>
      </c>
      <c r="F152" s="60"/>
      <c r="G152" s="61"/>
      <c r="H152" s="62"/>
      <c r="I152" s="58" t="s">
        <v>396</v>
      </c>
      <c r="J152" s="63" t="s">
        <v>364</v>
      </c>
    </row>
    <row r="153" customFormat="false" ht="35.05" hidden="false" customHeight="false" outlineLevel="0" collapsed="false">
      <c r="A153" s="57" t="s">
        <v>39</v>
      </c>
      <c r="B153" s="58" t="s">
        <v>398</v>
      </c>
      <c r="C153" s="56"/>
      <c r="D153" s="59" t="s">
        <v>150</v>
      </c>
      <c r="E153" s="58" t="s">
        <v>109</v>
      </c>
      <c r="F153" s="60"/>
      <c r="G153" s="61"/>
      <c r="H153" s="62"/>
      <c r="I153" s="58" t="s">
        <v>399</v>
      </c>
      <c r="J153" s="63" t="s">
        <v>364</v>
      </c>
    </row>
    <row r="154" customFormat="false" ht="35.05" hidden="false" customHeight="false" outlineLevel="0" collapsed="false">
      <c r="A154" s="57" t="s">
        <v>39</v>
      </c>
      <c r="B154" s="58" t="s">
        <v>400</v>
      </c>
      <c r="C154" s="56"/>
      <c r="D154" s="59" t="s">
        <v>150</v>
      </c>
      <c r="E154" s="58" t="s">
        <v>109</v>
      </c>
      <c r="F154" s="60"/>
      <c r="G154" s="61"/>
      <c r="H154" s="62"/>
      <c r="I154" s="58" t="s">
        <v>401</v>
      </c>
      <c r="J154" s="63" t="s">
        <v>364</v>
      </c>
    </row>
    <row r="155" customFormat="false" ht="35.05" hidden="false" customHeight="false" outlineLevel="0" collapsed="false">
      <c r="A155" s="57" t="s">
        <v>39</v>
      </c>
      <c r="B155" s="58" t="s">
        <v>402</v>
      </c>
      <c r="C155" s="56"/>
      <c r="D155" s="59" t="s">
        <v>150</v>
      </c>
      <c r="E155" s="58" t="s">
        <v>109</v>
      </c>
      <c r="F155" s="60"/>
      <c r="G155" s="61"/>
      <c r="H155" s="62"/>
      <c r="I155" s="58" t="s">
        <v>403</v>
      </c>
      <c r="J155" s="63" t="s">
        <v>364</v>
      </c>
    </row>
    <row r="156" customFormat="false" ht="35.05" hidden="false" customHeight="false" outlineLevel="0" collapsed="false">
      <c r="A156" s="57" t="s">
        <v>39</v>
      </c>
      <c r="B156" s="58" t="s">
        <v>404</v>
      </c>
      <c r="C156" s="56"/>
      <c r="D156" s="59" t="s">
        <v>150</v>
      </c>
      <c r="E156" s="58" t="s">
        <v>109</v>
      </c>
      <c r="F156" s="60"/>
      <c r="G156" s="61"/>
      <c r="H156" s="62"/>
      <c r="I156" s="58" t="s">
        <v>403</v>
      </c>
      <c r="J156" s="63" t="s">
        <v>364</v>
      </c>
    </row>
    <row r="157" customFormat="false" ht="35.05" hidden="false" customHeight="false" outlineLevel="0" collapsed="false">
      <c r="A157" s="57" t="s">
        <v>39</v>
      </c>
      <c r="B157" s="58" t="s">
        <v>405</v>
      </c>
      <c r="C157" s="56"/>
      <c r="D157" s="59" t="s">
        <v>150</v>
      </c>
      <c r="E157" s="58" t="s">
        <v>109</v>
      </c>
      <c r="F157" s="60"/>
      <c r="G157" s="61"/>
      <c r="H157" s="62"/>
      <c r="I157" s="58" t="s">
        <v>406</v>
      </c>
      <c r="J157" s="63" t="s">
        <v>364</v>
      </c>
    </row>
    <row r="158" customFormat="false" ht="35.05" hidden="false" customHeight="false" outlineLevel="0" collapsed="false">
      <c r="A158" s="57" t="s">
        <v>31</v>
      </c>
      <c r="B158" s="58" t="s">
        <v>407</v>
      </c>
      <c r="C158" s="56"/>
      <c r="D158" s="59" t="s">
        <v>150</v>
      </c>
      <c r="E158" s="58" t="s">
        <v>109</v>
      </c>
      <c r="F158" s="60"/>
      <c r="G158" s="61"/>
      <c r="H158" s="62"/>
      <c r="I158" s="58" t="s">
        <v>408</v>
      </c>
      <c r="J158" s="63" t="s">
        <v>364</v>
      </c>
    </row>
    <row r="159" customFormat="false" ht="35.05" hidden="false" customHeight="false" outlineLevel="0" collapsed="false">
      <c r="A159" s="57" t="s">
        <v>31</v>
      </c>
      <c r="B159" s="58" t="s">
        <v>409</v>
      </c>
      <c r="C159" s="56"/>
      <c r="D159" s="59" t="s">
        <v>150</v>
      </c>
      <c r="E159" s="58" t="s">
        <v>109</v>
      </c>
      <c r="F159" s="60"/>
      <c r="G159" s="61"/>
      <c r="H159" s="62"/>
      <c r="I159" s="58" t="s">
        <v>410</v>
      </c>
      <c r="J159" s="63" t="s">
        <v>364</v>
      </c>
    </row>
    <row r="160" customFormat="false" ht="35.05" hidden="false" customHeight="false" outlineLevel="0" collapsed="false">
      <c r="A160" s="57" t="s">
        <v>31</v>
      </c>
      <c r="B160" s="58" t="s">
        <v>411</v>
      </c>
      <c r="C160" s="56"/>
      <c r="D160" s="59" t="s">
        <v>150</v>
      </c>
      <c r="E160" s="58" t="s">
        <v>109</v>
      </c>
      <c r="F160" s="60"/>
      <c r="G160" s="61"/>
      <c r="H160" s="62"/>
      <c r="I160" s="58" t="s">
        <v>412</v>
      </c>
      <c r="J160" s="63" t="s">
        <v>364</v>
      </c>
    </row>
    <row r="161" customFormat="false" ht="35.05" hidden="false" customHeight="false" outlineLevel="0" collapsed="false">
      <c r="A161" s="57" t="s">
        <v>33</v>
      </c>
      <c r="B161" s="58" t="s">
        <v>413</v>
      </c>
      <c r="C161" s="56"/>
      <c r="D161" s="59" t="s">
        <v>150</v>
      </c>
      <c r="E161" s="58" t="s">
        <v>109</v>
      </c>
      <c r="F161" s="60"/>
      <c r="G161" s="61"/>
      <c r="H161" s="62"/>
      <c r="I161" s="58" t="s">
        <v>414</v>
      </c>
      <c r="J161" s="63" t="s">
        <v>364</v>
      </c>
    </row>
    <row r="162" customFormat="false" ht="35.05" hidden="false" customHeight="false" outlineLevel="0" collapsed="false">
      <c r="A162" s="57" t="s">
        <v>33</v>
      </c>
      <c r="B162" s="58" t="s">
        <v>415</v>
      </c>
      <c r="C162" s="56"/>
      <c r="D162" s="59" t="s">
        <v>150</v>
      </c>
      <c r="E162" s="58" t="s">
        <v>109</v>
      </c>
      <c r="F162" s="60"/>
      <c r="G162" s="61"/>
      <c r="H162" s="62"/>
      <c r="I162" s="58" t="s">
        <v>414</v>
      </c>
      <c r="J162" s="63" t="s">
        <v>364</v>
      </c>
    </row>
    <row r="163" customFormat="false" ht="35.05" hidden="false" customHeight="false" outlineLevel="0" collapsed="false">
      <c r="A163" s="57" t="s">
        <v>33</v>
      </c>
      <c r="B163" s="58" t="s">
        <v>416</v>
      </c>
      <c r="C163" s="56"/>
      <c r="D163" s="59" t="s">
        <v>150</v>
      </c>
      <c r="E163" s="58" t="s">
        <v>109</v>
      </c>
      <c r="F163" s="60"/>
      <c r="G163" s="61"/>
      <c r="H163" s="62"/>
      <c r="I163" s="58" t="s">
        <v>417</v>
      </c>
      <c r="J163" s="63" t="s">
        <v>364</v>
      </c>
    </row>
    <row r="164" customFormat="false" ht="35.05" hidden="false" customHeight="false" outlineLevel="0" collapsed="false">
      <c r="A164" s="57" t="s">
        <v>33</v>
      </c>
      <c r="B164" s="58" t="s">
        <v>418</v>
      </c>
      <c r="C164" s="56"/>
      <c r="D164" s="59" t="s">
        <v>150</v>
      </c>
      <c r="E164" s="58" t="s">
        <v>109</v>
      </c>
      <c r="F164" s="60"/>
      <c r="G164" s="61"/>
      <c r="H164" s="62"/>
      <c r="I164" s="58" t="s">
        <v>419</v>
      </c>
      <c r="J164" s="63" t="s">
        <v>364</v>
      </c>
    </row>
    <row r="165" customFormat="false" ht="35.05" hidden="false" customHeight="false" outlineLevel="0" collapsed="false">
      <c r="A165" s="57" t="s">
        <v>33</v>
      </c>
      <c r="B165" s="58" t="s">
        <v>420</v>
      </c>
      <c r="C165" s="56"/>
      <c r="D165" s="59" t="s">
        <v>150</v>
      </c>
      <c r="E165" s="58" t="s">
        <v>109</v>
      </c>
      <c r="F165" s="60"/>
      <c r="G165" s="61"/>
      <c r="H165" s="62"/>
      <c r="I165" s="58" t="s">
        <v>421</v>
      </c>
      <c r="J165" s="63" t="s">
        <v>364</v>
      </c>
    </row>
    <row r="166" customFormat="false" ht="35.05" hidden="false" customHeight="false" outlineLevel="0" collapsed="false">
      <c r="A166" s="57" t="s">
        <v>33</v>
      </c>
      <c r="B166" s="58" t="s">
        <v>422</v>
      </c>
      <c r="C166" s="56"/>
      <c r="D166" s="59" t="s">
        <v>150</v>
      </c>
      <c r="E166" s="58" t="s">
        <v>109</v>
      </c>
      <c r="F166" s="60"/>
      <c r="G166" s="61"/>
      <c r="H166" s="62"/>
      <c r="I166" s="58" t="s">
        <v>423</v>
      </c>
      <c r="J166" s="63" t="s">
        <v>364</v>
      </c>
    </row>
    <row r="167" customFormat="false" ht="35.05" hidden="false" customHeight="false" outlineLevel="0" collapsed="false">
      <c r="A167" s="57" t="s">
        <v>33</v>
      </c>
      <c r="B167" s="58" t="s">
        <v>424</v>
      </c>
      <c r="C167" s="56"/>
      <c r="D167" s="59" t="s">
        <v>150</v>
      </c>
      <c r="E167" s="58" t="s">
        <v>109</v>
      </c>
      <c r="F167" s="60"/>
      <c r="G167" s="61"/>
      <c r="H167" s="62"/>
      <c r="I167" s="58" t="s">
        <v>425</v>
      </c>
      <c r="J167" s="63" t="s">
        <v>364</v>
      </c>
    </row>
    <row r="168" customFormat="false" ht="35.05" hidden="false" customHeight="false" outlineLevel="0" collapsed="false">
      <c r="A168" s="57" t="s">
        <v>35</v>
      </c>
      <c r="B168" s="58" t="s">
        <v>426</v>
      </c>
      <c r="C168" s="56"/>
      <c r="D168" s="59" t="s">
        <v>150</v>
      </c>
      <c r="E168" s="58" t="s">
        <v>109</v>
      </c>
      <c r="F168" s="60"/>
      <c r="G168" s="61"/>
      <c r="H168" s="62"/>
      <c r="I168" s="58" t="s">
        <v>427</v>
      </c>
      <c r="J168" s="63" t="s">
        <v>364</v>
      </c>
    </row>
    <row r="169" customFormat="false" ht="35.05" hidden="false" customHeight="false" outlineLevel="0" collapsed="false">
      <c r="A169" s="57" t="s">
        <v>35</v>
      </c>
      <c r="B169" s="58" t="s">
        <v>428</v>
      </c>
      <c r="C169" s="56"/>
      <c r="D169" s="59" t="s">
        <v>150</v>
      </c>
      <c r="E169" s="58" t="s">
        <v>109</v>
      </c>
      <c r="F169" s="60"/>
      <c r="G169" s="61"/>
      <c r="H169" s="62"/>
      <c r="I169" s="58" t="s">
        <v>429</v>
      </c>
      <c r="J169" s="63" t="s">
        <v>364</v>
      </c>
    </row>
    <row r="170" customFormat="false" ht="35.05" hidden="false" customHeight="false" outlineLevel="0" collapsed="false">
      <c r="A170" s="57" t="s">
        <v>35</v>
      </c>
      <c r="B170" s="58" t="s">
        <v>430</v>
      </c>
      <c r="C170" s="56"/>
      <c r="D170" s="59" t="s">
        <v>150</v>
      </c>
      <c r="E170" s="58" t="s">
        <v>109</v>
      </c>
      <c r="F170" s="60"/>
      <c r="G170" s="61"/>
      <c r="H170" s="62"/>
      <c r="I170" s="58" t="s">
        <v>431</v>
      </c>
      <c r="J170" s="63" t="s">
        <v>364</v>
      </c>
    </row>
    <row r="171" customFormat="false" ht="35.05" hidden="false" customHeight="false" outlineLevel="0" collapsed="false">
      <c r="A171" s="57" t="s">
        <v>35</v>
      </c>
      <c r="B171" s="58" t="s">
        <v>432</v>
      </c>
      <c r="C171" s="56"/>
      <c r="D171" s="59" t="s">
        <v>150</v>
      </c>
      <c r="E171" s="58" t="s">
        <v>109</v>
      </c>
      <c r="F171" s="60"/>
      <c r="G171" s="61"/>
      <c r="H171" s="62"/>
      <c r="I171" s="58" t="s">
        <v>433</v>
      </c>
      <c r="J171" s="63" t="s">
        <v>364</v>
      </c>
    </row>
    <row r="172" customFormat="false" ht="35.05" hidden="false" customHeight="false" outlineLevel="0" collapsed="false">
      <c r="A172" s="57" t="s">
        <v>35</v>
      </c>
      <c r="B172" s="58" t="s">
        <v>434</v>
      </c>
      <c r="C172" s="56"/>
      <c r="D172" s="59" t="s">
        <v>150</v>
      </c>
      <c r="E172" s="58" t="s">
        <v>109</v>
      </c>
      <c r="F172" s="60"/>
      <c r="G172" s="61"/>
      <c r="H172" s="62"/>
      <c r="I172" s="58" t="s">
        <v>435</v>
      </c>
      <c r="J172" s="63" t="s">
        <v>364</v>
      </c>
    </row>
    <row r="173" customFormat="false" ht="35.05" hidden="false" customHeight="false" outlineLevel="0" collapsed="false">
      <c r="A173" s="57" t="s">
        <v>35</v>
      </c>
      <c r="B173" s="58" t="s">
        <v>436</v>
      </c>
      <c r="C173" s="56"/>
      <c r="D173" s="59" t="s">
        <v>150</v>
      </c>
      <c r="E173" s="58" t="s">
        <v>109</v>
      </c>
      <c r="F173" s="60"/>
      <c r="G173" s="61"/>
      <c r="H173" s="62"/>
      <c r="I173" s="58" t="s">
        <v>437</v>
      </c>
      <c r="J173" s="63" t="s">
        <v>364</v>
      </c>
    </row>
    <row r="174" customFormat="false" ht="35.05" hidden="false" customHeight="false" outlineLevel="0" collapsed="false">
      <c r="A174" s="57" t="s">
        <v>35</v>
      </c>
      <c r="B174" s="58" t="s">
        <v>438</v>
      </c>
      <c r="C174" s="56"/>
      <c r="D174" s="59" t="s">
        <v>150</v>
      </c>
      <c r="E174" s="58" t="s">
        <v>109</v>
      </c>
      <c r="F174" s="60"/>
      <c r="G174" s="61"/>
      <c r="H174" s="62"/>
      <c r="I174" s="58" t="s">
        <v>439</v>
      </c>
      <c r="J174" s="63" t="s">
        <v>364</v>
      </c>
    </row>
    <row r="175" customFormat="false" ht="35.05" hidden="false" customHeight="false" outlineLevel="0" collapsed="false">
      <c r="A175" s="57" t="s">
        <v>35</v>
      </c>
      <c r="B175" s="58" t="s">
        <v>440</v>
      </c>
      <c r="C175" s="56"/>
      <c r="D175" s="59" t="s">
        <v>150</v>
      </c>
      <c r="E175" s="58" t="s">
        <v>109</v>
      </c>
      <c r="F175" s="60"/>
      <c r="G175" s="61"/>
      <c r="H175" s="62"/>
      <c r="I175" s="58" t="s">
        <v>441</v>
      </c>
      <c r="J175" s="63" t="s">
        <v>364</v>
      </c>
    </row>
    <row r="176" customFormat="false" ht="35.05" hidden="false" customHeight="false" outlineLevel="0" collapsed="false">
      <c r="A176" s="57" t="s">
        <v>35</v>
      </c>
      <c r="B176" s="58" t="s">
        <v>442</v>
      </c>
      <c r="C176" s="56"/>
      <c r="D176" s="59" t="s">
        <v>150</v>
      </c>
      <c r="E176" s="58" t="s">
        <v>109</v>
      </c>
      <c r="F176" s="60"/>
      <c r="G176" s="61"/>
      <c r="H176" s="62"/>
      <c r="I176" s="58" t="s">
        <v>443</v>
      </c>
      <c r="J176" s="63" t="s">
        <v>364</v>
      </c>
    </row>
    <row r="177" customFormat="false" ht="35.05" hidden="false" customHeight="false" outlineLevel="0" collapsed="false">
      <c r="A177" s="57" t="s">
        <v>35</v>
      </c>
      <c r="B177" s="58" t="s">
        <v>444</v>
      </c>
      <c r="C177" s="56"/>
      <c r="D177" s="59" t="s">
        <v>150</v>
      </c>
      <c r="E177" s="58" t="s">
        <v>109</v>
      </c>
      <c r="F177" s="60"/>
      <c r="G177" s="61"/>
      <c r="H177" s="62"/>
      <c r="I177" s="58" t="s">
        <v>445</v>
      </c>
      <c r="J177" s="63" t="s">
        <v>364</v>
      </c>
    </row>
    <row r="178" customFormat="false" ht="57.45" hidden="false" customHeight="false" outlineLevel="0" collapsed="false">
      <c r="A178" s="57" t="s">
        <v>100</v>
      </c>
      <c r="B178" s="58" t="s">
        <v>446</v>
      </c>
      <c r="C178" s="64" t="s">
        <v>13</v>
      </c>
      <c r="D178" s="59" t="s">
        <v>150</v>
      </c>
      <c r="E178" s="58" t="s">
        <v>109</v>
      </c>
      <c r="F178" s="60"/>
      <c r="G178" s="61"/>
      <c r="H178" s="62"/>
      <c r="I178" s="58" t="s">
        <v>447</v>
      </c>
      <c r="J178" s="63" t="s">
        <v>364</v>
      </c>
    </row>
    <row r="179" customFormat="false" ht="57.45" hidden="false" customHeight="false" outlineLevel="0" collapsed="false">
      <c r="A179" s="57" t="s">
        <v>100</v>
      </c>
      <c r="B179" s="58" t="s">
        <v>448</v>
      </c>
      <c r="C179" s="64" t="s">
        <v>13</v>
      </c>
      <c r="D179" s="59" t="s">
        <v>150</v>
      </c>
      <c r="E179" s="58" t="s">
        <v>109</v>
      </c>
      <c r="F179" s="60"/>
      <c r="G179" s="61"/>
      <c r="H179" s="62"/>
      <c r="I179" s="58" t="s">
        <v>449</v>
      </c>
      <c r="J179" s="63" t="s">
        <v>364</v>
      </c>
    </row>
    <row r="180" customFormat="false" ht="57.45" hidden="false" customHeight="false" outlineLevel="0" collapsed="false">
      <c r="A180" s="57" t="s">
        <v>100</v>
      </c>
      <c r="B180" s="58" t="s">
        <v>450</v>
      </c>
      <c r="C180" s="64" t="s">
        <v>13</v>
      </c>
      <c r="D180" s="59" t="s">
        <v>150</v>
      </c>
      <c r="E180" s="58" t="s">
        <v>109</v>
      </c>
      <c r="F180" s="60"/>
      <c r="G180" s="61"/>
      <c r="H180" s="62"/>
      <c r="I180" s="58" t="s">
        <v>451</v>
      </c>
      <c r="J180" s="63" t="s">
        <v>364</v>
      </c>
    </row>
    <row r="181" customFormat="false" ht="57.45" hidden="false" customHeight="false" outlineLevel="0" collapsed="false">
      <c r="A181" s="57" t="s">
        <v>99</v>
      </c>
      <c r="B181" s="58" t="s">
        <v>452</v>
      </c>
      <c r="C181" s="64" t="s">
        <v>13</v>
      </c>
      <c r="D181" s="59" t="s">
        <v>150</v>
      </c>
      <c r="E181" s="58" t="s">
        <v>109</v>
      </c>
      <c r="F181" s="60"/>
      <c r="G181" s="61"/>
      <c r="H181" s="62"/>
      <c r="I181" s="58" t="s">
        <v>453</v>
      </c>
      <c r="J181" s="63" t="s">
        <v>364</v>
      </c>
    </row>
    <row r="182" customFormat="false" ht="57.45" hidden="false" customHeight="false" outlineLevel="0" collapsed="false">
      <c r="A182" s="57" t="s">
        <v>99</v>
      </c>
      <c r="B182" s="58" t="s">
        <v>454</v>
      </c>
      <c r="C182" s="64" t="s">
        <v>13</v>
      </c>
      <c r="D182" s="59" t="s">
        <v>150</v>
      </c>
      <c r="E182" s="58" t="s">
        <v>109</v>
      </c>
      <c r="F182" s="60"/>
      <c r="G182" s="61"/>
      <c r="H182" s="62"/>
      <c r="I182" s="58" t="s">
        <v>455</v>
      </c>
      <c r="J182" s="63" t="s">
        <v>364</v>
      </c>
    </row>
    <row r="183" customFormat="false" ht="57.45" hidden="false" customHeight="false" outlineLevel="0" collapsed="false">
      <c r="A183" s="57" t="s">
        <v>99</v>
      </c>
      <c r="B183" s="58" t="s">
        <v>456</v>
      </c>
      <c r="C183" s="64" t="s">
        <v>13</v>
      </c>
      <c r="D183" s="59" t="s">
        <v>150</v>
      </c>
      <c r="E183" s="58" t="s">
        <v>109</v>
      </c>
      <c r="F183" s="60"/>
      <c r="G183" s="61"/>
      <c r="H183" s="62"/>
      <c r="I183" s="58" t="s">
        <v>457</v>
      </c>
      <c r="J183" s="63" t="s">
        <v>364</v>
      </c>
    </row>
    <row r="184" customFormat="false" ht="68.65" hidden="false" customHeight="false" outlineLevel="0" collapsed="false">
      <c r="A184" s="57" t="s">
        <v>99</v>
      </c>
      <c r="B184" s="58" t="s">
        <v>458</v>
      </c>
      <c r="C184" s="64" t="s">
        <v>13</v>
      </c>
      <c r="D184" s="59" t="s">
        <v>150</v>
      </c>
      <c r="E184" s="58" t="s">
        <v>109</v>
      </c>
      <c r="F184" s="60"/>
      <c r="G184" s="61"/>
      <c r="H184" s="62"/>
      <c r="I184" s="58" t="s">
        <v>459</v>
      </c>
      <c r="J184" s="63" t="s">
        <v>364</v>
      </c>
    </row>
    <row r="185" customFormat="false" ht="57.45" hidden="false" customHeight="false" outlineLevel="0" collapsed="false">
      <c r="A185" s="57" t="s">
        <v>99</v>
      </c>
      <c r="B185" s="58" t="s">
        <v>460</v>
      </c>
      <c r="C185" s="64" t="s">
        <v>13</v>
      </c>
      <c r="D185" s="59" t="s">
        <v>150</v>
      </c>
      <c r="E185" s="58" t="s">
        <v>109</v>
      </c>
      <c r="F185" s="60"/>
      <c r="G185" s="61"/>
      <c r="H185" s="62"/>
      <c r="I185" s="58" t="s">
        <v>461</v>
      </c>
      <c r="J185" s="63" t="s">
        <v>364</v>
      </c>
    </row>
    <row r="186" customFormat="false" ht="57.45" hidden="false" customHeight="false" outlineLevel="0" collapsed="false">
      <c r="A186" s="57" t="s">
        <v>99</v>
      </c>
      <c r="B186" s="58" t="s">
        <v>462</v>
      </c>
      <c r="C186" s="64" t="s">
        <v>13</v>
      </c>
      <c r="D186" s="59" t="s">
        <v>150</v>
      </c>
      <c r="E186" s="58" t="s">
        <v>109</v>
      </c>
      <c r="F186" s="60"/>
      <c r="G186" s="61"/>
      <c r="H186" s="62"/>
      <c r="I186" s="58" t="s">
        <v>463</v>
      </c>
      <c r="J186" s="63" t="s">
        <v>364</v>
      </c>
    </row>
    <row r="187" customFormat="false" ht="57.45" hidden="false" customHeight="false" outlineLevel="0" collapsed="false">
      <c r="A187" s="57" t="s">
        <v>99</v>
      </c>
      <c r="B187" s="58" t="s">
        <v>464</v>
      </c>
      <c r="C187" s="64" t="s">
        <v>13</v>
      </c>
      <c r="D187" s="59" t="s">
        <v>150</v>
      </c>
      <c r="E187" s="58" t="s">
        <v>109</v>
      </c>
      <c r="F187" s="60"/>
      <c r="G187" s="61"/>
      <c r="H187" s="62"/>
      <c r="I187" s="58" t="s">
        <v>465</v>
      </c>
      <c r="J187" s="63" t="s">
        <v>364</v>
      </c>
    </row>
    <row r="188" customFormat="false" ht="57.45" hidden="false" customHeight="false" outlineLevel="0" collapsed="false">
      <c r="A188" s="57" t="s">
        <v>99</v>
      </c>
      <c r="B188" s="58" t="s">
        <v>466</v>
      </c>
      <c r="C188" s="64" t="s">
        <v>13</v>
      </c>
      <c r="D188" s="59" t="s">
        <v>150</v>
      </c>
      <c r="E188" s="58" t="s">
        <v>109</v>
      </c>
      <c r="F188" s="60"/>
      <c r="G188" s="61"/>
      <c r="H188" s="62"/>
      <c r="I188" s="58" t="s">
        <v>467</v>
      </c>
      <c r="J188" s="63" t="s">
        <v>364</v>
      </c>
    </row>
    <row r="189" customFormat="false" ht="68.65" hidden="false" customHeight="false" outlineLevel="0" collapsed="false">
      <c r="A189" s="57" t="s">
        <v>99</v>
      </c>
      <c r="B189" s="58" t="s">
        <v>468</v>
      </c>
      <c r="C189" s="64" t="s">
        <v>13</v>
      </c>
      <c r="D189" s="59" t="s">
        <v>150</v>
      </c>
      <c r="E189" s="58" t="s">
        <v>109</v>
      </c>
      <c r="F189" s="60"/>
      <c r="G189" s="61"/>
      <c r="H189" s="62"/>
      <c r="I189" s="58" t="s">
        <v>469</v>
      </c>
      <c r="J189" s="63" t="s">
        <v>364</v>
      </c>
    </row>
    <row r="190" customFormat="false" ht="57.45" hidden="false" customHeight="false" outlineLevel="0" collapsed="false">
      <c r="A190" s="57" t="s">
        <v>99</v>
      </c>
      <c r="B190" s="58" t="s">
        <v>470</v>
      </c>
      <c r="C190" s="64" t="s">
        <v>13</v>
      </c>
      <c r="D190" s="59" t="s">
        <v>150</v>
      </c>
      <c r="E190" s="58" t="s">
        <v>109</v>
      </c>
      <c r="F190" s="60"/>
      <c r="G190" s="61"/>
      <c r="H190" s="62"/>
      <c r="I190" s="58" t="s">
        <v>471</v>
      </c>
      <c r="J190" s="63" t="s">
        <v>364</v>
      </c>
    </row>
    <row r="191" customFormat="false" ht="57.45" hidden="false" customHeight="false" outlineLevel="0" collapsed="false">
      <c r="A191" s="57" t="s">
        <v>30</v>
      </c>
      <c r="B191" s="58" t="s">
        <v>472</v>
      </c>
      <c r="C191" s="64" t="s">
        <v>13</v>
      </c>
      <c r="D191" s="59" t="s">
        <v>150</v>
      </c>
      <c r="E191" s="58" t="s">
        <v>109</v>
      </c>
      <c r="F191" s="60"/>
      <c r="G191" s="61"/>
      <c r="H191" s="62"/>
      <c r="I191" s="58" t="s">
        <v>473</v>
      </c>
      <c r="J191" s="63" t="s">
        <v>364</v>
      </c>
    </row>
    <row r="192" customFormat="false" ht="57.45" hidden="false" customHeight="false" outlineLevel="0" collapsed="false">
      <c r="A192" s="57" t="s">
        <v>30</v>
      </c>
      <c r="B192" s="58" t="s">
        <v>474</v>
      </c>
      <c r="C192" s="64" t="s">
        <v>13</v>
      </c>
      <c r="D192" s="59" t="s">
        <v>150</v>
      </c>
      <c r="E192" s="58" t="s">
        <v>109</v>
      </c>
      <c r="F192" s="60"/>
      <c r="G192" s="61"/>
      <c r="H192" s="62"/>
      <c r="I192" s="58" t="s">
        <v>473</v>
      </c>
      <c r="J192" s="63" t="s">
        <v>364</v>
      </c>
    </row>
    <row r="193" customFormat="false" ht="57.45" hidden="false" customHeight="false" outlineLevel="0" collapsed="false">
      <c r="A193" s="57" t="s">
        <v>30</v>
      </c>
      <c r="B193" s="58" t="s">
        <v>475</v>
      </c>
      <c r="C193" s="64" t="s">
        <v>13</v>
      </c>
      <c r="D193" s="59" t="s">
        <v>150</v>
      </c>
      <c r="E193" s="58" t="s">
        <v>109</v>
      </c>
      <c r="F193" s="60"/>
      <c r="G193" s="61"/>
      <c r="H193" s="62"/>
      <c r="I193" s="58" t="s">
        <v>476</v>
      </c>
      <c r="J193" s="63" t="s">
        <v>364</v>
      </c>
    </row>
    <row r="194" customFormat="false" ht="57.45" hidden="false" customHeight="false" outlineLevel="0" collapsed="false">
      <c r="A194" s="57" t="s">
        <v>30</v>
      </c>
      <c r="B194" s="58" t="s">
        <v>477</v>
      </c>
      <c r="C194" s="64" t="s">
        <v>13</v>
      </c>
      <c r="D194" s="59" t="s">
        <v>150</v>
      </c>
      <c r="E194" s="58" t="s">
        <v>109</v>
      </c>
      <c r="F194" s="60"/>
      <c r="G194" s="61"/>
      <c r="H194" s="62"/>
      <c r="I194" s="58" t="s">
        <v>476</v>
      </c>
      <c r="J194" s="63" t="s">
        <v>364</v>
      </c>
    </row>
    <row r="195" customFormat="false" ht="57.45" hidden="false" customHeight="false" outlineLevel="0" collapsed="false">
      <c r="A195" s="57" t="s">
        <v>30</v>
      </c>
      <c r="B195" s="58" t="s">
        <v>478</v>
      </c>
      <c r="C195" s="64" t="s">
        <v>13</v>
      </c>
      <c r="D195" s="59" t="s">
        <v>150</v>
      </c>
      <c r="E195" s="58" t="s">
        <v>109</v>
      </c>
      <c r="F195" s="60"/>
      <c r="G195" s="61"/>
      <c r="H195" s="62"/>
      <c r="I195" s="58" t="s">
        <v>479</v>
      </c>
      <c r="J195" s="63" t="s">
        <v>364</v>
      </c>
    </row>
    <row r="196" customFormat="false" ht="57.45" hidden="false" customHeight="false" outlineLevel="0" collapsed="false">
      <c r="A196" s="57" t="s">
        <v>30</v>
      </c>
      <c r="B196" s="58" t="s">
        <v>480</v>
      </c>
      <c r="C196" s="64" t="s">
        <v>13</v>
      </c>
      <c r="D196" s="59" t="s">
        <v>150</v>
      </c>
      <c r="E196" s="58" t="s">
        <v>109</v>
      </c>
      <c r="F196" s="60"/>
      <c r="G196" s="61"/>
      <c r="H196" s="62"/>
      <c r="I196" s="58" t="s">
        <v>479</v>
      </c>
      <c r="J196" s="63" t="s">
        <v>364</v>
      </c>
    </row>
    <row r="197" customFormat="false" ht="57.45" hidden="false" customHeight="false" outlineLevel="0" collapsed="false">
      <c r="A197" s="57" t="s">
        <v>30</v>
      </c>
      <c r="B197" s="58" t="s">
        <v>481</v>
      </c>
      <c r="C197" s="64" t="s">
        <v>13</v>
      </c>
      <c r="D197" s="59" t="s">
        <v>150</v>
      </c>
      <c r="E197" s="58" t="s">
        <v>109</v>
      </c>
      <c r="F197" s="60"/>
      <c r="G197" s="61"/>
      <c r="H197" s="62"/>
      <c r="I197" s="58" t="s">
        <v>482</v>
      </c>
      <c r="J197" s="63" t="s">
        <v>364</v>
      </c>
    </row>
    <row r="198" customFormat="false" ht="57.45" hidden="false" customHeight="false" outlineLevel="0" collapsed="false">
      <c r="A198" s="57" t="s">
        <v>30</v>
      </c>
      <c r="B198" s="58" t="s">
        <v>483</v>
      </c>
      <c r="C198" s="64" t="s">
        <v>13</v>
      </c>
      <c r="D198" s="59" t="s">
        <v>150</v>
      </c>
      <c r="E198" s="58" t="s">
        <v>109</v>
      </c>
      <c r="F198" s="60"/>
      <c r="G198" s="61"/>
      <c r="H198" s="62"/>
      <c r="I198" s="58" t="s">
        <v>482</v>
      </c>
      <c r="J198" s="63" t="s">
        <v>364</v>
      </c>
    </row>
    <row r="199" customFormat="false" ht="57.45" hidden="false" customHeight="false" outlineLevel="0" collapsed="false">
      <c r="A199" s="57" t="s">
        <v>30</v>
      </c>
      <c r="B199" s="58" t="s">
        <v>484</v>
      </c>
      <c r="C199" s="64" t="s">
        <v>13</v>
      </c>
      <c r="D199" s="59" t="s">
        <v>150</v>
      </c>
      <c r="E199" s="58" t="s">
        <v>109</v>
      </c>
      <c r="F199" s="60"/>
      <c r="G199" s="61"/>
      <c r="H199" s="62"/>
      <c r="I199" s="58" t="s">
        <v>485</v>
      </c>
      <c r="J199" s="63" t="s">
        <v>364</v>
      </c>
    </row>
    <row r="200" customFormat="false" ht="57.45" hidden="false" customHeight="false" outlineLevel="0" collapsed="false">
      <c r="A200" s="57" t="s">
        <v>30</v>
      </c>
      <c r="B200" s="58" t="s">
        <v>486</v>
      </c>
      <c r="C200" s="64" t="s">
        <v>13</v>
      </c>
      <c r="D200" s="59" t="s">
        <v>150</v>
      </c>
      <c r="E200" s="58" t="s">
        <v>109</v>
      </c>
      <c r="F200" s="60"/>
      <c r="G200" s="61"/>
      <c r="H200" s="62"/>
      <c r="I200" s="58" t="s">
        <v>487</v>
      </c>
      <c r="J200" s="63" t="s">
        <v>364</v>
      </c>
    </row>
    <row r="201" customFormat="false" ht="57.45" hidden="false" customHeight="false" outlineLevel="0" collapsed="false">
      <c r="A201" s="57" t="s">
        <v>30</v>
      </c>
      <c r="B201" s="58" t="s">
        <v>488</v>
      </c>
      <c r="C201" s="64" t="s">
        <v>13</v>
      </c>
      <c r="D201" s="59" t="s">
        <v>150</v>
      </c>
      <c r="E201" s="58" t="s">
        <v>109</v>
      </c>
      <c r="F201" s="60"/>
      <c r="G201" s="61"/>
      <c r="H201" s="62"/>
      <c r="I201" s="58" t="s">
        <v>489</v>
      </c>
      <c r="J201" s="63" t="s">
        <v>364</v>
      </c>
    </row>
    <row r="202" customFormat="false" ht="57.45" hidden="false" customHeight="false" outlineLevel="0" collapsed="false">
      <c r="A202" s="57" t="s">
        <v>30</v>
      </c>
      <c r="B202" s="58" t="s">
        <v>490</v>
      </c>
      <c r="C202" s="64" t="s">
        <v>13</v>
      </c>
      <c r="D202" s="59" t="s">
        <v>150</v>
      </c>
      <c r="E202" s="58" t="s">
        <v>109</v>
      </c>
      <c r="F202" s="60"/>
      <c r="G202" s="61"/>
      <c r="H202" s="62"/>
      <c r="I202" s="58" t="s">
        <v>489</v>
      </c>
      <c r="J202" s="63" t="s">
        <v>364</v>
      </c>
    </row>
    <row r="203" customFormat="false" ht="57.45" hidden="false" customHeight="false" outlineLevel="0" collapsed="false">
      <c r="A203" s="57" t="s">
        <v>30</v>
      </c>
      <c r="B203" s="58" t="s">
        <v>491</v>
      </c>
      <c r="C203" s="64" t="s">
        <v>13</v>
      </c>
      <c r="D203" s="59" t="s">
        <v>150</v>
      </c>
      <c r="E203" s="58" t="s">
        <v>109</v>
      </c>
      <c r="F203" s="60"/>
      <c r="G203" s="61"/>
      <c r="H203" s="62"/>
      <c r="I203" s="58" t="s">
        <v>492</v>
      </c>
      <c r="J203" s="63" t="s">
        <v>364</v>
      </c>
    </row>
    <row r="204" customFormat="false" ht="57.45" hidden="false" customHeight="false" outlineLevel="0" collapsed="false">
      <c r="A204" s="57" t="s">
        <v>30</v>
      </c>
      <c r="B204" s="58" t="s">
        <v>493</v>
      </c>
      <c r="C204" s="64" t="s">
        <v>13</v>
      </c>
      <c r="D204" s="59" t="s">
        <v>150</v>
      </c>
      <c r="E204" s="58" t="s">
        <v>109</v>
      </c>
      <c r="F204" s="60"/>
      <c r="G204" s="61"/>
      <c r="H204" s="62"/>
      <c r="I204" s="58" t="s">
        <v>492</v>
      </c>
      <c r="J204" s="63" t="s">
        <v>364</v>
      </c>
    </row>
    <row r="205" customFormat="false" ht="57.45" hidden="false" customHeight="false" outlineLevel="0" collapsed="false">
      <c r="A205" s="57" t="s">
        <v>30</v>
      </c>
      <c r="B205" s="58" t="s">
        <v>494</v>
      </c>
      <c r="C205" s="64" t="s">
        <v>13</v>
      </c>
      <c r="D205" s="59" t="s">
        <v>150</v>
      </c>
      <c r="E205" s="58" t="s">
        <v>109</v>
      </c>
      <c r="F205" s="60"/>
      <c r="G205" s="61"/>
      <c r="H205" s="62"/>
      <c r="I205" s="58" t="s">
        <v>495</v>
      </c>
      <c r="J205" s="63" t="s">
        <v>364</v>
      </c>
    </row>
    <row r="206" customFormat="false" ht="57.45" hidden="false" customHeight="false" outlineLevel="0" collapsed="false">
      <c r="A206" s="57" t="s">
        <v>30</v>
      </c>
      <c r="B206" s="58" t="s">
        <v>496</v>
      </c>
      <c r="C206" s="64" t="s">
        <v>13</v>
      </c>
      <c r="D206" s="59" t="s">
        <v>150</v>
      </c>
      <c r="E206" s="58" t="s">
        <v>109</v>
      </c>
      <c r="F206" s="60"/>
      <c r="G206" s="61"/>
      <c r="H206" s="62"/>
      <c r="I206" s="58" t="s">
        <v>495</v>
      </c>
      <c r="J206" s="63" t="s">
        <v>364</v>
      </c>
    </row>
    <row r="207" customFormat="false" ht="57.45" hidden="false" customHeight="false" outlineLevel="0" collapsed="false">
      <c r="A207" s="57" t="s">
        <v>30</v>
      </c>
      <c r="B207" s="58" t="s">
        <v>497</v>
      </c>
      <c r="C207" s="64" t="s">
        <v>13</v>
      </c>
      <c r="D207" s="59" t="s">
        <v>150</v>
      </c>
      <c r="E207" s="58" t="s">
        <v>109</v>
      </c>
      <c r="F207" s="60"/>
      <c r="G207" s="61"/>
      <c r="H207" s="62"/>
      <c r="I207" s="58" t="s">
        <v>498</v>
      </c>
      <c r="J207" s="63" t="s">
        <v>364</v>
      </c>
    </row>
    <row r="208" customFormat="false" ht="57.45" hidden="false" customHeight="false" outlineLevel="0" collapsed="false">
      <c r="A208" s="57" t="s">
        <v>30</v>
      </c>
      <c r="B208" s="58" t="s">
        <v>499</v>
      </c>
      <c r="C208" s="64" t="s">
        <v>13</v>
      </c>
      <c r="D208" s="59" t="s">
        <v>150</v>
      </c>
      <c r="E208" s="58" t="s">
        <v>109</v>
      </c>
      <c r="F208" s="60"/>
      <c r="G208" s="61"/>
      <c r="H208" s="62"/>
      <c r="I208" s="58" t="s">
        <v>498</v>
      </c>
      <c r="J208" s="63" t="s">
        <v>364</v>
      </c>
    </row>
    <row r="209" customFormat="false" ht="57.45" hidden="false" customHeight="false" outlineLevel="0" collapsed="false">
      <c r="A209" s="57" t="s">
        <v>30</v>
      </c>
      <c r="B209" s="58" t="s">
        <v>500</v>
      </c>
      <c r="C209" s="64" t="s">
        <v>13</v>
      </c>
      <c r="D209" s="59" t="s">
        <v>150</v>
      </c>
      <c r="E209" s="58" t="s">
        <v>109</v>
      </c>
      <c r="F209" s="60"/>
      <c r="G209" s="61"/>
      <c r="H209" s="62"/>
      <c r="I209" s="58" t="s">
        <v>501</v>
      </c>
      <c r="J209" s="63" t="s">
        <v>364</v>
      </c>
    </row>
    <row r="210" customFormat="false" ht="57.45" hidden="false" customHeight="false" outlineLevel="0" collapsed="false">
      <c r="A210" s="57" t="s">
        <v>30</v>
      </c>
      <c r="B210" s="58" t="s">
        <v>502</v>
      </c>
      <c r="C210" s="64" t="s">
        <v>13</v>
      </c>
      <c r="D210" s="59" t="s">
        <v>150</v>
      </c>
      <c r="E210" s="58" t="s">
        <v>109</v>
      </c>
      <c r="F210" s="60"/>
      <c r="G210" s="61"/>
      <c r="H210" s="62"/>
      <c r="I210" s="58" t="s">
        <v>501</v>
      </c>
      <c r="J210" s="63" t="s">
        <v>364</v>
      </c>
    </row>
    <row r="211" customFormat="false" ht="57.45" hidden="false" customHeight="false" outlineLevel="0" collapsed="false">
      <c r="A211" s="57" t="s">
        <v>30</v>
      </c>
      <c r="B211" s="58" t="s">
        <v>503</v>
      </c>
      <c r="C211" s="64" t="s">
        <v>13</v>
      </c>
      <c r="D211" s="59" t="s">
        <v>150</v>
      </c>
      <c r="E211" s="58" t="s">
        <v>109</v>
      </c>
      <c r="F211" s="60"/>
      <c r="G211" s="61"/>
      <c r="H211" s="62"/>
      <c r="I211" s="58" t="s">
        <v>504</v>
      </c>
      <c r="J211" s="63" t="s">
        <v>364</v>
      </c>
    </row>
    <row r="212" customFormat="false" ht="57.45" hidden="false" customHeight="false" outlineLevel="0" collapsed="false">
      <c r="A212" s="57" t="s">
        <v>30</v>
      </c>
      <c r="B212" s="58" t="s">
        <v>505</v>
      </c>
      <c r="C212" s="64" t="s">
        <v>13</v>
      </c>
      <c r="D212" s="59" t="s">
        <v>150</v>
      </c>
      <c r="E212" s="58" t="s">
        <v>109</v>
      </c>
      <c r="F212" s="60"/>
      <c r="G212" s="61"/>
      <c r="H212" s="62"/>
      <c r="I212" s="58" t="s">
        <v>506</v>
      </c>
      <c r="J212" s="63" t="s">
        <v>364</v>
      </c>
    </row>
    <row r="213" customFormat="false" ht="57.45" hidden="false" customHeight="false" outlineLevel="0" collapsed="false">
      <c r="A213" s="57" t="s">
        <v>30</v>
      </c>
      <c r="B213" s="58" t="s">
        <v>507</v>
      </c>
      <c r="C213" s="64" t="s">
        <v>13</v>
      </c>
      <c r="D213" s="59" t="s">
        <v>150</v>
      </c>
      <c r="E213" s="58" t="s">
        <v>109</v>
      </c>
      <c r="F213" s="60"/>
      <c r="G213" s="61"/>
      <c r="H213" s="62"/>
      <c r="I213" s="58" t="s">
        <v>506</v>
      </c>
      <c r="J213" s="63" t="s">
        <v>364</v>
      </c>
    </row>
    <row r="214" customFormat="false" ht="57.45" hidden="false" customHeight="false" outlineLevel="0" collapsed="false">
      <c r="A214" s="57" t="s">
        <v>98</v>
      </c>
      <c r="B214" s="58" t="s">
        <v>508</v>
      </c>
      <c r="C214" s="64" t="s">
        <v>13</v>
      </c>
      <c r="D214" s="59" t="s">
        <v>150</v>
      </c>
      <c r="E214" s="58" t="s">
        <v>109</v>
      </c>
      <c r="F214" s="60"/>
      <c r="G214" s="61"/>
      <c r="H214" s="62"/>
      <c r="I214" s="58" t="s">
        <v>509</v>
      </c>
      <c r="J214" s="63" t="s">
        <v>364</v>
      </c>
    </row>
    <row r="215" customFormat="false" ht="35.05" hidden="false" customHeight="false" outlineLevel="0" collapsed="false">
      <c r="A215" s="57" t="s">
        <v>37</v>
      </c>
      <c r="B215" s="58" t="s">
        <v>510</v>
      </c>
      <c r="C215" s="56"/>
      <c r="D215" s="59" t="s">
        <v>150</v>
      </c>
      <c r="E215" s="58" t="s">
        <v>109</v>
      </c>
      <c r="F215" s="60"/>
      <c r="G215" s="61"/>
      <c r="H215" s="62"/>
      <c r="I215" s="58" t="s">
        <v>511</v>
      </c>
      <c r="J215" s="63" t="s">
        <v>364</v>
      </c>
    </row>
    <row r="216" customFormat="false" ht="35.05" hidden="false" customHeight="false" outlineLevel="0" collapsed="false">
      <c r="A216" s="57" t="s">
        <v>37</v>
      </c>
      <c r="B216" s="58" t="s">
        <v>512</v>
      </c>
      <c r="C216" s="56"/>
      <c r="D216" s="59" t="s">
        <v>150</v>
      </c>
      <c r="E216" s="58" t="s">
        <v>109</v>
      </c>
      <c r="F216" s="60"/>
      <c r="G216" s="61"/>
      <c r="H216" s="62"/>
      <c r="I216" s="58" t="s">
        <v>513</v>
      </c>
      <c r="J216" s="63" t="s">
        <v>364</v>
      </c>
    </row>
    <row r="217" customFormat="false" ht="35.05" hidden="false" customHeight="false" outlineLevel="0" collapsed="false">
      <c r="A217" s="57" t="s">
        <v>37</v>
      </c>
      <c r="B217" s="58" t="s">
        <v>514</v>
      </c>
      <c r="C217" s="56"/>
      <c r="D217" s="59" t="s">
        <v>150</v>
      </c>
      <c r="E217" s="58" t="s">
        <v>109</v>
      </c>
      <c r="F217" s="60"/>
      <c r="G217" s="61"/>
      <c r="H217" s="62"/>
      <c r="I217" s="58" t="s">
        <v>515</v>
      </c>
      <c r="J217" s="63" t="s">
        <v>364</v>
      </c>
    </row>
    <row r="218" customFormat="false" ht="35.05" hidden="false" customHeight="false" outlineLevel="0" collapsed="false">
      <c r="A218" s="57" t="s">
        <v>37</v>
      </c>
      <c r="B218" s="58" t="s">
        <v>516</v>
      </c>
      <c r="C218" s="56"/>
      <c r="D218" s="59" t="s">
        <v>150</v>
      </c>
      <c r="E218" s="58" t="s">
        <v>109</v>
      </c>
      <c r="F218" s="60"/>
      <c r="G218" s="61"/>
      <c r="H218" s="62"/>
      <c r="I218" s="58" t="s">
        <v>517</v>
      </c>
      <c r="J218" s="63" t="s">
        <v>364</v>
      </c>
    </row>
    <row r="219" customFormat="false" ht="35.05" hidden="false" customHeight="false" outlineLevel="0" collapsed="false">
      <c r="A219" s="57" t="s">
        <v>37</v>
      </c>
      <c r="B219" s="58" t="s">
        <v>518</v>
      </c>
      <c r="C219" s="56"/>
      <c r="D219" s="59" t="s">
        <v>150</v>
      </c>
      <c r="E219" s="58" t="s">
        <v>109</v>
      </c>
      <c r="F219" s="60"/>
      <c r="G219" s="61"/>
      <c r="H219" s="62"/>
      <c r="I219" s="58" t="s">
        <v>519</v>
      </c>
      <c r="J219" s="63" t="s">
        <v>364</v>
      </c>
    </row>
    <row r="220" customFormat="false" ht="35.05" hidden="false" customHeight="false" outlineLevel="0" collapsed="false">
      <c r="A220" s="57" t="s">
        <v>37</v>
      </c>
      <c r="B220" s="58" t="s">
        <v>520</v>
      </c>
      <c r="C220" s="56"/>
      <c r="D220" s="59" t="s">
        <v>150</v>
      </c>
      <c r="E220" s="58" t="s">
        <v>109</v>
      </c>
      <c r="F220" s="60"/>
      <c r="G220" s="61"/>
      <c r="H220" s="62"/>
      <c r="I220" s="58" t="s">
        <v>521</v>
      </c>
      <c r="J220" s="63" t="s">
        <v>364</v>
      </c>
    </row>
    <row r="221" customFormat="false" ht="57.45" hidden="false" customHeight="false" outlineLevel="0" collapsed="false">
      <c r="A221" s="57" t="s">
        <v>36</v>
      </c>
      <c r="B221" s="58" t="s">
        <v>522</v>
      </c>
      <c r="C221" s="64" t="s">
        <v>13</v>
      </c>
      <c r="D221" s="59" t="s">
        <v>150</v>
      </c>
      <c r="E221" s="58" t="s">
        <v>109</v>
      </c>
      <c r="F221" s="60"/>
      <c r="G221" s="61"/>
      <c r="H221" s="62"/>
      <c r="I221" s="58" t="s">
        <v>523</v>
      </c>
      <c r="J221" s="63" t="s">
        <v>364</v>
      </c>
    </row>
    <row r="222" customFormat="false" ht="57.45" hidden="false" customHeight="false" outlineLevel="0" collapsed="false">
      <c r="A222" s="57" t="s">
        <v>36</v>
      </c>
      <c r="B222" s="58" t="s">
        <v>524</v>
      </c>
      <c r="C222" s="64" t="s">
        <v>13</v>
      </c>
      <c r="D222" s="59" t="s">
        <v>150</v>
      </c>
      <c r="E222" s="58" t="s">
        <v>109</v>
      </c>
      <c r="F222" s="60"/>
      <c r="G222" s="61"/>
      <c r="H222" s="62"/>
      <c r="I222" s="58" t="s">
        <v>525</v>
      </c>
      <c r="J222" s="63" t="s">
        <v>364</v>
      </c>
    </row>
    <row r="223" customFormat="false" ht="57.45" hidden="false" customHeight="false" outlineLevel="0" collapsed="false">
      <c r="A223" s="57" t="s">
        <v>36</v>
      </c>
      <c r="B223" s="58" t="s">
        <v>526</v>
      </c>
      <c r="C223" s="64" t="s">
        <v>13</v>
      </c>
      <c r="D223" s="59" t="s">
        <v>150</v>
      </c>
      <c r="E223" s="58" t="s">
        <v>109</v>
      </c>
      <c r="F223" s="60"/>
      <c r="G223" s="61"/>
      <c r="H223" s="62"/>
      <c r="I223" s="58" t="s">
        <v>527</v>
      </c>
      <c r="J223" s="63" t="s">
        <v>364</v>
      </c>
    </row>
    <row r="224" customFormat="false" ht="57.45" hidden="false" customHeight="false" outlineLevel="0" collapsed="false">
      <c r="A224" s="57" t="s">
        <v>36</v>
      </c>
      <c r="B224" s="58" t="s">
        <v>528</v>
      </c>
      <c r="C224" s="64" t="s">
        <v>13</v>
      </c>
      <c r="D224" s="59" t="s">
        <v>150</v>
      </c>
      <c r="E224" s="58" t="s">
        <v>109</v>
      </c>
      <c r="F224" s="60"/>
      <c r="G224" s="61"/>
      <c r="H224" s="62"/>
      <c r="I224" s="58" t="s">
        <v>529</v>
      </c>
      <c r="J224" s="63" t="s">
        <v>364</v>
      </c>
    </row>
    <row r="225" customFormat="false" ht="57.45" hidden="false" customHeight="false" outlineLevel="0" collapsed="false">
      <c r="A225" s="57" t="s">
        <v>36</v>
      </c>
      <c r="B225" s="58" t="s">
        <v>530</v>
      </c>
      <c r="C225" s="64" t="s">
        <v>13</v>
      </c>
      <c r="D225" s="59" t="s">
        <v>150</v>
      </c>
      <c r="E225" s="58" t="s">
        <v>109</v>
      </c>
      <c r="F225" s="60"/>
      <c r="G225" s="61"/>
      <c r="H225" s="62"/>
      <c r="I225" s="58" t="s">
        <v>531</v>
      </c>
      <c r="J225" s="63" t="s">
        <v>364</v>
      </c>
    </row>
    <row r="226" customFormat="false" ht="57.45" hidden="false" customHeight="false" outlineLevel="0" collapsed="false">
      <c r="A226" s="57" t="s">
        <v>36</v>
      </c>
      <c r="B226" s="58" t="s">
        <v>532</v>
      </c>
      <c r="C226" s="64" t="s">
        <v>13</v>
      </c>
      <c r="D226" s="59" t="s">
        <v>150</v>
      </c>
      <c r="E226" s="58" t="s">
        <v>109</v>
      </c>
      <c r="F226" s="60"/>
      <c r="G226" s="61"/>
      <c r="H226" s="62"/>
      <c r="I226" s="58" t="s">
        <v>533</v>
      </c>
      <c r="J226" s="63" t="s">
        <v>364</v>
      </c>
    </row>
    <row r="227" customFormat="false" ht="57.45" hidden="false" customHeight="false" outlineLevel="0" collapsed="false">
      <c r="A227" s="57" t="s">
        <v>36</v>
      </c>
      <c r="B227" s="58" t="s">
        <v>534</v>
      </c>
      <c r="C227" s="64" t="s">
        <v>13</v>
      </c>
      <c r="D227" s="59" t="s">
        <v>150</v>
      </c>
      <c r="E227" s="58" t="s">
        <v>109</v>
      </c>
      <c r="F227" s="60"/>
      <c r="G227" s="61"/>
      <c r="H227" s="62"/>
      <c r="I227" s="58" t="s">
        <v>535</v>
      </c>
      <c r="J227" s="63" t="s">
        <v>364</v>
      </c>
    </row>
    <row r="228" customFormat="false" ht="35.05" hidden="false" customHeight="false" outlineLevel="0" collapsed="false">
      <c r="A228" s="57" t="s">
        <v>43</v>
      </c>
      <c r="B228" s="58" t="s">
        <v>536</v>
      </c>
      <c r="C228" s="56"/>
      <c r="D228" s="59" t="s">
        <v>150</v>
      </c>
      <c r="E228" s="58" t="s">
        <v>109</v>
      </c>
      <c r="F228" s="60"/>
      <c r="G228" s="61"/>
      <c r="H228" s="62"/>
      <c r="I228" s="58" t="s">
        <v>537</v>
      </c>
      <c r="J228" s="63" t="s">
        <v>364</v>
      </c>
    </row>
    <row r="229" customFormat="false" ht="35.05" hidden="false" customHeight="false" outlineLevel="0" collapsed="false">
      <c r="A229" s="57" t="s">
        <v>43</v>
      </c>
      <c r="B229" s="58" t="s">
        <v>538</v>
      </c>
      <c r="C229" s="56"/>
      <c r="D229" s="59" t="s">
        <v>150</v>
      </c>
      <c r="E229" s="58" t="s">
        <v>109</v>
      </c>
      <c r="F229" s="60"/>
      <c r="G229" s="61"/>
      <c r="H229" s="62"/>
      <c r="I229" s="58" t="s">
        <v>539</v>
      </c>
      <c r="J229" s="63" t="s">
        <v>364</v>
      </c>
    </row>
    <row r="230" customFormat="false" ht="35.05" hidden="false" customHeight="false" outlineLevel="0" collapsed="false">
      <c r="A230" s="57" t="s">
        <v>43</v>
      </c>
      <c r="B230" s="58" t="s">
        <v>540</v>
      </c>
      <c r="C230" s="56"/>
      <c r="D230" s="59" t="s">
        <v>150</v>
      </c>
      <c r="E230" s="58" t="s">
        <v>109</v>
      </c>
      <c r="F230" s="60"/>
      <c r="G230" s="61"/>
      <c r="H230" s="62"/>
      <c r="I230" s="58" t="s">
        <v>541</v>
      </c>
      <c r="J230" s="63" t="s">
        <v>364</v>
      </c>
    </row>
    <row r="231" customFormat="false" ht="35.05" hidden="false" customHeight="false" outlineLevel="0" collapsed="false">
      <c r="A231" s="57" t="s">
        <v>43</v>
      </c>
      <c r="B231" s="58" t="s">
        <v>542</v>
      </c>
      <c r="C231" s="56"/>
      <c r="D231" s="59" t="s">
        <v>150</v>
      </c>
      <c r="E231" s="58" t="s">
        <v>109</v>
      </c>
      <c r="F231" s="60"/>
      <c r="G231" s="61"/>
      <c r="H231" s="62"/>
      <c r="I231" s="58" t="s">
        <v>543</v>
      </c>
      <c r="J231" s="63" t="s">
        <v>364</v>
      </c>
    </row>
    <row r="232" customFormat="false" ht="35.05" hidden="false" customHeight="false" outlineLevel="0" collapsed="false">
      <c r="A232" s="57" t="s">
        <v>43</v>
      </c>
      <c r="B232" s="58" t="s">
        <v>544</v>
      </c>
      <c r="C232" s="56"/>
      <c r="D232" s="59" t="s">
        <v>150</v>
      </c>
      <c r="E232" s="58" t="s">
        <v>109</v>
      </c>
      <c r="F232" s="60"/>
      <c r="G232" s="61"/>
      <c r="H232" s="62"/>
      <c r="I232" s="58" t="s">
        <v>543</v>
      </c>
      <c r="J232" s="63" t="s">
        <v>364</v>
      </c>
    </row>
    <row r="233" customFormat="false" ht="35.05" hidden="false" customHeight="false" outlineLevel="0" collapsed="false">
      <c r="A233" s="57" t="s">
        <v>43</v>
      </c>
      <c r="B233" s="58" t="s">
        <v>545</v>
      </c>
      <c r="C233" s="56"/>
      <c r="D233" s="59" t="s">
        <v>150</v>
      </c>
      <c r="E233" s="58" t="s">
        <v>109</v>
      </c>
      <c r="F233" s="60"/>
      <c r="G233" s="61"/>
      <c r="H233" s="62"/>
      <c r="I233" s="58" t="s">
        <v>546</v>
      </c>
      <c r="J233" s="63" t="s">
        <v>364</v>
      </c>
    </row>
    <row r="234" customFormat="false" ht="57.45" hidden="false" customHeight="false" outlineLevel="0" collapsed="false">
      <c r="A234" s="57" t="s">
        <v>49</v>
      </c>
      <c r="B234" s="58" t="s">
        <v>547</v>
      </c>
      <c r="C234" s="64" t="s">
        <v>13</v>
      </c>
      <c r="D234" s="59" t="s">
        <v>150</v>
      </c>
      <c r="E234" s="58" t="s">
        <v>109</v>
      </c>
      <c r="F234" s="60"/>
      <c r="G234" s="61"/>
      <c r="H234" s="62"/>
      <c r="I234" s="58" t="s">
        <v>548</v>
      </c>
      <c r="J234" s="63" t="s">
        <v>364</v>
      </c>
    </row>
    <row r="235" customFormat="false" ht="57.45" hidden="false" customHeight="false" outlineLevel="0" collapsed="false">
      <c r="A235" s="57" t="s">
        <v>49</v>
      </c>
      <c r="B235" s="58" t="s">
        <v>549</v>
      </c>
      <c r="C235" s="64" t="s">
        <v>13</v>
      </c>
      <c r="D235" s="59" t="s">
        <v>150</v>
      </c>
      <c r="E235" s="58" t="s">
        <v>109</v>
      </c>
      <c r="F235" s="60"/>
      <c r="G235" s="61"/>
      <c r="H235" s="62"/>
      <c r="I235" s="58" t="s">
        <v>550</v>
      </c>
      <c r="J235" s="63" t="s">
        <v>364</v>
      </c>
    </row>
    <row r="236" customFormat="false" ht="57.45" hidden="false" customHeight="false" outlineLevel="0" collapsed="false">
      <c r="A236" s="57" t="s">
        <v>49</v>
      </c>
      <c r="B236" s="58" t="s">
        <v>551</v>
      </c>
      <c r="C236" s="64" t="s">
        <v>13</v>
      </c>
      <c r="D236" s="59" t="s">
        <v>150</v>
      </c>
      <c r="E236" s="58" t="s">
        <v>109</v>
      </c>
      <c r="F236" s="60"/>
      <c r="G236" s="61"/>
      <c r="H236" s="62"/>
      <c r="I236" s="58" t="s">
        <v>552</v>
      </c>
      <c r="J236" s="63" t="s">
        <v>364</v>
      </c>
    </row>
    <row r="237" customFormat="false" ht="57.45" hidden="false" customHeight="false" outlineLevel="0" collapsed="false">
      <c r="A237" s="57" t="s">
        <v>47</v>
      </c>
      <c r="B237" s="58" t="s">
        <v>553</v>
      </c>
      <c r="C237" s="64" t="s">
        <v>13</v>
      </c>
      <c r="D237" s="59" t="s">
        <v>150</v>
      </c>
      <c r="E237" s="58" t="s">
        <v>109</v>
      </c>
      <c r="F237" s="60"/>
      <c r="G237" s="61"/>
      <c r="H237" s="62"/>
      <c r="I237" s="58" t="s">
        <v>554</v>
      </c>
      <c r="J237" s="63" t="s">
        <v>364</v>
      </c>
    </row>
    <row r="238" customFormat="false" ht="57.45" hidden="false" customHeight="false" outlineLevel="0" collapsed="false">
      <c r="A238" s="57" t="s">
        <v>47</v>
      </c>
      <c r="B238" s="58" t="s">
        <v>555</v>
      </c>
      <c r="C238" s="64" t="s">
        <v>13</v>
      </c>
      <c r="D238" s="59" t="s">
        <v>150</v>
      </c>
      <c r="E238" s="58" t="s">
        <v>109</v>
      </c>
      <c r="F238" s="60"/>
      <c r="G238" s="61"/>
      <c r="H238" s="62"/>
      <c r="I238" s="58" t="s">
        <v>556</v>
      </c>
      <c r="J238" s="63" t="s">
        <v>364</v>
      </c>
    </row>
    <row r="239" customFormat="false" ht="57.45" hidden="false" customHeight="false" outlineLevel="0" collapsed="false">
      <c r="A239" s="57" t="s">
        <v>47</v>
      </c>
      <c r="B239" s="58" t="s">
        <v>557</v>
      </c>
      <c r="C239" s="64" t="s">
        <v>13</v>
      </c>
      <c r="D239" s="59" t="s">
        <v>150</v>
      </c>
      <c r="E239" s="58" t="s">
        <v>109</v>
      </c>
      <c r="F239" s="60"/>
      <c r="G239" s="61"/>
      <c r="H239" s="62"/>
      <c r="I239" s="58" t="s">
        <v>558</v>
      </c>
      <c r="J239" s="63" t="s">
        <v>364</v>
      </c>
    </row>
    <row r="240" customFormat="false" ht="57.45" hidden="false" customHeight="false" outlineLevel="0" collapsed="false">
      <c r="A240" s="57" t="s">
        <v>47</v>
      </c>
      <c r="B240" s="58" t="s">
        <v>559</v>
      </c>
      <c r="C240" s="64" t="s">
        <v>13</v>
      </c>
      <c r="D240" s="59" t="s">
        <v>150</v>
      </c>
      <c r="E240" s="58" t="s">
        <v>109</v>
      </c>
      <c r="F240" s="60"/>
      <c r="G240" s="61"/>
      <c r="H240" s="62"/>
      <c r="I240" s="58" t="s">
        <v>560</v>
      </c>
      <c r="J240" s="63" t="s">
        <v>364</v>
      </c>
    </row>
    <row r="241" customFormat="false" ht="57.45" hidden="false" customHeight="false" outlineLevel="0" collapsed="false">
      <c r="A241" s="57" t="s">
        <v>47</v>
      </c>
      <c r="B241" s="58" t="s">
        <v>561</v>
      </c>
      <c r="C241" s="64" t="s">
        <v>13</v>
      </c>
      <c r="D241" s="59" t="s">
        <v>150</v>
      </c>
      <c r="E241" s="58" t="s">
        <v>109</v>
      </c>
      <c r="F241" s="60"/>
      <c r="G241" s="61"/>
      <c r="H241" s="62"/>
      <c r="I241" s="58" t="s">
        <v>562</v>
      </c>
      <c r="J241" s="63" t="s">
        <v>364</v>
      </c>
    </row>
    <row r="242" customFormat="false" ht="57.45" hidden="false" customHeight="false" outlineLevel="0" collapsed="false">
      <c r="A242" s="57" t="s">
        <v>47</v>
      </c>
      <c r="B242" s="58" t="s">
        <v>563</v>
      </c>
      <c r="C242" s="64" t="s">
        <v>13</v>
      </c>
      <c r="D242" s="59" t="s">
        <v>150</v>
      </c>
      <c r="E242" s="58" t="s">
        <v>109</v>
      </c>
      <c r="F242" s="60"/>
      <c r="G242" s="61"/>
      <c r="H242" s="62"/>
      <c r="I242" s="58" t="s">
        <v>564</v>
      </c>
      <c r="J242" s="63" t="s">
        <v>364</v>
      </c>
    </row>
    <row r="243" customFormat="false" ht="35.05" hidden="false" customHeight="false" outlineLevel="0" collapsed="false">
      <c r="A243" s="57" t="s">
        <v>97</v>
      </c>
      <c r="B243" s="58" t="s">
        <v>565</v>
      </c>
      <c r="C243" s="56"/>
      <c r="D243" s="59" t="s">
        <v>150</v>
      </c>
      <c r="E243" s="58" t="s">
        <v>109</v>
      </c>
      <c r="F243" s="60"/>
      <c r="G243" s="61"/>
      <c r="H243" s="62"/>
      <c r="I243" s="58" t="s">
        <v>566</v>
      </c>
      <c r="J243" s="63" t="s">
        <v>364</v>
      </c>
    </row>
    <row r="244" customFormat="false" ht="35.05" hidden="false" customHeight="false" outlineLevel="0" collapsed="false">
      <c r="A244" s="57" t="s">
        <v>97</v>
      </c>
      <c r="B244" s="58" t="s">
        <v>567</v>
      </c>
      <c r="C244" s="56"/>
      <c r="D244" s="59" t="s">
        <v>150</v>
      </c>
      <c r="E244" s="58" t="s">
        <v>109</v>
      </c>
      <c r="F244" s="60"/>
      <c r="G244" s="61"/>
      <c r="H244" s="62"/>
      <c r="I244" s="58" t="s">
        <v>566</v>
      </c>
      <c r="J244" s="63" t="s">
        <v>364</v>
      </c>
    </row>
    <row r="245" customFormat="false" ht="35.05" hidden="false" customHeight="false" outlineLevel="0" collapsed="false">
      <c r="A245" s="57" t="s">
        <v>97</v>
      </c>
      <c r="B245" s="58" t="s">
        <v>568</v>
      </c>
      <c r="C245" s="56"/>
      <c r="D245" s="59" t="s">
        <v>150</v>
      </c>
      <c r="E245" s="58" t="s">
        <v>109</v>
      </c>
      <c r="F245" s="60"/>
      <c r="G245" s="61"/>
      <c r="H245" s="62"/>
      <c r="I245" s="58" t="s">
        <v>569</v>
      </c>
      <c r="J245" s="63" t="s">
        <v>364</v>
      </c>
    </row>
    <row r="246" customFormat="false" ht="35.05" hidden="false" customHeight="false" outlineLevel="0" collapsed="false">
      <c r="A246" s="57" t="s">
        <v>97</v>
      </c>
      <c r="B246" s="58" t="s">
        <v>570</v>
      </c>
      <c r="C246" s="56"/>
      <c r="D246" s="59" t="s">
        <v>150</v>
      </c>
      <c r="E246" s="58" t="s">
        <v>109</v>
      </c>
      <c r="F246" s="60"/>
      <c r="G246" s="61"/>
      <c r="H246" s="62"/>
      <c r="I246" s="58" t="s">
        <v>569</v>
      </c>
      <c r="J246" s="63" t="s">
        <v>364</v>
      </c>
    </row>
    <row r="247" customFormat="false" ht="35.05" hidden="false" customHeight="false" outlineLevel="0" collapsed="false">
      <c r="A247" s="57" t="s">
        <v>97</v>
      </c>
      <c r="B247" s="58" t="s">
        <v>571</v>
      </c>
      <c r="C247" s="56"/>
      <c r="D247" s="59" t="s">
        <v>150</v>
      </c>
      <c r="E247" s="58" t="s">
        <v>109</v>
      </c>
      <c r="F247" s="60"/>
      <c r="G247" s="61"/>
      <c r="H247" s="62"/>
      <c r="I247" s="58" t="s">
        <v>569</v>
      </c>
      <c r="J247" s="63" t="s">
        <v>364</v>
      </c>
    </row>
    <row r="248" customFormat="false" ht="35.05" hidden="false" customHeight="false" outlineLevel="0" collapsed="false">
      <c r="A248" s="57" t="s">
        <v>97</v>
      </c>
      <c r="B248" s="58" t="s">
        <v>572</v>
      </c>
      <c r="C248" s="56"/>
      <c r="D248" s="59" t="s">
        <v>150</v>
      </c>
      <c r="E248" s="58" t="s">
        <v>109</v>
      </c>
      <c r="F248" s="60"/>
      <c r="G248" s="61"/>
      <c r="H248" s="62"/>
      <c r="I248" s="58" t="s">
        <v>569</v>
      </c>
      <c r="J248" s="63" t="s">
        <v>364</v>
      </c>
    </row>
    <row r="249" customFormat="false" ht="35.05" hidden="false" customHeight="false" outlineLevel="0" collapsed="false">
      <c r="A249" s="57" t="s">
        <v>97</v>
      </c>
      <c r="B249" s="58" t="s">
        <v>573</v>
      </c>
      <c r="C249" s="56"/>
      <c r="D249" s="59" t="s">
        <v>150</v>
      </c>
      <c r="E249" s="58" t="s">
        <v>109</v>
      </c>
      <c r="F249" s="60"/>
      <c r="G249" s="61"/>
      <c r="H249" s="62"/>
      <c r="I249" s="58" t="s">
        <v>569</v>
      </c>
      <c r="J249" s="63" t="s">
        <v>364</v>
      </c>
    </row>
    <row r="250" customFormat="false" ht="35.05" hidden="false" customHeight="false" outlineLevel="0" collapsed="false">
      <c r="A250" s="57" t="s">
        <v>97</v>
      </c>
      <c r="B250" s="58" t="s">
        <v>574</v>
      </c>
      <c r="C250" s="56"/>
      <c r="D250" s="59" t="s">
        <v>150</v>
      </c>
      <c r="E250" s="58" t="s">
        <v>109</v>
      </c>
      <c r="F250" s="60"/>
      <c r="G250" s="61"/>
      <c r="H250" s="62"/>
      <c r="I250" s="58" t="s">
        <v>569</v>
      </c>
      <c r="J250" s="63" t="s">
        <v>364</v>
      </c>
    </row>
    <row r="251" customFormat="false" ht="35.05" hidden="false" customHeight="false" outlineLevel="0" collapsed="false">
      <c r="A251" s="57" t="s">
        <v>97</v>
      </c>
      <c r="B251" s="58" t="s">
        <v>575</v>
      </c>
      <c r="C251" s="56"/>
      <c r="D251" s="59" t="s">
        <v>150</v>
      </c>
      <c r="E251" s="58" t="s">
        <v>109</v>
      </c>
      <c r="F251" s="60"/>
      <c r="G251" s="61"/>
      <c r="H251" s="62"/>
      <c r="I251" s="58" t="s">
        <v>566</v>
      </c>
      <c r="J251" s="63" t="s">
        <v>364</v>
      </c>
    </row>
    <row r="252" customFormat="false" ht="35.05" hidden="false" customHeight="false" outlineLevel="0" collapsed="false">
      <c r="A252" s="57" t="s">
        <v>97</v>
      </c>
      <c r="B252" s="58" t="s">
        <v>576</v>
      </c>
      <c r="C252" s="56"/>
      <c r="D252" s="59" t="s">
        <v>150</v>
      </c>
      <c r="E252" s="58" t="s">
        <v>109</v>
      </c>
      <c r="F252" s="60"/>
      <c r="G252" s="61"/>
      <c r="H252" s="62"/>
      <c r="I252" s="58" t="s">
        <v>566</v>
      </c>
      <c r="J252" s="63" t="s">
        <v>364</v>
      </c>
    </row>
    <row r="253" customFormat="false" ht="35.05" hidden="false" customHeight="false" outlineLevel="0" collapsed="false">
      <c r="A253" s="57" t="s">
        <v>97</v>
      </c>
      <c r="B253" s="58" t="s">
        <v>577</v>
      </c>
      <c r="C253" s="56"/>
      <c r="D253" s="59" t="s">
        <v>150</v>
      </c>
      <c r="E253" s="58" t="s">
        <v>109</v>
      </c>
      <c r="F253" s="60"/>
      <c r="G253" s="61"/>
      <c r="H253" s="62"/>
      <c r="I253" s="58" t="s">
        <v>566</v>
      </c>
      <c r="J253" s="63" t="s">
        <v>364</v>
      </c>
    </row>
    <row r="254" customFormat="false" ht="35.05" hidden="false" customHeight="false" outlineLevel="0" collapsed="false">
      <c r="A254" s="57" t="s">
        <v>97</v>
      </c>
      <c r="B254" s="58" t="s">
        <v>578</v>
      </c>
      <c r="C254" s="56"/>
      <c r="D254" s="59" t="s">
        <v>150</v>
      </c>
      <c r="E254" s="58" t="s">
        <v>109</v>
      </c>
      <c r="F254" s="60"/>
      <c r="G254" s="61"/>
      <c r="H254" s="62"/>
      <c r="I254" s="58" t="s">
        <v>579</v>
      </c>
      <c r="J254" s="63" t="s">
        <v>364</v>
      </c>
    </row>
    <row r="255" customFormat="false" ht="35.05" hidden="false" customHeight="false" outlineLevel="0" collapsed="false">
      <c r="A255" s="57" t="s">
        <v>45</v>
      </c>
      <c r="B255" s="58" t="s">
        <v>580</v>
      </c>
      <c r="C255" s="56"/>
      <c r="D255" s="59" t="s">
        <v>150</v>
      </c>
      <c r="E255" s="58" t="s">
        <v>109</v>
      </c>
      <c r="F255" s="60"/>
      <c r="G255" s="61"/>
      <c r="H255" s="62"/>
      <c r="I255" s="58" t="s">
        <v>581</v>
      </c>
      <c r="J255" s="63" t="s">
        <v>364</v>
      </c>
    </row>
    <row r="256" customFormat="false" ht="35.05" hidden="false" customHeight="false" outlineLevel="0" collapsed="false">
      <c r="A256" s="57" t="s">
        <v>45</v>
      </c>
      <c r="B256" s="58" t="s">
        <v>582</v>
      </c>
      <c r="C256" s="56"/>
      <c r="D256" s="59" t="s">
        <v>150</v>
      </c>
      <c r="E256" s="58" t="s">
        <v>109</v>
      </c>
      <c r="F256" s="60"/>
      <c r="G256" s="61"/>
      <c r="H256" s="62"/>
      <c r="I256" s="58" t="s">
        <v>583</v>
      </c>
      <c r="J256" s="63" t="s">
        <v>364</v>
      </c>
    </row>
    <row r="257" customFormat="false" ht="35.05" hidden="false" customHeight="false" outlineLevel="0" collapsed="false">
      <c r="A257" s="57" t="s">
        <v>45</v>
      </c>
      <c r="B257" s="58" t="s">
        <v>584</v>
      </c>
      <c r="C257" s="56"/>
      <c r="D257" s="59" t="s">
        <v>150</v>
      </c>
      <c r="E257" s="58" t="s">
        <v>109</v>
      </c>
      <c r="F257" s="60"/>
      <c r="G257" s="61"/>
      <c r="H257" s="62"/>
      <c r="I257" s="58" t="s">
        <v>585</v>
      </c>
      <c r="J257" s="63" t="s">
        <v>364</v>
      </c>
    </row>
    <row r="258" customFormat="false" ht="35.05" hidden="false" customHeight="false" outlineLevel="0" collapsed="false">
      <c r="A258" s="57" t="s">
        <v>45</v>
      </c>
      <c r="B258" s="58" t="s">
        <v>586</v>
      </c>
      <c r="C258" s="56"/>
      <c r="D258" s="59" t="s">
        <v>150</v>
      </c>
      <c r="E258" s="58" t="s">
        <v>109</v>
      </c>
      <c r="F258" s="60"/>
      <c r="G258" s="61"/>
      <c r="H258" s="62"/>
      <c r="I258" s="58" t="s">
        <v>587</v>
      </c>
      <c r="J258" s="63" t="s">
        <v>364</v>
      </c>
    </row>
    <row r="259" customFormat="false" ht="35.05" hidden="false" customHeight="false" outlineLevel="0" collapsed="false">
      <c r="A259" s="57" t="s">
        <v>45</v>
      </c>
      <c r="B259" s="58" t="s">
        <v>588</v>
      </c>
      <c r="C259" s="56"/>
      <c r="D259" s="59" t="s">
        <v>150</v>
      </c>
      <c r="E259" s="58" t="s">
        <v>109</v>
      </c>
      <c r="F259" s="60"/>
      <c r="G259" s="61"/>
      <c r="H259" s="62"/>
      <c r="I259" s="58" t="s">
        <v>589</v>
      </c>
      <c r="J259" s="63" t="s">
        <v>364</v>
      </c>
    </row>
    <row r="260" customFormat="false" ht="35.05" hidden="false" customHeight="false" outlineLevel="0" collapsed="false">
      <c r="A260" s="57" t="s">
        <v>41</v>
      </c>
      <c r="B260" s="58" t="s">
        <v>590</v>
      </c>
      <c r="C260" s="56"/>
      <c r="D260" s="59" t="s">
        <v>150</v>
      </c>
      <c r="E260" s="58" t="s">
        <v>109</v>
      </c>
      <c r="F260" s="60"/>
      <c r="G260" s="61"/>
      <c r="H260" s="62"/>
      <c r="I260" s="58" t="s">
        <v>591</v>
      </c>
      <c r="J260" s="63" t="s">
        <v>364</v>
      </c>
    </row>
    <row r="261" customFormat="false" ht="15" hidden="false" customHeight="false" outlineLevel="0" collapsed="false">
      <c r="A261" s="65"/>
      <c r="B261" s="65"/>
      <c r="C261" s="65"/>
      <c r="D261" s="65"/>
      <c r="E261" s="65"/>
      <c r="F261" s="66"/>
      <c r="G261" s="66"/>
      <c r="H261" s="67"/>
      <c r="I261" s="65"/>
      <c r="J261" s="65"/>
    </row>
    <row r="262" customFormat="false" ht="15" hidden="false" customHeight="false" outlineLevel="0" collapsed="false">
      <c r="A262" s="65"/>
      <c r="B262" s="65"/>
      <c r="C262" s="65"/>
      <c r="D262" s="65"/>
      <c r="E262" s="65"/>
      <c r="F262" s="66"/>
      <c r="G262" s="66"/>
      <c r="H262" s="67"/>
      <c r="I262" s="65"/>
      <c r="J262" s="65"/>
    </row>
    <row r="263" customFormat="false" ht="15" hidden="false" customHeight="false" outlineLevel="0" collapsed="false">
      <c r="A263" s="65"/>
      <c r="B263" s="65"/>
      <c r="C263" s="65"/>
      <c r="D263" s="65"/>
      <c r="E263" s="65"/>
      <c r="F263" s="66"/>
      <c r="G263" s="66"/>
      <c r="H263" s="67"/>
      <c r="I263" s="65"/>
      <c r="J263" s="65"/>
    </row>
    <row r="264" customFormat="false" ht="15" hidden="false" customHeight="false" outlineLevel="0" collapsed="false">
      <c r="A264" s="65"/>
      <c r="B264" s="65"/>
      <c r="C264" s="65"/>
      <c r="D264" s="65"/>
      <c r="E264" s="65"/>
      <c r="F264" s="66"/>
      <c r="G264" s="66"/>
      <c r="H264" s="67"/>
      <c r="I264" s="65"/>
      <c r="J264" s="65"/>
    </row>
    <row r="265" customFormat="false" ht="15" hidden="false" customHeight="false" outlineLevel="0" collapsed="false">
      <c r="A265" s="65"/>
      <c r="B265" s="65"/>
      <c r="C265" s="65"/>
      <c r="D265" s="65"/>
      <c r="E265" s="65"/>
      <c r="F265" s="66"/>
      <c r="G265" s="66"/>
      <c r="H265" s="67"/>
      <c r="I265" s="65"/>
      <c r="J265" s="65"/>
    </row>
    <row r="266" customFormat="false" ht="15" hidden="false" customHeight="false" outlineLevel="0" collapsed="false">
      <c r="A266" s="65"/>
      <c r="B266" s="65"/>
      <c r="C266" s="65"/>
      <c r="D266" s="65"/>
      <c r="E266" s="65"/>
      <c r="F266" s="66"/>
      <c r="G266" s="66"/>
      <c r="H266" s="67"/>
      <c r="I266" s="65"/>
      <c r="J266" s="65"/>
    </row>
    <row r="267" customFormat="false" ht="15" hidden="false" customHeight="false" outlineLevel="0" collapsed="false">
      <c r="A267" s="65"/>
      <c r="B267" s="65"/>
      <c r="C267" s="65"/>
      <c r="D267" s="65"/>
      <c r="E267" s="65"/>
      <c r="F267" s="66"/>
      <c r="G267" s="66"/>
      <c r="H267" s="67"/>
      <c r="I267" s="65"/>
      <c r="J267" s="65"/>
    </row>
    <row r="268" customFormat="false" ht="15" hidden="false" customHeight="false" outlineLevel="0" collapsed="false">
      <c r="A268" s="65"/>
      <c r="B268" s="65"/>
      <c r="C268" s="65"/>
      <c r="D268" s="65"/>
      <c r="E268" s="65"/>
      <c r="F268" s="66"/>
      <c r="G268" s="66"/>
      <c r="H268" s="67"/>
      <c r="I268" s="65"/>
      <c r="J268" s="65"/>
    </row>
    <row r="269" customFormat="false" ht="15" hidden="false" customHeight="false" outlineLevel="0" collapsed="false">
      <c r="A269" s="65"/>
      <c r="B269" s="65"/>
      <c r="C269" s="65"/>
      <c r="D269" s="65"/>
      <c r="E269" s="65"/>
      <c r="F269" s="66"/>
      <c r="G269" s="66"/>
      <c r="H269" s="67"/>
      <c r="I269" s="65"/>
      <c r="J269" s="65"/>
    </row>
    <row r="270" customFormat="false" ht="15" hidden="false" customHeight="false" outlineLevel="0" collapsed="false">
      <c r="A270" s="65"/>
      <c r="B270" s="65"/>
      <c r="C270" s="65"/>
      <c r="D270" s="65"/>
      <c r="E270" s="65"/>
      <c r="F270" s="66"/>
      <c r="G270" s="66"/>
      <c r="H270" s="67"/>
      <c r="I270" s="65"/>
      <c r="J270" s="65"/>
    </row>
    <row r="271" customFormat="false" ht="15" hidden="false" customHeight="false" outlineLevel="0" collapsed="false">
      <c r="A271" s="65"/>
      <c r="B271" s="65"/>
      <c r="C271" s="65"/>
      <c r="D271" s="65"/>
      <c r="E271" s="65"/>
      <c r="F271" s="66"/>
      <c r="G271" s="66"/>
      <c r="H271" s="67"/>
      <c r="I271" s="65"/>
      <c r="J271" s="65"/>
    </row>
    <row r="272" customFormat="false" ht="15" hidden="false" customHeight="false" outlineLevel="0" collapsed="false">
      <c r="A272" s="65"/>
      <c r="B272" s="65"/>
      <c r="C272" s="65"/>
      <c r="D272" s="65"/>
      <c r="E272" s="65"/>
      <c r="F272" s="66"/>
      <c r="G272" s="66"/>
      <c r="H272" s="67"/>
      <c r="I272" s="65"/>
      <c r="J272" s="65"/>
    </row>
    <row r="273" customFormat="false" ht="15" hidden="false" customHeight="false" outlineLevel="0" collapsed="false">
      <c r="A273" s="65"/>
      <c r="B273" s="65"/>
      <c r="C273" s="65"/>
      <c r="D273" s="65"/>
      <c r="E273" s="65"/>
      <c r="F273" s="66"/>
      <c r="G273" s="66"/>
      <c r="H273" s="67"/>
      <c r="I273" s="65"/>
      <c r="J273" s="65"/>
    </row>
    <row r="274" customFormat="false" ht="15" hidden="false" customHeight="false" outlineLevel="0" collapsed="false">
      <c r="A274" s="65"/>
      <c r="B274" s="65"/>
      <c r="C274" s="65"/>
      <c r="D274" s="65"/>
      <c r="E274" s="65"/>
      <c r="F274" s="66"/>
      <c r="G274" s="66"/>
      <c r="H274" s="67"/>
      <c r="I274" s="65"/>
      <c r="J274" s="65"/>
    </row>
    <row r="275" customFormat="false" ht="15" hidden="false" customHeight="false" outlineLevel="0" collapsed="false">
      <c r="A275" s="65"/>
      <c r="B275" s="65"/>
      <c r="C275" s="65"/>
      <c r="D275" s="65"/>
      <c r="E275" s="65"/>
      <c r="F275" s="66"/>
      <c r="G275" s="66"/>
      <c r="H275" s="67"/>
      <c r="I275" s="65"/>
      <c r="J275" s="65"/>
    </row>
    <row r="276" customFormat="false" ht="15" hidden="false" customHeight="false" outlineLevel="0" collapsed="false">
      <c r="A276" s="65"/>
      <c r="B276" s="65"/>
      <c r="C276" s="65"/>
      <c r="D276" s="65"/>
      <c r="E276" s="65"/>
      <c r="F276" s="66"/>
      <c r="G276" s="66"/>
      <c r="H276" s="67"/>
      <c r="I276" s="65"/>
      <c r="J276" s="65"/>
    </row>
    <row r="277" customFormat="false" ht="15" hidden="false" customHeight="false" outlineLevel="0" collapsed="false">
      <c r="A277" s="65"/>
      <c r="B277" s="65"/>
      <c r="C277" s="65"/>
      <c r="D277" s="65"/>
      <c r="E277" s="65"/>
      <c r="F277" s="66"/>
      <c r="G277" s="66"/>
      <c r="H277" s="67"/>
      <c r="I277" s="65"/>
      <c r="J277" s="65"/>
    </row>
    <row r="278" customFormat="false" ht="15" hidden="false" customHeight="false" outlineLevel="0" collapsed="false">
      <c r="A278" s="65"/>
      <c r="B278" s="65"/>
      <c r="C278" s="65"/>
      <c r="D278" s="65"/>
      <c r="E278" s="65"/>
      <c r="F278" s="66"/>
      <c r="G278" s="66"/>
      <c r="H278" s="67"/>
      <c r="I278" s="65"/>
      <c r="J278" s="65"/>
    </row>
    <row r="279" customFormat="false" ht="15" hidden="false" customHeight="false" outlineLevel="0" collapsed="false">
      <c r="A279" s="65"/>
      <c r="B279" s="65"/>
      <c r="C279" s="65"/>
      <c r="D279" s="65"/>
      <c r="E279" s="65"/>
      <c r="F279" s="66"/>
      <c r="G279" s="66"/>
      <c r="H279" s="67"/>
      <c r="I279" s="65"/>
      <c r="J279" s="65"/>
    </row>
    <row r="280" customFormat="false" ht="15" hidden="false" customHeight="false" outlineLevel="0" collapsed="false">
      <c r="A280" s="65"/>
      <c r="B280" s="65"/>
      <c r="C280" s="65"/>
      <c r="D280" s="65"/>
      <c r="E280" s="65"/>
      <c r="F280" s="66"/>
      <c r="G280" s="66"/>
      <c r="H280" s="67"/>
      <c r="I280" s="65"/>
      <c r="J280" s="65"/>
    </row>
    <row r="281" customFormat="false" ht="15" hidden="false" customHeight="false" outlineLevel="0" collapsed="false">
      <c r="A281" s="65"/>
      <c r="B281" s="65"/>
      <c r="C281" s="65"/>
      <c r="D281" s="65"/>
      <c r="E281" s="65"/>
      <c r="F281" s="66"/>
      <c r="G281" s="66"/>
      <c r="H281" s="67"/>
      <c r="I281" s="65"/>
      <c r="J281" s="65"/>
    </row>
    <row r="282" customFormat="false" ht="15" hidden="false" customHeight="false" outlineLevel="0" collapsed="false">
      <c r="A282" s="65"/>
      <c r="B282" s="65"/>
      <c r="C282" s="65"/>
      <c r="D282" s="65"/>
      <c r="E282" s="65"/>
      <c r="F282" s="66"/>
      <c r="G282" s="66"/>
      <c r="H282" s="67"/>
      <c r="I282" s="65"/>
      <c r="J282" s="65"/>
    </row>
    <row r="283" customFormat="false" ht="15" hidden="false" customHeight="false" outlineLevel="0" collapsed="false">
      <c r="A283" s="65"/>
      <c r="B283" s="65"/>
      <c r="C283" s="65"/>
      <c r="D283" s="65"/>
      <c r="E283" s="65"/>
      <c r="F283" s="66"/>
      <c r="G283" s="66"/>
      <c r="H283" s="67"/>
      <c r="I283" s="65"/>
      <c r="J283" s="65"/>
    </row>
    <row r="284" customFormat="false" ht="15" hidden="false" customHeight="false" outlineLevel="0" collapsed="false">
      <c r="A284" s="65"/>
      <c r="B284" s="65"/>
      <c r="C284" s="65"/>
      <c r="D284" s="65"/>
      <c r="E284" s="65"/>
      <c r="F284" s="66"/>
      <c r="G284" s="66"/>
      <c r="H284" s="67"/>
      <c r="I284" s="65"/>
      <c r="J284" s="65"/>
    </row>
    <row r="285" customFormat="false" ht="15" hidden="false" customHeight="false" outlineLevel="0" collapsed="false">
      <c r="A285" s="65"/>
      <c r="B285" s="65"/>
      <c r="C285" s="65"/>
      <c r="D285" s="65"/>
      <c r="E285" s="65"/>
      <c r="F285" s="66"/>
      <c r="G285" s="66"/>
      <c r="H285" s="67"/>
      <c r="I285" s="65"/>
      <c r="J285" s="65"/>
    </row>
    <row r="286" customFormat="false" ht="15" hidden="false" customHeight="false" outlineLevel="0" collapsed="false">
      <c r="A286" s="65"/>
      <c r="B286" s="65"/>
      <c r="C286" s="65"/>
      <c r="D286" s="65"/>
      <c r="E286" s="65"/>
      <c r="F286" s="66"/>
      <c r="G286" s="66"/>
      <c r="H286" s="67"/>
      <c r="I286" s="65"/>
      <c r="J286" s="65"/>
    </row>
    <row r="287" customFormat="false" ht="15" hidden="false" customHeight="false" outlineLevel="0" collapsed="false">
      <c r="A287" s="65"/>
      <c r="B287" s="65"/>
      <c r="C287" s="65"/>
      <c r="D287" s="65"/>
      <c r="E287" s="65"/>
      <c r="F287" s="66"/>
      <c r="G287" s="66"/>
      <c r="H287" s="67"/>
      <c r="I287" s="65"/>
      <c r="J287" s="65"/>
    </row>
    <row r="288" customFormat="false" ht="15" hidden="false" customHeight="false" outlineLevel="0" collapsed="false">
      <c r="A288" s="65"/>
      <c r="B288" s="65"/>
      <c r="C288" s="65"/>
      <c r="D288" s="65"/>
      <c r="E288" s="65"/>
      <c r="F288" s="66"/>
      <c r="G288" s="66"/>
      <c r="H288" s="67"/>
      <c r="I288" s="65"/>
      <c r="J288" s="65"/>
    </row>
    <row r="289" customFormat="false" ht="15" hidden="false" customHeight="false" outlineLevel="0" collapsed="false">
      <c r="A289" s="65"/>
      <c r="B289" s="65"/>
      <c r="C289" s="65"/>
      <c r="D289" s="65"/>
      <c r="E289" s="65"/>
      <c r="F289" s="66"/>
      <c r="G289" s="66"/>
      <c r="H289" s="67"/>
      <c r="I289" s="65"/>
      <c r="J289" s="65"/>
    </row>
    <row r="290" customFormat="false" ht="15" hidden="false" customHeight="false" outlineLevel="0" collapsed="false">
      <c r="A290" s="65"/>
      <c r="B290" s="65"/>
      <c r="C290" s="65"/>
      <c r="D290" s="65"/>
      <c r="E290" s="65"/>
      <c r="F290" s="66"/>
      <c r="G290" s="66"/>
      <c r="H290" s="67"/>
      <c r="I290" s="65"/>
      <c r="J290" s="65"/>
    </row>
    <row r="291" customFormat="false" ht="15" hidden="false" customHeight="false" outlineLevel="0" collapsed="false">
      <c r="A291" s="65"/>
      <c r="B291" s="65"/>
      <c r="C291" s="65"/>
      <c r="D291" s="65"/>
      <c r="E291" s="65"/>
      <c r="F291" s="66"/>
      <c r="G291" s="66"/>
      <c r="H291" s="67"/>
      <c r="I291" s="65"/>
      <c r="J291" s="65"/>
    </row>
    <row r="292" customFormat="false" ht="15" hidden="false" customHeight="false" outlineLevel="0" collapsed="false">
      <c r="A292" s="65"/>
      <c r="B292" s="65"/>
      <c r="C292" s="65"/>
      <c r="D292" s="65"/>
      <c r="E292" s="65"/>
      <c r="F292" s="66"/>
      <c r="G292" s="66"/>
      <c r="H292" s="67"/>
      <c r="I292" s="65"/>
      <c r="J292" s="65"/>
    </row>
    <row r="293" customFormat="false" ht="15" hidden="false" customHeight="false" outlineLevel="0" collapsed="false">
      <c r="A293" s="65"/>
      <c r="B293" s="65"/>
      <c r="C293" s="65"/>
      <c r="D293" s="65"/>
      <c r="E293" s="65"/>
      <c r="F293" s="66"/>
      <c r="G293" s="66"/>
      <c r="H293" s="67"/>
      <c r="I293" s="65"/>
      <c r="J293" s="65"/>
    </row>
    <row r="294" customFormat="false" ht="15" hidden="false" customHeight="false" outlineLevel="0" collapsed="false">
      <c r="A294" s="65"/>
      <c r="B294" s="65"/>
      <c r="C294" s="65"/>
      <c r="D294" s="65"/>
      <c r="E294" s="65"/>
      <c r="F294" s="66"/>
      <c r="G294" s="66"/>
      <c r="H294" s="67"/>
      <c r="I294" s="65"/>
      <c r="J294" s="65"/>
    </row>
    <row r="295" customFormat="false" ht="15" hidden="false" customHeight="false" outlineLevel="0" collapsed="false">
      <c r="A295" s="65"/>
      <c r="B295" s="65"/>
      <c r="C295" s="65"/>
      <c r="D295" s="65"/>
      <c r="E295" s="65"/>
      <c r="F295" s="66"/>
      <c r="G295" s="66"/>
      <c r="H295" s="67"/>
      <c r="I295" s="65"/>
      <c r="J295" s="65"/>
    </row>
    <row r="296" customFormat="false" ht="15" hidden="false" customHeight="false" outlineLevel="0" collapsed="false">
      <c r="A296" s="65"/>
      <c r="B296" s="65"/>
      <c r="C296" s="65"/>
      <c r="D296" s="65"/>
      <c r="E296" s="65"/>
      <c r="F296" s="66"/>
      <c r="G296" s="66"/>
      <c r="H296" s="67"/>
      <c r="I296" s="65"/>
      <c r="J296" s="65"/>
    </row>
    <row r="297" customFormat="false" ht="15" hidden="false" customHeight="false" outlineLevel="0" collapsed="false">
      <c r="A297" s="65"/>
      <c r="B297" s="65"/>
      <c r="C297" s="65"/>
      <c r="D297" s="65"/>
      <c r="E297" s="65"/>
      <c r="F297" s="66"/>
      <c r="G297" s="66"/>
      <c r="H297" s="67"/>
      <c r="I297" s="65"/>
      <c r="J297" s="65"/>
    </row>
    <row r="298" customFormat="false" ht="15" hidden="false" customHeight="false" outlineLevel="0" collapsed="false">
      <c r="A298" s="65"/>
      <c r="B298" s="65"/>
      <c r="C298" s="65"/>
      <c r="D298" s="65"/>
      <c r="E298" s="65"/>
      <c r="F298" s="66"/>
      <c r="G298" s="66"/>
      <c r="H298" s="67"/>
      <c r="I298" s="65"/>
      <c r="J298" s="65"/>
    </row>
    <row r="299" customFormat="false" ht="15" hidden="false" customHeight="false" outlineLevel="0" collapsed="false">
      <c r="A299" s="65"/>
      <c r="B299" s="65"/>
      <c r="C299" s="65"/>
      <c r="D299" s="65"/>
      <c r="E299" s="65"/>
      <c r="F299" s="66"/>
      <c r="G299" s="66"/>
      <c r="H299" s="67"/>
      <c r="I299" s="65"/>
      <c r="J299" s="65"/>
    </row>
    <row r="300" customFormat="false" ht="15" hidden="false" customHeight="false" outlineLevel="0" collapsed="false">
      <c r="A300" s="65"/>
      <c r="B300" s="65"/>
      <c r="C300" s="65"/>
      <c r="D300" s="65"/>
      <c r="E300" s="65"/>
      <c r="F300" s="66"/>
      <c r="G300" s="66"/>
      <c r="H300" s="67"/>
      <c r="I300" s="65"/>
      <c r="J300" s="65"/>
    </row>
    <row r="301" customFormat="false" ht="15" hidden="false" customHeight="false" outlineLevel="0" collapsed="false">
      <c r="A301" s="65"/>
      <c r="B301" s="65"/>
      <c r="C301" s="65"/>
      <c r="D301" s="65"/>
      <c r="E301" s="65"/>
      <c r="F301" s="66"/>
      <c r="G301" s="66"/>
      <c r="H301" s="67"/>
      <c r="I301" s="65"/>
      <c r="J301" s="65"/>
    </row>
    <row r="302" customFormat="false" ht="15" hidden="false" customHeight="false" outlineLevel="0" collapsed="false">
      <c r="A302" s="65"/>
      <c r="B302" s="65"/>
      <c r="C302" s="65"/>
      <c r="D302" s="65"/>
      <c r="E302" s="65"/>
      <c r="F302" s="66"/>
      <c r="G302" s="66"/>
      <c r="H302" s="67"/>
      <c r="I302" s="65"/>
      <c r="J302" s="65"/>
    </row>
    <row r="303" customFormat="false" ht="15" hidden="false" customHeight="false" outlineLevel="0" collapsed="false">
      <c r="A303" s="65"/>
      <c r="B303" s="65"/>
      <c r="C303" s="65"/>
      <c r="D303" s="65"/>
      <c r="E303" s="65"/>
      <c r="F303" s="66"/>
      <c r="G303" s="66"/>
      <c r="H303" s="67"/>
      <c r="I303" s="65"/>
      <c r="J303" s="65"/>
    </row>
    <row r="304" customFormat="false" ht="15" hidden="false" customHeight="false" outlineLevel="0" collapsed="false">
      <c r="A304" s="65"/>
      <c r="B304" s="65"/>
      <c r="C304" s="65"/>
      <c r="D304" s="65"/>
      <c r="E304" s="65"/>
      <c r="F304" s="66"/>
      <c r="G304" s="66"/>
      <c r="H304" s="67"/>
      <c r="I304" s="65"/>
      <c r="J304" s="65"/>
    </row>
    <row r="305" customFormat="false" ht="15" hidden="false" customHeight="false" outlineLevel="0" collapsed="false">
      <c r="A305" s="65"/>
      <c r="B305" s="65"/>
      <c r="C305" s="65"/>
      <c r="D305" s="65"/>
      <c r="E305" s="65"/>
      <c r="F305" s="66"/>
      <c r="G305" s="66"/>
      <c r="H305" s="67"/>
      <c r="I305" s="65"/>
      <c r="J305" s="65"/>
    </row>
    <row r="306" customFormat="false" ht="15" hidden="false" customHeight="false" outlineLevel="0" collapsed="false">
      <c r="A306" s="65"/>
      <c r="B306" s="65"/>
      <c r="C306" s="65"/>
      <c r="D306" s="65"/>
      <c r="E306" s="65"/>
      <c r="F306" s="66"/>
      <c r="G306" s="66"/>
      <c r="H306" s="67"/>
      <c r="I306" s="65"/>
      <c r="J306" s="65"/>
    </row>
    <row r="307" customFormat="false" ht="15" hidden="false" customHeight="false" outlineLevel="0" collapsed="false">
      <c r="A307" s="65"/>
      <c r="B307" s="65"/>
      <c r="C307" s="65"/>
      <c r="D307" s="65"/>
      <c r="E307" s="65"/>
      <c r="F307" s="66"/>
      <c r="G307" s="66"/>
      <c r="H307" s="67"/>
      <c r="I307" s="65"/>
      <c r="J307" s="65"/>
    </row>
    <row r="308" customFormat="false" ht="15" hidden="false" customHeight="false" outlineLevel="0" collapsed="false">
      <c r="A308" s="65"/>
      <c r="B308" s="65"/>
      <c r="C308" s="65"/>
      <c r="D308" s="65"/>
      <c r="E308" s="65"/>
      <c r="F308" s="66"/>
      <c r="G308" s="66"/>
      <c r="H308" s="67"/>
      <c r="I308" s="65"/>
      <c r="J308" s="65"/>
    </row>
    <row r="309" customFormat="false" ht="15" hidden="false" customHeight="false" outlineLevel="0" collapsed="false">
      <c r="A309" s="65"/>
      <c r="B309" s="65"/>
      <c r="C309" s="65"/>
      <c r="D309" s="65"/>
      <c r="E309" s="65"/>
      <c r="F309" s="66"/>
      <c r="G309" s="66"/>
      <c r="H309" s="67"/>
      <c r="I309" s="65"/>
      <c r="J309" s="65"/>
    </row>
    <row r="310" customFormat="false" ht="15" hidden="false" customHeight="false" outlineLevel="0" collapsed="false">
      <c r="A310" s="65"/>
      <c r="B310" s="65"/>
      <c r="C310" s="65"/>
      <c r="D310" s="65"/>
      <c r="E310" s="65"/>
      <c r="F310" s="66"/>
      <c r="G310" s="66"/>
      <c r="H310" s="67"/>
      <c r="I310" s="65"/>
      <c r="J310" s="65"/>
    </row>
    <row r="311" customFormat="false" ht="15" hidden="false" customHeight="false" outlineLevel="0" collapsed="false">
      <c r="A311" s="65"/>
      <c r="B311" s="65"/>
      <c r="C311" s="65"/>
      <c r="D311" s="65"/>
      <c r="E311" s="65"/>
      <c r="F311" s="66"/>
      <c r="G311" s="66"/>
      <c r="H311" s="67"/>
      <c r="I311" s="65"/>
      <c r="J311" s="65"/>
    </row>
    <row r="312" customFormat="false" ht="15" hidden="false" customHeight="false" outlineLevel="0" collapsed="false">
      <c r="A312" s="65"/>
      <c r="B312" s="65"/>
      <c r="C312" s="65"/>
      <c r="D312" s="65"/>
      <c r="E312" s="65"/>
      <c r="F312" s="66"/>
      <c r="G312" s="66"/>
      <c r="H312" s="67"/>
      <c r="I312" s="65"/>
      <c r="J312" s="65"/>
    </row>
    <row r="313" customFormat="false" ht="15" hidden="false" customHeight="false" outlineLevel="0" collapsed="false">
      <c r="A313" s="65"/>
      <c r="B313" s="65"/>
      <c r="C313" s="65"/>
      <c r="D313" s="65"/>
      <c r="E313" s="65"/>
      <c r="F313" s="66"/>
      <c r="G313" s="66"/>
      <c r="H313" s="67"/>
      <c r="I313" s="65"/>
      <c r="J313" s="65"/>
    </row>
    <row r="314" customFormat="false" ht="15" hidden="false" customHeight="false" outlineLevel="0" collapsed="false">
      <c r="A314" s="65"/>
      <c r="B314" s="65"/>
      <c r="C314" s="65"/>
      <c r="D314" s="65"/>
      <c r="E314" s="65"/>
      <c r="F314" s="66"/>
      <c r="G314" s="66"/>
      <c r="H314" s="67"/>
      <c r="I314" s="65"/>
      <c r="J314" s="65"/>
    </row>
    <row r="315" customFormat="false" ht="15" hidden="false" customHeight="false" outlineLevel="0" collapsed="false">
      <c r="A315" s="65"/>
      <c r="B315" s="65"/>
      <c r="C315" s="65"/>
      <c r="D315" s="65"/>
      <c r="E315" s="65"/>
      <c r="F315" s="66"/>
      <c r="G315" s="66"/>
      <c r="H315" s="67"/>
      <c r="I315" s="65"/>
      <c r="J315" s="65"/>
    </row>
    <row r="316" customFormat="false" ht="15" hidden="false" customHeight="false" outlineLevel="0" collapsed="false">
      <c r="A316" s="65"/>
      <c r="B316" s="65"/>
      <c r="C316" s="65"/>
      <c r="D316" s="65"/>
      <c r="E316" s="65"/>
      <c r="F316" s="66"/>
      <c r="G316" s="66"/>
      <c r="H316" s="67"/>
      <c r="I316" s="65"/>
      <c r="J316" s="65"/>
    </row>
    <row r="317" customFormat="false" ht="15" hidden="false" customHeight="false" outlineLevel="0" collapsed="false">
      <c r="A317" s="65"/>
      <c r="B317" s="65"/>
      <c r="C317" s="65"/>
      <c r="D317" s="65"/>
      <c r="E317" s="65"/>
      <c r="F317" s="66"/>
      <c r="G317" s="66"/>
      <c r="H317" s="67"/>
      <c r="I317" s="65"/>
      <c r="J317" s="65"/>
    </row>
    <row r="318" customFormat="false" ht="15" hidden="false" customHeight="false" outlineLevel="0" collapsed="false">
      <c r="A318" s="65"/>
      <c r="B318" s="65"/>
      <c r="C318" s="65"/>
      <c r="D318" s="65"/>
      <c r="E318" s="65"/>
      <c r="F318" s="66"/>
      <c r="G318" s="66"/>
      <c r="H318" s="67"/>
      <c r="I318" s="65"/>
      <c r="J318" s="65"/>
    </row>
    <row r="319" customFormat="false" ht="15" hidden="false" customHeight="false" outlineLevel="0" collapsed="false">
      <c r="A319" s="65"/>
      <c r="B319" s="65"/>
      <c r="C319" s="65"/>
      <c r="D319" s="65"/>
      <c r="E319" s="65"/>
      <c r="F319" s="66"/>
      <c r="G319" s="66"/>
      <c r="H319" s="67"/>
      <c r="I319" s="65"/>
      <c r="J319" s="65"/>
    </row>
    <row r="320" customFormat="false" ht="15" hidden="false" customHeight="false" outlineLevel="0" collapsed="false">
      <c r="A320" s="65"/>
      <c r="B320" s="65"/>
      <c r="C320" s="65"/>
      <c r="D320" s="65"/>
      <c r="E320" s="65"/>
      <c r="F320" s="66"/>
      <c r="G320" s="66"/>
      <c r="H320" s="67"/>
      <c r="I320" s="65"/>
      <c r="J320" s="65"/>
    </row>
    <row r="321" customFormat="false" ht="15" hidden="false" customHeight="false" outlineLevel="0" collapsed="false">
      <c r="A321" s="65"/>
      <c r="B321" s="65"/>
      <c r="C321" s="65"/>
      <c r="D321" s="65"/>
      <c r="E321" s="65"/>
      <c r="F321" s="66"/>
      <c r="G321" s="66"/>
      <c r="H321" s="67"/>
      <c r="I321" s="65"/>
      <c r="J321" s="65"/>
    </row>
    <row r="322" customFormat="false" ht="15" hidden="false" customHeight="false" outlineLevel="0" collapsed="false">
      <c r="A322" s="65"/>
      <c r="B322" s="65"/>
      <c r="C322" s="65"/>
      <c r="D322" s="65"/>
      <c r="E322" s="65"/>
      <c r="F322" s="66"/>
      <c r="G322" s="66"/>
      <c r="H322" s="67"/>
      <c r="I322" s="65"/>
      <c r="J322" s="65"/>
    </row>
    <row r="323" customFormat="false" ht="15" hidden="false" customHeight="false" outlineLevel="0" collapsed="false">
      <c r="A323" s="65"/>
      <c r="B323" s="65"/>
      <c r="C323" s="65"/>
      <c r="D323" s="65"/>
      <c r="E323" s="65"/>
      <c r="F323" s="66"/>
      <c r="G323" s="66"/>
      <c r="H323" s="67"/>
      <c r="I323" s="65"/>
      <c r="J323" s="65"/>
    </row>
    <row r="324" customFormat="false" ht="15" hidden="false" customHeight="false" outlineLevel="0" collapsed="false">
      <c r="A324" s="65"/>
      <c r="B324" s="65"/>
      <c r="C324" s="65"/>
      <c r="D324" s="65"/>
      <c r="E324" s="65"/>
      <c r="F324" s="66"/>
      <c r="G324" s="66"/>
      <c r="H324" s="67"/>
      <c r="I324" s="65"/>
      <c r="J324" s="65"/>
    </row>
    <row r="325" customFormat="false" ht="15" hidden="false" customHeight="false" outlineLevel="0" collapsed="false">
      <c r="A325" s="65"/>
      <c r="B325" s="65"/>
      <c r="C325" s="65"/>
      <c r="D325" s="65"/>
      <c r="E325" s="65"/>
      <c r="F325" s="66"/>
      <c r="G325" s="66"/>
      <c r="H325" s="67"/>
      <c r="I325" s="65"/>
      <c r="J325" s="65"/>
    </row>
    <row r="326" customFormat="false" ht="15" hidden="false" customHeight="false" outlineLevel="0" collapsed="false">
      <c r="A326" s="65"/>
      <c r="B326" s="65"/>
      <c r="C326" s="65"/>
      <c r="D326" s="65"/>
      <c r="E326" s="65"/>
      <c r="F326" s="66"/>
      <c r="G326" s="66"/>
      <c r="H326" s="67"/>
      <c r="I326" s="65"/>
      <c r="J326" s="65"/>
    </row>
    <row r="327" customFormat="false" ht="15" hidden="false" customHeight="false" outlineLevel="0" collapsed="false">
      <c r="A327" s="65"/>
      <c r="B327" s="65"/>
      <c r="C327" s="65"/>
      <c r="D327" s="65"/>
      <c r="E327" s="65"/>
      <c r="F327" s="66"/>
      <c r="G327" s="66"/>
      <c r="H327" s="67"/>
      <c r="I327" s="65"/>
      <c r="J327" s="65"/>
    </row>
    <row r="328" customFormat="false" ht="15" hidden="false" customHeight="false" outlineLevel="0" collapsed="false">
      <c r="A328" s="65"/>
      <c r="B328" s="65"/>
      <c r="C328" s="65"/>
      <c r="D328" s="65"/>
      <c r="E328" s="65"/>
      <c r="F328" s="66"/>
      <c r="G328" s="66"/>
      <c r="H328" s="67"/>
      <c r="I328" s="65"/>
      <c r="J328" s="65"/>
    </row>
    <row r="329" customFormat="false" ht="15" hidden="false" customHeight="false" outlineLevel="0" collapsed="false">
      <c r="A329" s="65"/>
      <c r="B329" s="65"/>
      <c r="C329" s="65"/>
      <c r="D329" s="65"/>
      <c r="E329" s="65"/>
      <c r="F329" s="66"/>
      <c r="G329" s="66"/>
      <c r="H329" s="67"/>
      <c r="I329" s="65"/>
      <c r="J329" s="65"/>
    </row>
    <row r="330" customFormat="false" ht="15" hidden="false" customHeight="false" outlineLevel="0" collapsed="false">
      <c r="A330" s="65"/>
      <c r="B330" s="65"/>
      <c r="C330" s="65"/>
      <c r="D330" s="65"/>
      <c r="E330" s="65"/>
      <c r="F330" s="66"/>
      <c r="G330" s="66"/>
      <c r="H330" s="67"/>
      <c r="I330" s="65"/>
      <c r="J330" s="65"/>
    </row>
    <row r="331" customFormat="false" ht="15" hidden="false" customHeight="false" outlineLevel="0" collapsed="false">
      <c r="A331" s="65"/>
      <c r="B331" s="65"/>
      <c r="C331" s="65"/>
      <c r="D331" s="65"/>
      <c r="E331" s="65"/>
      <c r="F331" s="66"/>
      <c r="G331" s="66"/>
      <c r="H331" s="67"/>
      <c r="I331" s="65"/>
      <c r="J331" s="65"/>
    </row>
    <row r="332" customFormat="false" ht="15" hidden="false" customHeight="false" outlineLevel="0" collapsed="false">
      <c r="A332" s="65"/>
      <c r="B332" s="65"/>
      <c r="C332" s="65"/>
      <c r="D332" s="65"/>
      <c r="E332" s="65"/>
      <c r="F332" s="66"/>
      <c r="G332" s="66"/>
      <c r="H332" s="67"/>
      <c r="I332" s="65"/>
      <c r="J332" s="65"/>
    </row>
    <row r="333" customFormat="false" ht="15" hidden="false" customHeight="false" outlineLevel="0" collapsed="false">
      <c r="A333" s="65"/>
      <c r="B333" s="65"/>
      <c r="C333" s="65"/>
      <c r="D333" s="65"/>
      <c r="E333" s="65"/>
      <c r="F333" s="66"/>
      <c r="G333" s="66"/>
      <c r="H333" s="67"/>
      <c r="I333" s="65"/>
      <c r="J333" s="65"/>
    </row>
    <row r="334" customFormat="false" ht="15" hidden="false" customHeight="false" outlineLevel="0" collapsed="false">
      <c r="A334" s="65"/>
      <c r="B334" s="65"/>
      <c r="C334" s="65"/>
      <c r="D334" s="65"/>
      <c r="E334" s="65"/>
      <c r="F334" s="66"/>
      <c r="G334" s="66"/>
      <c r="H334" s="67"/>
      <c r="I334" s="65"/>
      <c r="J334" s="65"/>
    </row>
    <row r="335" customFormat="false" ht="15" hidden="false" customHeight="false" outlineLevel="0" collapsed="false">
      <c r="A335" s="65"/>
      <c r="B335" s="65"/>
      <c r="C335" s="65"/>
      <c r="D335" s="65"/>
      <c r="E335" s="65"/>
      <c r="F335" s="66"/>
      <c r="G335" s="66"/>
      <c r="H335" s="67"/>
      <c r="I335" s="65"/>
      <c r="J335" s="65"/>
    </row>
    <row r="336" customFormat="false" ht="15" hidden="false" customHeight="false" outlineLevel="0" collapsed="false">
      <c r="A336" s="65"/>
      <c r="B336" s="65"/>
      <c r="C336" s="65"/>
      <c r="D336" s="65"/>
      <c r="E336" s="65"/>
      <c r="F336" s="66"/>
      <c r="G336" s="66"/>
      <c r="H336" s="67"/>
      <c r="I336" s="65"/>
      <c r="J336" s="65"/>
    </row>
    <row r="337" customFormat="false" ht="15" hidden="false" customHeight="false" outlineLevel="0" collapsed="false">
      <c r="A337" s="65"/>
      <c r="B337" s="65"/>
      <c r="C337" s="65"/>
      <c r="D337" s="65"/>
      <c r="E337" s="65"/>
      <c r="F337" s="66"/>
      <c r="G337" s="66"/>
      <c r="H337" s="67"/>
      <c r="I337" s="65"/>
      <c r="J337" s="65"/>
    </row>
    <row r="338" customFormat="false" ht="15" hidden="false" customHeight="false" outlineLevel="0" collapsed="false">
      <c r="A338" s="65"/>
      <c r="B338" s="65"/>
      <c r="C338" s="65"/>
      <c r="D338" s="65"/>
      <c r="E338" s="65"/>
      <c r="F338" s="66"/>
      <c r="G338" s="66"/>
      <c r="H338" s="67"/>
      <c r="I338" s="65"/>
      <c r="J338" s="65"/>
    </row>
    <row r="339" customFormat="false" ht="15" hidden="false" customHeight="false" outlineLevel="0" collapsed="false">
      <c r="A339" s="65"/>
      <c r="B339" s="65"/>
      <c r="C339" s="65"/>
      <c r="D339" s="65"/>
      <c r="E339" s="65"/>
      <c r="F339" s="66"/>
      <c r="G339" s="66"/>
      <c r="H339" s="67"/>
      <c r="I339" s="65"/>
      <c r="J339" s="65"/>
    </row>
    <row r="340" customFormat="false" ht="15" hidden="false" customHeight="false" outlineLevel="0" collapsed="false">
      <c r="A340" s="65"/>
      <c r="B340" s="65"/>
      <c r="C340" s="65"/>
      <c r="D340" s="65"/>
      <c r="E340" s="65"/>
      <c r="F340" s="66"/>
      <c r="G340" s="66"/>
      <c r="H340" s="67"/>
      <c r="I340" s="65"/>
      <c r="J340" s="65"/>
    </row>
    <row r="341" customFormat="false" ht="15" hidden="false" customHeight="false" outlineLevel="0" collapsed="false">
      <c r="A341" s="65"/>
      <c r="B341" s="65"/>
      <c r="C341" s="65"/>
      <c r="D341" s="65"/>
      <c r="E341" s="65"/>
      <c r="F341" s="66"/>
      <c r="G341" s="66"/>
      <c r="H341" s="67"/>
      <c r="I341" s="65"/>
      <c r="J341" s="65"/>
    </row>
    <row r="342" customFormat="false" ht="15" hidden="false" customHeight="false" outlineLevel="0" collapsed="false">
      <c r="A342" s="65"/>
      <c r="B342" s="65"/>
      <c r="C342" s="65"/>
      <c r="D342" s="65"/>
      <c r="E342" s="65"/>
      <c r="F342" s="66"/>
      <c r="G342" s="66"/>
      <c r="H342" s="67"/>
      <c r="I342" s="65"/>
      <c r="J342" s="65"/>
    </row>
    <row r="343" customFormat="false" ht="15" hidden="false" customHeight="false" outlineLevel="0" collapsed="false">
      <c r="A343" s="65"/>
      <c r="B343" s="65"/>
      <c r="C343" s="65"/>
      <c r="D343" s="65"/>
      <c r="E343" s="65"/>
      <c r="F343" s="66"/>
      <c r="G343" s="66"/>
      <c r="H343" s="67"/>
      <c r="I343" s="65"/>
      <c r="J343" s="65"/>
    </row>
    <row r="344" customFormat="false" ht="15" hidden="false" customHeight="false" outlineLevel="0" collapsed="false">
      <c r="A344" s="65"/>
      <c r="B344" s="65"/>
      <c r="C344" s="65"/>
      <c r="D344" s="65"/>
      <c r="E344" s="65"/>
      <c r="F344" s="66"/>
      <c r="G344" s="66"/>
      <c r="H344" s="67"/>
      <c r="I344" s="65"/>
      <c r="J344" s="65"/>
    </row>
    <row r="345" customFormat="false" ht="15" hidden="false" customHeight="false" outlineLevel="0" collapsed="false">
      <c r="A345" s="65"/>
      <c r="B345" s="65"/>
      <c r="C345" s="65"/>
      <c r="D345" s="65"/>
      <c r="E345" s="65"/>
      <c r="F345" s="66"/>
      <c r="G345" s="66"/>
      <c r="H345" s="67"/>
      <c r="I345" s="65"/>
      <c r="J345" s="65"/>
    </row>
    <row r="346" customFormat="false" ht="15" hidden="false" customHeight="false" outlineLevel="0" collapsed="false">
      <c r="A346" s="65"/>
      <c r="B346" s="65"/>
      <c r="C346" s="65"/>
      <c r="D346" s="65"/>
      <c r="E346" s="65"/>
      <c r="F346" s="66"/>
      <c r="G346" s="66"/>
      <c r="H346" s="67"/>
      <c r="I346" s="65"/>
      <c r="J346" s="65"/>
    </row>
    <row r="347" customFormat="false" ht="15" hidden="false" customHeight="false" outlineLevel="0" collapsed="false">
      <c r="A347" s="65"/>
      <c r="B347" s="65"/>
      <c r="C347" s="65"/>
      <c r="D347" s="65"/>
      <c r="E347" s="65"/>
      <c r="F347" s="66"/>
      <c r="G347" s="66"/>
      <c r="H347" s="67"/>
      <c r="I347" s="65"/>
      <c r="J347" s="65"/>
    </row>
    <row r="348" customFormat="false" ht="15" hidden="false" customHeight="false" outlineLevel="0" collapsed="false">
      <c r="A348" s="65"/>
      <c r="B348" s="65"/>
      <c r="C348" s="65"/>
      <c r="D348" s="65"/>
      <c r="E348" s="65"/>
      <c r="F348" s="66"/>
      <c r="G348" s="66"/>
      <c r="H348" s="67"/>
      <c r="I348" s="65"/>
      <c r="J348" s="65"/>
    </row>
    <row r="349" customFormat="false" ht="15" hidden="false" customHeight="false" outlineLevel="0" collapsed="false">
      <c r="A349" s="65"/>
      <c r="B349" s="65"/>
      <c r="C349" s="65"/>
      <c r="D349" s="65"/>
      <c r="E349" s="65"/>
      <c r="F349" s="66"/>
      <c r="G349" s="66"/>
      <c r="H349" s="67"/>
      <c r="I349" s="65"/>
      <c r="J349" s="65"/>
    </row>
    <row r="350" customFormat="false" ht="15" hidden="false" customHeight="false" outlineLevel="0" collapsed="false">
      <c r="A350" s="65"/>
      <c r="B350" s="65"/>
      <c r="C350" s="65"/>
      <c r="D350" s="65"/>
      <c r="E350" s="65"/>
      <c r="F350" s="66"/>
      <c r="G350" s="66"/>
      <c r="H350" s="67"/>
      <c r="I350" s="65"/>
      <c r="J350" s="65"/>
    </row>
    <row r="351" customFormat="false" ht="15" hidden="false" customHeight="false" outlineLevel="0" collapsed="false">
      <c r="A351" s="65"/>
      <c r="B351" s="65"/>
      <c r="C351" s="65"/>
      <c r="D351" s="65"/>
      <c r="E351" s="65"/>
      <c r="F351" s="66"/>
      <c r="G351" s="66"/>
      <c r="H351" s="67"/>
      <c r="I351" s="65"/>
      <c r="J351" s="65"/>
    </row>
    <row r="352" customFormat="false" ht="15" hidden="false" customHeight="false" outlineLevel="0" collapsed="false">
      <c r="A352" s="65"/>
      <c r="B352" s="65"/>
      <c r="C352" s="65"/>
      <c r="D352" s="65"/>
      <c r="E352" s="65"/>
      <c r="F352" s="66"/>
      <c r="G352" s="66"/>
      <c r="H352" s="67"/>
      <c r="I352" s="65"/>
      <c r="J352" s="65"/>
    </row>
    <row r="353" customFormat="false" ht="15" hidden="false" customHeight="false" outlineLevel="0" collapsed="false">
      <c r="A353" s="65"/>
      <c r="B353" s="65"/>
      <c r="C353" s="65"/>
      <c r="D353" s="65"/>
      <c r="E353" s="65"/>
      <c r="F353" s="66"/>
      <c r="G353" s="66"/>
      <c r="H353" s="67"/>
      <c r="I353" s="65"/>
      <c r="J353" s="65"/>
    </row>
    <row r="354" customFormat="false" ht="15" hidden="false" customHeight="false" outlineLevel="0" collapsed="false">
      <c r="A354" s="65"/>
      <c r="B354" s="65"/>
      <c r="C354" s="65"/>
      <c r="D354" s="65"/>
      <c r="E354" s="65"/>
      <c r="F354" s="66"/>
      <c r="G354" s="66"/>
      <c r="H354" s="67"/>
      <c r="I354" s="65"/>
      <c r="J354" s="65"/>
    </row>
    <row r="355" customFormat="false" ht="15" hidden="false" customHeight="false" outlineLevel="0" collapsed="false">
      <c r="A355" s="65"/>
      <c r="B355" s="65"/>
      <c r="C355" s="65"/>
      <c r="D355" s="65"/>
      <c r="E355" s="65"/>
      <c r="F355" s="66"/>
      <c r="G355" s="66"/>
      <c r="H355" s="67"/>
      <c r="I355" s="65"/>
      <c r="J355" s="65"/>
    </row>
    <row r="356" customFormat="false" ht="15" hidden="false" customHeight="false" outlineLevel="0" collapsed="false">
      <c r="A356" s="65"/>
      <c r="B356" s="65"/>
      <c r="C356" s="65"/>
      <c r="D356" s="65"/>
      <c r="E356" s="65"/>
      <c r="F356" s="66"/>
      <c r="G356" s="66"/>
      <c r="H356" s="67"/>
      <c r="I356" s="65"/>
      <c r="J356" s="65"/>
    </row>
    <row r="357" customFormat="false" ht="15" hidden="false" customHeight="false" outlineLevel="0" collapsed="false">
      <c r="A357" s="65"/>
      <c r="B357" s="65"/>
      <c r="C357" s="65"/>
      <c r="D357" s="65"/>
      <c r="E357" s="65"/>
      <c r="F357" s="66"/>
      <c r="G357" s="66"/>
      <c r="H357" s="67"/>
      <c r="I357" s="65"/>
      <c r="J357" s="65"/>
    </row>
    <row r="358" customFormat="false" ht="15" hidden="false" customHeight="false" outlineLevel="0" collapsed="false">
      <c r="A358" s="65"/>
      <c r="B358" s="65"/>
      <c r="C358" s="65"/>
      <c r="D358" s="65"/>
      <c r="E358" s="65"/>
      <c r="F358" s="66"/>
      <c r="G358" s="66"/>
      <c r="H358" s="67"/>
      <c r="I358" s="65"/>
      <c r="J358" s="65"/>
    </row>
    <row r="359" customFormat="false" ht="15" hidden="false" customHeight="false" outlineLevel="0" collapsed="false">
      <c r="A359" s="65"/>
      <c r="B359" s="65"/>
      <c r="C359" s="65"/>
      <c r="D359" s="65"/>
      <c r="E359" s="65"/>
      <c r="F359" s="66"/>
      <c r="G359" s="66"/>
      <c r="H359" s="67"/>
      <c r="I359" s="65"/>
      <c r="J359" s="65"/>
    </row>
    <row r="360" customFormat="false" ht="15" hidden="false" customHeight="false" outlineLevel="0" collapsed="false">
      <c r="A360" s="65"/>
      <c r="B360" s="65"/>
      <c r="C360" s="65"/>
      <c r="D360" s="65"/>
      <c r="E360" s="65"/>
      <c r="F360" s="66"/>
      <c r="G360" s="66"/>
      <c r="H360" s="67"/>
      <c r="I360" s="65"/>
      <c r="J360" s="65"/>
    </row>
    <row r="361" customFormat="false" ht="15" hidden="false" customHeight="false" outlineLevel="0" collapsed="false">
      <c r="A361" s="65"/>
      <c r="B361" s="65"/>
      <c r="C361" s="65"/>
      <c r="D361" s="65"/>
      <c r="E361" s="65"/>
      <c r="F361" s="66"/>
      <c r="G361" s="66"/>
      <c r="H361" s="67"/>
      <c r="I361" s="65"/>
      <c r="J361" s="65"/>
    </row>
    <row r="362" customFormat="false" ht="15" hidden="false" customHeight="false" outlineLevel="0" collapsed="false">
      <c r="A362" s="65"/>
      <c r="B362" s="65"/>
      <c r="C362" s="65"/>
      <c r="D362" s="65"/>
      <c r="E362" s="65"/>
      <c r="F362" s="66"/>
      <c r="G362" s="66"/>
      <c r="H362" s="67"/>
      <c r="I362" s="65"/>
      <c r="J362" s="65"/>
    </row>
    <row r="363" customFormat="false" ht="15" hidden="false" customHeight="false" outlineLevel="0" collapsed="false">
      <c r="A363" s="65"/>
      <c r="B363" s="65"/>
      <c r="C363" s="65"/>
      <c r="D363" s="65"/>
      <c r="E363" s="65"/>
      <c r="F363" s="66"/>
      <c r="G363" s="66"/>
      <c r="H363" s="67"/>
      <c r="I363" s="65"/>
      <c r="J363" s="65"/>
    </row>
    <row r="364" customFormat="false" ht="15" hidden="false" customHeight="false" outlineLevel="0" collapsed="false">
      <c r="A364" s="65"/>
      <c r="B364" s="65"/>
      <c r="C364" s="65"/>
      <c r="D364" s="65"/>
      <c r="E364" s="65"/>
      <c r="F364" s="66"/>
      <c r="G364" s="66"/>
      <c r="H364" s="67"/>
      <c r="I364" s="65"/>
      <c r="J364" s="65"/>
    </row>
    <row r="365" customFormat="false" ht="15" hidden="false" customHeight="false" outlineLevel="0" collapsed="false">
      <c r="A365" s="65"/>
      <c r="B365" s="65"/>
      <c r="C365" s="65"/>
      <c r="D365" s="65"/>
      <c r="E365" s="65"/>
      <c r="F365" s="66"/>
      <c r="G365" s="66"/>
      <c r="H365" s="67"/>
      <c r="I365" s="65"/>
      <c r="J365" s="65"/>
    </row>
    <row r="366" customFormat="false" ht="15" hidden="false" customHeight="false" outlineLevel="0" collapsed="false">
      <c r="A366" s="65"/>
      <c r="B366" s="65"/>
      <c r="C366" s="65"/>
      <c r="D366" s="65"/>
      <c r="E366" s="65"/>
      <c r="F366" s="66"/>
      <c r="G366" s="66"/>
      <c r="H366" s="67"/>
      <c r="I366" s="65"/>
      <c r="J366" s="65"/>
    </row>
    <row r="367" customFormat="false" ht="15" hidden="false" customHeight="false" outlineLevel="0" collapsed="false">
      <c r="A367" s="65"/>
      <c r="B367" s="65"/>
      <c r="C367" s="65"/>
      <c r="D367" s="65"/>
      <c r="E367" s="65"/>
      <c r="F367" s="66"/>
      <c r="G367" s="66"/>
      <c r="H367" s="67"/>
      <c r="I367" s="65"/>
      <c r="J367" s="65"/>
    </row>
    <row r="368" customFormat="false" ht="15" hidden="false" customHeight="false" outlineLevel="0" collapsed="false">
      <c r="A368" s="65"/>
      <c r="B368" s="65"/>
      <c r="C368" s="65"/>
      <c r="D368" s="65"/>
      <c r="E368" s="65"/>
      <c r="F368" s="66"/>
      <c r="G368" s="66"/>
      <c r="H368" s="67"/>
      <c r="I368" s="65"/>
      <c r="J368" s="65"/>
    </row>
    <row r="369" customFormat="false" ht="15" hidden="false" customHeight="false" outlineLevel="0" collapsed="false">
      <c r="A369" s="65"/>
      <c r="B369" s="65"/>
      <c r="C369" s="65"/>
      <c r="D369" s="65"/>
      <c r="E369" s="65"/>
      <c r="F369" s="66"/>
      <c r="G369" s="66"/>
      <c r="H369" s="67"/>
      <c r="I369" s="65"/>
      <c r="J369" s="65"/>
    </row>
    <row r="370" customFormat="false" ht="15" hidden="false" customHeight="false" outlineLevel="0" collapsed="false">
      <c r="A370" s="65"/>
      <c r="B370" s="65"/>
      <c r="C370" s="65"/>
      <c r="D370" s="65"/>
      <c r="E370" s="65"/>
      <c r="F370" s="66"/>
      <c r="G370" s="66"/>
      <c r="H370" s="67"/>
      <c r="I370" s="65"/>
      <c r="J370" s="65"/>
    </row>
    <row r="371" customFormat="false" ht="15" hidden="false" customHeight="false" outlineLevel="0" collapsed="false">
      <c r="A371" s="65"/>
      <c r="B371" s="65"/>
      <c r="C371" s="65"/>
      <c r="D371" s="65"/>
      <c r="E371" s="65"/>
      <c r="F371" s="66"/>
      <c r="G371" s="66"/>
      <c r="H371" s="67"/>
      <c r="I371" s="65"/>
      <c r="J371" s="65"/>
    </row>
    <row r="372" customFormat="false" ht="15" hidden="false" customHeight="false" outlineLevel="0" collapsed="false">
      <c r="A372" s="65"/>
      <c r="B372" s="65"/>
      <c r="C372" s="65"/>
      <c r="D372" s="65"/>
      <c r="E372" s="65"/>
      <c r="F372" s="66"/>
      <c r="G372" s="66"/>
      <c r="H372" s="67"/>
      <c r="I372" s="65"/>
      <c r="J372" s="65"/>
    </row>
    <row r="373" customFormat="false" ht="15" hidden="false" customHeight="false" outlineLevel="0" collapsed="false">
      <c r="A373" s="65"/>
      <c r="B373" s="65"/>
      <c r="C373" s="65"/>
      <c r="D373" s="65"/>
      <c r="E373" s="65"/>
      <c r="F373" s="66"/>
      <c r="G373" s="66"/>
      <c r="H373" s="67"/>
      <c r="I373" s="65"/>
      <c r="J373" s="65"/>
    </row>
    <row r="374" customFormat="false" ht="15" hidden="false" customHeight="false" outlineLevel="0" collapsed="false">
      <c r="A374" s="65"/>
      <c r="B374" s="65"/>
      <c r="C374" s="65"/>
      <c r="D374" s="65"/>
      <c r="E374" s="65"/>
      <c r="F374" s="66"/>
      <c r="G374" s="66"/>
      <c r="H374" s="67"/>
      <c r="I374" s="65"/>
      <c r="J374" s="65"/>
    </row>
    <row r="375" customFormat="false" ht="15" hidden="false" customHeight="false" outlineLevel="0" collapsed="false">
      <c r="A375" s="65"/>
      <c r="B375" s="65"/>
      <c r="C375" s="65"/>
      <c r="D375" s="65"/>
      <c r="E375" s="65"/>
      <c r="F375" s="66"/>
      <c r="G375" s="66"/>
      <c r="H375" s="67"/>
      <c r="I375" s="65"/>
      <c r="J375" s="65"/>
    </row>
    <row r="376" customFormat="false" ht="15" hidden="false" customHeight="false" outlineLevel="0" collapsed="false">
      <c r="A376" s="65"/>
      <c r="B376" s="65"/>
      <c r="C376" s="65"/>
      <c r="D376" s="65"/>
      <c r="E376" s="65"/>
      <c r="F376" s="66"/>
      <c r="G376" s="66"/>
      <c r="H376" s="67"/>
      <c r="I376" s="65"/>
      <c r="J376" s="65"/>
    </row>
    <row r="377" customFormat="false" ht="15" hidden="false" customHeight="false" outlineLevel="0" collapsed="false">
      <c r="A377" s="65"/>
      <c r="B377" s="65"/>
      <c r="C377" s="65"/>
      <c r="D377" s="65"/>
      <c r="E377" s="65"/>
      <c r="F377" s="66"/>
      <c r="G377" s="66"/>
      <c r="H377" s="67"/>
      <c r="I377" s="65"/>
      <c r="J377" s="65"/>
    </row>
    <row r="378" customFormat="false" ht="15" hidden="false" customHeight="false" outlineLevel="0" collapsed="false">
      <c r="A378" s="65"/>
      <c r="B378" s="65"/>
      <c r="C378" s="65"/>
      <c r="D378" s="65"/>
      <c r="E378" s="65"/>
      <c r="F378" s="66"/>
      <c r="G378" s="66"/>
      <c r="H378" s="67"/>
      <c r="I378" s="65"/>
      <c r="J378" s="65"/>
    </row>
    <row r="379" customFormat="false" ht="15" hidden="false" customHeight="false" outlineLevel="0" collapsed="false">
      <c r="A379" s="65"/>
      <c r="B379" s="65"/>
      <c r="C379" s="65"/>
      <c r="D379" s="65"/>
      <c r="E379" s="65"/>
      <c r="F379" s="66"/>
      <c r="G379" s="66"/>
      <c r="H379" s="67"/>
      <c r="I379" s="65"/>
      <c r="J379" s="65"/>
    </row>
    <row r="380" customFormat="false" ht="15" hidden="false" customHeight="false" outlineLevel="0" collapsed="false">
      <c r="A380" s="65"/>
      <c r="B380" s="65"/>
      <c r="C380" s="65"/>
      <c r="D380" s="65"/>
      <c r="E380" s="65"/>
      <c r="F380" s="66"/>
      <c r="G380" s="66"/>
      <c r="H380" s="67"/>
      <c r="I380" s="65"/>
      <c r="J380" s="65"/>
    </row>
    <row r="381" customFormat="false" ht="15" hidden="false" customHeight="false" outlineLevel="0" collapsed="false">
      <c r="A381" s="65"/>
      <c r="B381" s="65"/>
      <c r="C381" s="65"/>
      <c r="D381" s="65"/>
      <c r="E381" s="65"/>
      <c r="F381" s="66"/>
      <c r="G381" s="66"/>
      <c r="H381" s="67"/>
      <c r="I381" s="65"/>
      <c r="J381" s="65"/>
    </row>
    <row r="382" customFormat="false" ht="15" hidden="false" customHeight="false" outlineLevel="0" collapsed="false">
      <c r="A382" s="65"/>
      <c r="B382" s="65"/>
      <c r="C382" s="65"/>
      <c r="D382" s="65"/>
      <c r="E382" s="65"/>
      <c r="F382" s="66"/>
      <c r="G382" s="66"/>
      <c r="H382" s="67"/>
      <c r="I382" s="65"/>
      <c r="J382" s="65"/>
    </row>
    <row r="383" customFormat="false" ht="15" hidden="false" customHeight="false" outlineLevel="0" collapsed="false">
      <c r="A383" s="65"/>
      <c r="B383" s="65"/>
      <c r="C383" s="65"/>
      <c r="D383" s="65"/>
      <c r="E383" s="65"/>
      <c r="F383" s="66"/>
      <c r="G383" s="66"/>
      <c r="H383" s="67"/>
      <c r="I383" s="65"/>
      <c r="J383" s="65"/>
    </row>
    <row r="384" customFormat="false" ht="15" hidden="false" customHeight="false" outlineLevel="0" collapsed="false">
      <c r="A384" s="65"/>
      <c r="B384" s="65"/>
      <c r="C384" s="65"/>
      <c r="D384" s="65"/>
      <c r="E384" s="65"/>
      <c r="F384" s="66"/>
      <c r="G384" s="66"/>
      <c r="H384" s="67"/>
      <c r="I384" s="65"/>
      <c r="J384" s="65"/>
    </row>
    <row r="385" customFormat="false" ht="15" hidden="false" customHeight="false" outlineLevel="0" collapsed="false">
      <c r="A385" s="65"/>
      <c r="B385" s="65"/>
      <c r="C385" s="65"/>
      <c r="D385" s="65"/>
      <c r="E385" s="65"/>
      <c r="F385" s="66"/>
      <c r="G385" s="66"/>
      <c r="H385" s="67"/>
      <c r="I385" s="65"/>
      <c r="J385" s="65"/>
    </row>
    <row r="386" customFormat="false" ht="15" hidden="false" customHeight="false" outlineLevel="0" collapsed="false">
      <c r="A386" s="65"/>
      <c r="B386" s="65"/>
      <c r="C386" s="65"/>
      <c r="D386" s="65"/>
      <c r="E386" s="65"/>
      <c r="F386" s="66"/>
      <c r="G386" s="66"/>
      <c r="H386" s="67"/>
      <c r="I386" s="65"/>
      <c r="J386" s="65"/>
    </row>
    <row r="387" customFormat="false" ht="15" hidden="false" customHeight="false" outlineLevel="0" collapsed="false">
      <c r="A387" s="65"/>
      <c r="B387" s="65"/>
      <c r="C387" s="65"/>
      <c r="D387" s="65"/>
      <c r="E387" s="65"/>
      <c r="F387" s="66"/>
      <c r="G387" s="66"/>
      <c r="H387" s="67"/>
      <c r="I387" s="65"/>
      <c r="J387" s="65"/>
    </row>
    <row r="388" customFormat="false" ht="15" hidden="false" customHeight="false" outlineLevel="0" collapsed="false">
      <c r="A388" s="65"/>
      <c r="B388" s="65"/>
      <c r="C388" s="65"/>
      <c r="D388" s="65"/>
      <c r="E388" s="65"/>
      <c r="F388" s="66"/>
      <c r="G388" s="66"/>
      <c r="H388" s="67"/>
      <c r="I388" s="65"/>
      <c r="J388" s="65"/>
    </row>
    <row r="389" customFormat="false" ht="15" hidden="false" customHeight="false" outlineLevel="0" collapsed="false">
      <c r="A389" s="65"/>
      <c r="B389" s="65"/>
      <c r="C389" s="65"/>
      <c r="D389" s="65"/>
      <c r="E389" s="65"/>
      <c r="F389" s="66"/>
      <c r="G389" s="66"/>
      <c r="H389" s="67"/>
      <c r="I389" s="65"/>
      <c r="J389" s="65"/>
    </row>
    <row r="390" customFormat="false" ht="15" hidden="false" customHeight="false" outlineLevel="0" collapsed="false">
      <c r="A390" s="65"/>
      <c r="B390" s="65"/>
      <c r="C390" s="65"/>
      <c r="D390" s="65"/>
      <c r="E390" s="65"/>
      <c r="F390" s="66"/>
      <c r="G390" s="66"/>
      <c r="H390" s="67"/>
      <c r="I390" s="65"/>
      <c r="J390" s="65"/>
    </row>
    <row r="391" customFormat="false" ht="15" hidden="false" customHeight="false" outlineLevel="0" collapsed="false">
      <c r="A391" s="65"/>
      <c r="B391" s="65"/>
      <c r="C391" s="65"/>
      <c r="D391" s="65"/>
      <c r="E391" s="65"/>
      <c r="F391" s="66"/>
      <c r="G391" s="66"/>
      <c r="H391" s="67"/>
      <c r="I391" s="65"/>
      <c r="J391" s="65"/>
    </row>
    <row r="392" customFormat="false" ht="15" hidden="false" customHeight="false" outlineLevel="0" collapsed="false">
      <c r="A392" s="65"/>
      <c r="B392" s="65"/>
      <c r="C392" s="65"/>
      <c r="D392" s="65"/>
      <c r="E392" s="65"/>
      <c r="F392" s="66"/>
      <c r="G392" s="66"/>
      <c r="H392" s="67"/>
      <c r="I392" s="65"/>
      <c r="J392" s="65"/>
    </row>
    <row r="393" customFormat="false" ht="15" hidden="false" customHeight="false" outlineLevel="0" collapsed="false">
      <c r="A393" s="65"/>
      <c r="B393" s="65"/>
      <c r="C393" s="65"/>
      <c r="D393" s="65"/>
      <c r="E393" s="65"/>
      <c r="F393" s="66"/>
      <c r="G393" s="66"/>
      <c r="H393" s="67"/>
      <c r="I393" s="65"/>
      <c r="J393" s="65"/>
    </row>
    <row r="394" customFormat="false" ht="15" hidden="false" customHeight="false" outlineLevel="0" collapsed="false">
      <c r="A394" s="65"/>
      <c r="B394" s="65"/>
      <c r="C394" s="65"/>
      <c r="D394" s="65"/>
      <c r="E394" s="65"/>
      <c r="F394" s="66"/>
      <c r="G394" s="66"/>
      <c r="H394" s="67"/>
      <c r="I394" s="65"/>
      <c r="J394" s="65"/>
    </row>
    <row r="395" customFormat="false" ht="15" hidden="false" customHeight="false" outlineLevel="0" collapsed="false">
      <c r="A395" s="65"/>
      <c r="B395" s="65"/>
      <c r="C395" s="65"/>
      <c r="D395" s="65"/>
      <c r="E395" s="65"/>
      <c r="F395" s="66"/>
      <c r="G395" s="66"/>
      <c r="H395" s="67"/>
      <c r="I395" s="65"/>
      <c r="J395" s="65"/>
    </row>
    <row r="396" customFormat="false" ht="15" hidden="false" customHeight="false" outlineLevel="0" collapsed="false">
      <c r="A396" s="65"/>
      <c r="B396" s="65"/>
      <c r="C396" s="65"/>
      <c r="D396" s="65"/>
      <c r="E396" s="65"/>
      <c r="F396" s="66"/>
      <c r="G396" s="66"/>
      <c r="H396" s="67"/>
      <c r="I396" s="65"/>
      <c r="J396" s="65"/>
    </row>
    <row r="397" customFormat="false" ht="15" hidden="false" customHeight="false" outlineLevel="0" collapsed="false">
      <c r="A397" s="65"/>
      <c r="B397" s="65"/>
      <c r="C397" s="65"/>
      <c r="D397" s="65"/>
      <c r="E397" s="65"/>
      <c r="F397" s="66"/>
      <c r="G397" s="66"/>
      <c r="H397" s="67"/>
      <c r="I397" s="65"/>
      <c r="J397" s="65"/>
    </row>
    <row r="398" customFormat="false" ht="15" hidden="false" customHeight="false" outlineLevel="0" collapsed="false">
      <c r="A398" s="65"/>
      <c r="B398" s="65"/>
      <c r="C398" s="65"/>
      <c r="D398" s="65"/>
      <c r="E398" s="65"/>
      <c r="F398" s="66"/>
      <c r="G398" s="66"/>
      <c r="H398" s="67"/>
      <c r="I398" s="65"/>
      <c r="J398" s="65"/>
    </row>
    <row r="399" customFormat="false" ht="15" hidden="false" customHeight="false" outlineLevel="0" collapsed="false">
      <c r="A399" s="65"/>
      <c r="B399" s="65"/>
      <c r="C399" s="65"/>
      <c r="D399" s="65"/>
      <c r="E399" s="65"/>
      <c r="F399" s="66"/>
      <c r="G399" s="66"/>
      <c r="H399" s="67"/>
      <c r="I399" s="65"/>
      <c r="J399" s="65"/>
    </row>
    <row r="400" customFormat="false" ht="15" hidden="false" customHeight="false" outlineLevel="0" collapsed="false">
      <c r="A400" s="65"/>
      <c r="B400" s="65"/>
      <c r="C400" s="65"/>
      <c r="D400" s="65"/>
      <c r="E400" s="65"/>
      <c r="F400" s="66"/>
      <c r="G400" s="66"/>
      <c r="H400" s="67"/>
      <c r="I400" s="65"/>
      <c r="J400" s="65"/>
    </row>
    <row r="401" customFormat="false" ht="15" hidden="false" customHeight="false" outlineLevel="0" collapsed="false">
      <c r="A401" s="65"/>
      <c r="B401" s="65"/>
      <c r="C401" s="65"/>
      <c r="D401" s="65"/>
      <c r="E401" s="65"/>
      <c r="F401" s="66"/>
      <c r="G401" s="66"/>
      <c r="H401" s="67"/>
      <c r="I401" s="65"/>
      <c r="J401" s="65"/>
    </row>
    <row r="402" customFormat="false" ht="15" hidden="false" customHeight="false" outlineLevel="0" collapsed="false">
      <c r="A402" s="65"/>
      <c r="B402" s="65"/>
      <c r="C402" s="65"/>
      <c r="D402" s="65"/>
      <c r="E402" s="65"/>
      <c r="F402" s="66"/>
      <c r="G402" s="66"/>
      <c r="H402" s="67"/>
      <c r="I402" s="65"/>
      <c r="J402" s="65"/>
    </row>
    <row r="403" customFormat="false" ht="15" hidden="false" customHeight="false" outlineLevel="0" collapsed="false">
      <c r="A403" s="65"/>
      <c r="B403" s="65"/>
      <c r="C403" s="65"/>
      <c r="D403" s="65"/>
      <c r="E403" s="65"/>
      <c r="F403" s="66"/>
      <c r="G403" s="66"/>
      <c r="H403" s="67"/>
      <c r="I403" s="65"/>
      <c r="J403" s="65"/>
    </row>
    <row r="404" customFormat="false" ht="15" hidden="false" customHeight="false" outlineLevel="0" collapsed="false">
      <c r="A404" s="65"/>
      <c r="B404" s="65"/>
      <c r="C404" s="65"/>
      <c r="D404" s="65"/>
      <c r="E404" s="65"/>
      <c r="F404" s="66"/>
      <c r="G404" s="66"/>
      <c r="H404" s="67"/>
      <c r="I404" s="65"/>
      <c r="J404" s="65"/>
    </row>
    <row r="405" customFormat="false" ht="15" hidden="false" customHeight="false" outlineLevel="0" collapsed="false">
      <c r="A405" s="65"/>
      <c r="B405" s="65"/>
      <c r="C405" s="65"/>
      <c r="D405" s="65"/>
      <c r="E405" s="65"/>
      <c r="F405" s="66"/>
      <c r="G405" s="66"/>
      <c r="H405" s="67"/>
      <c r="I405" s="65"/>
      <c r="J405" s="65"/>
    </row>
    <row r="406" customFormat="false" ht="15" hidden="false" customHeight="false" outlineLevel="0" collapsed="false">
      <c r="A406" s="65"/>
      <c r="B406" s="65"/>
      <c r="C406" s="65"/>
      <c r="D406" s="65"/>
      <c r="E406" s="65"/>
      <c r="F406" s="66"/>
      <c r="G406" s="66"/>
      <c r="H406" s="67"/>
      <c r="I406" s="65"/>
      <c r="J406" s="65"/>
    </row>
    <row r="407" customFormat="false" ht="15" hidden="false" customHeight="false" outlineLevel="0" collapsed="false">
      <c r="A407" s="65"/>
      <c r="B407" s="65"/>
      <c r="C407" s="65"/>
      <c r="D407" s="65"/>
      <c r="E407" s="65"/>
      <c r="F407" s="66"/>
      <c r="G407" s="66"/>
      <c r="H407" s="67"/>
      <c r="I407" s="65"/>
      <c r="J407" s="65"/>
    </row>
    <row r="408" customFormat="false" ht="15" hidden="false" customHeight="false" outlineLevel="0" collapsed="false">
      <c r="A408" s="65"/>
      <c r="B408" s="65"/>
      <c r="C408" s="65"/>
      <c r="D408" s="65"/>
      <c r="E408" s="65"/>
      <c r="F408" s="66"/>
      <c r="G408" s="66"/>
      <c r="H408" s="67"/>
      <c r="I408" s="65"/>
      <c r="J408" s="65"/>
    </row>
    <row r="409" customFormat="false" ht="15" hidden="false" customHeight="false" outlineLevel="0" collapsed="false">
      <c r="A409" s="65"/>
      <c r="B409" s="65"/>
      <c r="C409" s="65"/>
      <c r="D409" s="65"/>
      <c r="E409" s="65"/>
      <c r="F409" s="66"/>
      <c r="G409" s="66"/>
      <c r="H409" s="67"/>
      <c r="I409" s="65"/>
      <c r="J409" s="65"/>
    </row>
    <row r="410" customFormat="false" ht="15" hidden="false" customHeight="false" outlineLevel="0" collapsed="false">
      <c r="A410" s="65"/>
      <c r="B410" s="65"/>
      <c r="C410" s="65"/>
      <c r="D410" s="65"/>
      <c r="E410" s="65"/>
      <c r="F410" s="66"/>
      <c r="G410" s="66"/>
      <c r="H410" s="67"/>
      <c r="I410" s="65"/>
      <c r="J410" s="65"/>
    </row>
    <row r="411" customFormat="false" ht="15" hidden="false" customHeight="false" outlineLevel="0" collapsed="false">
      <c r="A411" s="65"/>
      <c r="B411" s="65"/>
      <c r="C411" s="65"/>
      <c r="D411" s="65"/>
      <c r="E411" s="65"/>
      <c r="F411" s="66"/>
      <c r="G411" s="66"/>
      <c r="H411" s="67"/>
      <c r="I411" s="65"/>
      <c r="J411" s="65"/>
    </row>
    <row r="412" customFormat="false" ht="15" hidden="false" customHeight="false" outlineLevel="0" collapsed="false">
      <c r="A412" s="65"/>
      <c r="B412" s="65"/>
      <c r="C412" s="65"/>
      <c r="D412" s="65"/>
      <c r="E412" s="65"/>
      <c r="F412" s="66"/>
      <c r="G412" s="66"/>
      <c r="H412" s="67"/>
      <c r="I412" s="65"/>
      <c r="J412" s="65"/>
    </row>
    <row r="413" customFormat="false" ht="15" hidden="false" customHeight="false" outlineLevel="0" collapsed="false">
      <c r="A413" s="65"/>
      <c r="B413" s="65"/>
      <c r="C413" s="65"/>
      <c r="D413" s="65"/>
      <c r="E413" s="65"/>
      <c r="F413" s="66"/>
      <c r="G413" s="66"/>
      <c r="H413" s="67"/>
      <c r="I413" s="65"/>
      <c r="J413" s="65"/>
    </row>
    <row r="414" customFormat="false" ht="15" hidden="false" customHeight="false" outlineLevel="0" collapsed="false">
      <c r="A414" s="65"/>
      <c r="B414" s="65"/>
      <c r="C414" s="65"/>
      <c r="D414" s="65"/>
      <c r="E414" s="65"/>
      <c r="F414" s="66"/>
      <c r="G414" s="66"/>
      <c r="H414" s="67"/>
      <c r="I414" s="65"/>
      <c r="J414" s="65"/>
    </row>
    <row r="415" customFormat="false" ht="15" hidden="false" customHeight="false" outlineLevel="0" collapsed="false">
      <c r="A415" s="65"/>
      <c r="B415" s="65"/>
      <c r="C415" s="65"/>
      <c r="D415" s="65"/>
      <c r="E415" s="65"/>
      <c r="F415" s="66"/>
      <c r="G415" s="66"/>
      <c r="H415" s="67"/>
      <c r="I415" s="65"/>
      <c r="J415" s="65"/>
    </row>
    <row r="416" customFormat="false" ht="15" hidden="false" customHeight="false" outlineLevel="0" collapsed="false">
      <c r="A416" s="65"/>
      <c r="B416" s="65"/>
      <c r="C416" s="65"/>
      <c r="D416" s="65"/>
      <c r="E416" s="65"/>
      <c r="F416" s="66"/>
      <c r="G416" s="66"/>
      <c r="H416" s="67"/>
      <c r="I416" s="65"/>
      <c r="J416" s="65"/>
    </row>
    <row r="417" customFormat="false" ht="15" hidden="false" customHeight="false" outlineLevel="0" collapsed="false">
      <c r="A417" s="65"/>
      <c r="B417" s="65"/>
      <c r="C417" s="65"/>
      <c r="D417" s="65"/>
      <c r="E417" s="65"/>
      <c r="F417" s="66"/>
      <c r="G417" s="66"/>
      <c r="H417" s="67"/>
      <c r="I417" s="65"/>
      <c r="J417" s="65"/>
    </row>
    <row r="418" customFormat="false" ht="15" hidden="false" customHeight="false" outlineLevel="0" collapsed="false">
      <c r="A418" s="65"/>
      <c r="B418" s="65"/>
      <c r="C418" s="65"/>
      <c r="D418" s="65"/>
      <c r="E418" s="65"/>
      <c r="F418" s="66"/>
      <c r="G418" s="66"/>
      <c r="H418" s="67"/>
      <c r="I418" s="65"/>
      <c r="J418" s="65"/>
    </row>
    <row r="419" customFormat="false" ht="15" hidden="false" customHeight="false" outlineLevel="0" collapsed="false">
      <c r="A419" s="65"/>
      <c r="B419" s="65"/>
      <c r="C419" s="65"/>
      <c r="D419" s="65"/>
      <c r="E419" s="65"/>
      <c r="F419" s="66"/>
      <c r="G419" s="66"/>
      <c r="H419" s="67"/>
      <c r="I419" s="65"/>
      <c r="J419" s="65"/>
    </row>
    <row r="420" customFormat="false" ht="15" hidden="false" customHeight="false" outlineLevel="0" collapsed="false">
      <c r="A420" s="65"/>
      <c r="B420" s="65"/>
      <c r="C420" s="65"/>
      <c r="D420" s="65"/>
      <c r="E420" s="65"/>
      <c r="F420" s="66"/>
      <c r="G420" s="66"/>
      <c r="H420" s="67"/>
      <c r="I420" s="65"/>
      <c r="J420" s="65"/>
    </row>
    <row r="421" customFormat="false" ht="15" hidden="false" customHeight="false" outlineLevel="0" collapsed="false">
      <c r="A421" s="65"/>
      <c r="B421" s="65"/>
      <c r="C421" s="65"/>
      <c r="D421" s="65"/>
      <c r="E421" s="65"/>
      <c r="F421" s="66"/>
      <c r="G421" s="66"/>
      <c r="H421" s="67"/>
      <c r="I421" s="65"/>
      <c r="J421" s="65"/>
    </row>
    <row r="422" customFormat="false" ht="15" hidden="false" customHeight="false" outlineLevel="0" collapsed="false">
      <c r="A422" s="65"/>
      <c r="B422" s="65"/>
      <c r="C422" s="65"/>
      <c r="D422" s="65"/>
      <c r="E422" s="65"/>
      <c r="F422" s="66"/>
      <c r="G422" s="66"/>
      <c r="H422" s="67"/>
      <c r="I422" s="65"/>
      <c r="J422" s="65"/>
    </row>
    <row r="423" customFormat="false" ht="15" hidden="false" customHeight="false" outlineLevel="0" collapsed="false">
      <c r="A423" s="65"/>
      <c r="B423" s="65"/>
      <c r="C423" s="65"/>
      <c r="D423" s="65"/>
      <c r="E423" s="65"/>
      <c r="F423" s="66"/>
      <c r="G423" s="66"/>
      <c r="H423" s="67"/>
      <c r="I423" s="65"/>
      <c r="J423" s="65"/>
    </row>
    <row r="424" customFormat="false" ht="15" hidden="false" customHeight="false" outlineLevel="0" collapsed="false">
      <c r="A424" s="65"/>
      <c r="B424" s="65"/>
      <c r="C424" s="65"/>
      <c r="D424" s="65"/>
      <c r="E424" s="65"/>
      <c r="F424" s="66"/>
      <c r="G424" s="66"/>
      <c r="H424" s="67"/>
      <c r="I424" s="65"/>
      <c r="J424" s="65"/>
    </row>
    <row r="425" customFormat="false" ht="15" hidden="false" customHeight="false" outlineLevel="0" collapsed="false">
      <c r="A425" s="65"/>
      <c r="B425" s="65"/>
      <c r="C425" s="65"/>
      <c r="D425" s="65"/>
      <c r="E425" s="65"/>
      <c r="F425" s="66"/>
      <c r="G425" s="66"/>
      <c r="H425" s="67"/>
      <c r="I425" s="65"/>
      <c r="J425" s="65"/>
    </row>
    <row r="426" customFormat="false" ht="15" hidden="false" customHeight="false" outlineLevel="0" collapsed="false">
      <c r="A426" s="65"/>
      <c r="B426" s="65"/>
      <c r="C426" s="65"/>
      <c r="D426" s="65"/>
      <c r="E426" s="65"/>
      <c r="F426" s="66"/>
      <c r="G426" s="66"/>
      <c r="H426" s="67"/>
      <c r="I426" s="65"/>
      <c r="J426" s="65"/>
    </row>
    <row r="427" customFormat="false" ht="15" hidden="false" customHeight="false" outlineLevel="0" collapsed="false">
      <c r="A427" s="65"/>
      <c r="B427" s="65"/>
      <c r="C427" s="65"/>
      <c r="D427" s="65"/>
      <c r="E427" s="65"/>
      <c r="F427" s="66"/>
      <c r="G427" s="66"/>
      <c r="H427" s="67"/>
      <c r="I427" s="65"/>
      <c r="J427" s="65"/>
    </row>
    <row r="428" customFormat="false" ht="15" hidden="false" customHeight="false" outlineLevel="0" collapsed="false">
      <c r="A428" s="65"/>
      <c r="B428" s="65"/>
      <c r="C428" s="65"/>
      <c r="D428" s="65"/>
      <c r="E428" s="65"/>
      <c r="F428" s="66"/>
      <c r="G428" s="66"/>
      <c r="H428" s="67"/>
      <c r="I428" s="65"/>
      <c r="J428" s="65"/>
    </row>
    <row r="429" customFormat="false" ht="15" hidden="false" customHeight="false" outlineLevel="0" collapsed="false">
      <c r="A429" s="65"/>
      <c r="B429" s="65"/>
      <c r="C429" s="65"/>
      <c r="D429" s="65"/>
      <c r="E429" s="65"/>
      <c r="F429" s="66"/>
      <c r="G429" s="66"/>
      <c r="H429" s="67"/>
      <c r="I429" s="65"/>
      <c r="J429" s="65"/>
    </row>
    <row r="430" customFormat="false" ht="15" hidden="false" customHeight="false" outlineLevel="0" collapsed="false">
      <c r="A430" s="65"/>
      <c r="B430" s="65"/>
      <c r="C430" s="65"/>
      <c r="D430" s="65"/>
      <c r="E430" s="65"/>
      <c r="F430" s="66"/>
      <c r="G430" s="66"/>
      <c r="H430" s="67"/>
      <c r="I430" s="65"/>
      <c r="J430" s="65"/>
    </row>
    <row r="431" customFormat="false" ht="15" hidden="false" customHeight="false" outlineLevel="0" collapsed="false">
      <c r="A431" s="65"/>
      <c r="B431" s="65"/>
      <c r="C431" s="65"/>
      <c r="D431" s="65"/>
      <c r="E431" s="65"/>
      <c r="F431" s="66"/>
      <c r="G431" s="66"/>
      <c r="H431" s="67"/>
      <c r="I431" s="65"/>
      <c r="J431" s="65"/>
    </row>
    <row r="432" customFormat="false" ht="15" hidden="false" customHeight="false" outlineLevel="0" collapsed="false">
      <c r="A432" s="65"/>
      <c r="B432" s="65"/>
      <c r="C432" s="65"/>
      <c r="D432" s="65"/>
      <c r="E432" s="65"/>
      <c r="F432" s="66"/>
      <c r="G432" s="66"/>
      <c r="H432" s="67"/>
      <c r="I432" s="65"/>
      <c r="J432" s="65"/>
    </row>
    <row r="433" customFormat="false" ht="15" hidden="false" customHeight="false" outlineLevel="0" collapsed="false">
      <c r="A433" s="65"/>
      <c r="B433" s="65"/>
      <c r="C433" s="65"/>
      <c r="D433" s="65"/>
      <c r="E433" s="65"/>
      <c r="F433" s="66"/>
      <c r="G433" s="66"/>
      <c r="H433" s="67"/>
      <c r="I433" s="65"/>
      <c r="J433" s="65"/>
    </row>
    <row r="434" customFormat="false" ht="15" hidden="false" customHeight="false" outlineLevel="0" collapsed="false">
      <c r="A434" s="65"/>
      <c r="B434" s="65"/>
      <c r="C434" s="65"/>
      <c r="D434" s="65"/>
      <c r="E434" s="65"/>
      <c r="F434" s="66"/>
      <c r="G434" s="66"/>
      <c r="H434" s="67"/>
      <c r="I434" s="65"/>
      <c r="J434" s="65"/>
    </row>
    <row r="435" customFormat="false" ht="15" hidden="false" customHeight="false" outlineLevel="0" collapsed="false">
      <c r="A435" s="65"/>
      <c r="B435" s="65"/>
      <c r="C435" s="65"/>
      <c r="D435" s="65"/>
      <c r="E435" s="65"/>
      <c r="F435" s="66"/>
      <c r="G435" s="66"/>
      <c r="H435" s="67"/>
      <c r="I435" s="65"/>
      <c r="J435" s="65"/>
    </row>
    <row r="436" customFormat="false" ht="15" hidden="false" customHeight="false" outlineLevel="0" collapsed="false">
      <c r="A436" s="65"/>
      <c r="B436" s="65"/>
      <c r="C436" s="65"/>
      <c r="D436" s="65"/>
      <c r="E436" s="65"/>
      <c r="F436" s="66"/>
      <c r="G436" s="66"/>
      <c r="H436" s="67"/>
      <c r="I436" s="65"/>
      <c r="J436" s="65"/>
    </row>
    <row r="437" customFormat="false" ht="15" hidden="false" customHeight="false" outlineLevel="0" collapsed="false">
      <c r="A437" s="65"/>
      <c r="B437" s="65"/>
      <c r="C437" s="65"/>
      <c r="D437" s="65"/>
      <c r="E437" s="65"/>
      <c r="F437" s="66"/>
      <c r="G437" s="66"/>
      <c r="H437" s="67"/>
      <c r="I437" s="65"/>
      <c r="J437" s="65"/>
    </row>
    <row r="438" customFormat="false" ht="15" hidden="false" customHeight="false" outlineLevel="0" collapsed="false">
      <c r="A438" s="65"/>
      <c r="B438" s="65"/>
      <c r="C438" s="65"/>
      <c r="D438" s="65"/>
      <c r="E438" s="65"/>
      <c r="F438" s="66"/>
      <c r="G438" s="66"/>
      <c r="H438" s="67"/>
      <c r="I438" s="65"/>
      <c r="J438" s="65"/>
    </row>
    <row r="439" customFormat="false" ht="15" hidden="false" customHeight="false" outlineLevel="0" collapsed="false">
      <c r="A439" s="65"/>
      <c r="B439" s="65"/>
      <c r="C439" s="65"/>
      <c r="D439" s="65"/>
      <c r="E439" s="65"/>
      <c r="F439" s="66"/>
      <c r="G439" s="66"/>
      <c r="H439" s="67"/>
      <c r="I439" s="65"/>
      <c r="J439" s="65"/>
    </row>
    <row r="440" customFormat="false" ht="15" hidden="false" customHeight="false" outlineLevel="0" collapsed="false">
      <c r="A440" s="65"/>
      <c r="B440" s="65"/>
      <c r="C440" s="65"/>
      <c r="D440" s="65"/>
      <c r="E440" s="65"/>
      <c r="F440" s="66"/>
      <c r="G440" s="66"/>
      <c r="H440" s="67"/>
      <c r="I440" s="65"/>
      <c r="J440" s="65"/>
    </row>
    <row r="441" customFormat="false" ht="15" hidden="false" customHeight="false" outlineLevel="0" collapsed="false">
      <c r="A441" s="65"/>
      <c r="B441" s="65"/>
      <c r="C441" s="65"/>
      <c r="D441" s="65"/>
      <c r="E441" s="65"/>
      <c r="F441" s="66"/>
      <c r="G441" s="66"/>
      <c r="H441" s="67"/>
      <c r="I441" s="65"/>
      <c r="J441" s="65"/>
    </row>
    <row r="442" customFormat="false" ht="15" hidden="false" customHeight="false" outlineLevel="0" collapsed="false">
      <c r="A442" s="65"/>
      <c r="B442" s="65"/>
      <c r="C442" s="65"/>
      <c r="D442" s="65"/>
      <c r="E442" s="65"/>
      <c r="F442" s="66"/>
      <c r="G442" s="66"/>
      <c r="H442" s="67"/>
      <c r="I442" s="65"/>
      <c r="J442" s="65"/>
    </row>
    <row r="443" customFormat="false" ht="15" hidden="false" customHeight="false" outlineLevel="0" collapsed="false">
      <c r="A443" s="65"/>
      <c r="B443" s="65"/>
      <c r="C443" s="65"/>
      <c r="D443" s="65"/>
      <c r="E443" s="65"/>
      <c r="F443" s="66"/>
      <c r="G443" s="66"/>
      <c r="H443" s="67"/>
      <c r="I443" s="65"/>
      <c r="J443" s="65"/>
    </row>
    <row r="444" customFormat="false" ht="15" hidden="false" customHeight="false" outlineLevel="0" collapsed="false">
      <c r="A444" s="65"/>
      <c r="B444" s="65"/>
      <c r="C444" s="65"/>
      <c r="D444" s="65"/>
      <c r="E444" s="65"/>
      <c r="F444" s="66"/>
      <c r="G444" s="66"/>
      <c r="H444" s="67"/>
      <c r="I444" s="65"/>
      <c r="J444" s="65"/>
    </row>
    <row r="445" customFormat="false" ht="15" hidden="false" customHeight="false" outlineLevel="0" collapsed="false">
      <c r="A445" s="65"/>
      <c r="B445" s="65"/>
      <c r="C445" s="65"/>
      <c r="D445" s="65"/>
      <c r="E445" s="65"/>
      <c r="F445" s="66"/>
      <c r="G445" s="66"/>
      <c r="H445" s="67"/>
      <c r="I445" s="65"/>
      <c r="J445" s="65"/>
    </row>
    <row r="446" customFormat="false" ht="15" hidden="false" customHeight="false" outlineLevel="0" collapsed="false">
      <c r="A446" s="65"/>
      <c r="B446" s="65"/>
      <c r="C446" s="65"/>
      <c r="D446" s="65"/>
      <c r="E446" s="65"/>
      <c r="F446" s="66"/>
      <c r="G446" s="66"/>
      <c r="H446" s="67"/>
      <c r="I446" s="65"/>
      <c r="J446" s="65"/>
    </row>
    <row r="447" customFormat="false" ht="15" hidden="false" customHeight="false" outlineLevel="0" collapsed="false">
      <c r="A447" s="65"/>
      <c r="B447" s="65"/>
      <c r="C447" s="65"/>
      <c r="D447" s="65"/>
      <c r="E447" s="65"/>
      <c r="F447" s="66"/>
      <c r="G447" s="66"/>
      <c r="H447" s="67"/>
      <c r="I447" s="65"/>
      <c r="J447" s="65"/>
    </row>
    <row r="448" customFormat="false" ht="15" hidden="false" customHeight="false" outlineLevel="0" collapsed="false">
      <c r="A448" s="65"/>
      <c r="B448" s="65"/>
      <c r="C448" s="65"/>
      <c r="D448" s="65"/>
      <c r="E448" s="65"/>
      <c r="F448" s="66"/>
      <c r="G448" s="66"/>
      <c r="H448" s="67"/>
      <c r="I448" s="65"/>
      <c r="J448" s="65"/>
    </row>
    <row r="449" customFormat="false" ht="15" hidden="false" customHeight="false" outlineLevel="0" collapsed="false">
      <c r="A449" s="65"/>
      <c r="B449" s="65"/>
      <c r="C449" s="65"/>
      <c r="D449" s="65"/>
      <c r="E449" s="65"/>
      <c r="F449" s="66"/>
      <c r="G449" s="66"/>
      <c r="H449" s="67"/>
      <c r="I449" s="65"/>
      <c r="J449" s="65"/>
    </row>
    <row r="450" customFormat="false" ht="15" hidden="false" customHeight="false" outlineLevel="0" collapsed="false">
      <c r="A450" s="65"/>
      <c r="B450" s="65"/>
      <c r="C450" s="65"/>
      <c r="D450" s="65"/>
      <c r="E450" s="65"/>
      <c r="F450" s="66"/>
      <c r="G450" s="66"/>
      <c r="H450" s="67"/>
      <c r="I450" s="65"/>
      <c r="J450" s="65"/>
    </row>
  </sheetData>
  <autoFilter ref="A4:J450"/>
  <conditionalFormatting sqref="A5:J450">
    <cfRule type="expression" priority="2" aboveAverage="0" equalAverage="0" bottom="0" percent="0" rank="0" text="" dxfId="0">
      <formula>AND($C5="P1",$D5="Non")</formula>
    </cfRule>
  </conditionalFormatting>
  <conditionalFormatting sqref="C5:C450">
    <cfRule type="expression" priority="3" aboveAverage="0" equalAverage="0" bottom="0" percent="0" rank="0" text="" dxfId="13">
      <formula>AND($B5&lt;&gt;"",$C5="")</formula>
    </cfRule>
  </conditionalFormatting>
  <dataValidations count="3">
    <dataValidation allowBlank="true" errorStyle="stop" operator="between" showDropDown="false" showErrorMessage="false" showInputMessage="false" sqref="A5:A450" type="list">
      <formula1>"Voix,Orange Money Core,Orange Money add-on Local,Orange Money add-on Group,ZEBRA,Autres SVA,Interface web de stimulation,OM Bank to Wallet,Data Mobile (sondes réseau 3G/4G),Supervision Externe (Downdetector),Nimba Plus,PICO,Outils SI internes,Audit Factur"</formula1>
      <formula2>0</formula2>
    </dataValidation>
    <dataValidation allowBlank="true" errorStyle="stop" operator="between" showDropDown="false" showErrorMessage="false" showInputMessage="false" sqref="C5:C450" type="list">
      <formula1>"P1,P2,P3"</formula1>
      <formula2>0</formula2>
    </dataValidation>
    <dataValidation allowBlank="true" errorStyle="stop" operator="between" showDropDown="false" showErrorMessage="false" showInputMessage="false" sqref="D5:D45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30" hidden="false" customHeight="true" outlineLevel="0" collapsed="false">
      <c r="A1" s="20" t="s">
        <v>592</v>
      </c>
      <c r="B1" s="20" t="s">
        <v>593</v>
      </c>
      <c r="C1" s="20" t="s">
        <v>594</v>
      </c>
      <c r="D1" s="20" t="s">
        <v>595</v>
      </c>
      <c r="E1" s="20" t="s">
        <v>596</v>
      </c>
      <c r="F1" s="20" t="s">
        <v>597</v>
      </c>
      <c r="G1" s="20" t="s">
        <v>598</v>
      </c>
      <c r="H1" s="20" t="s">
        <v>140</v>
      </c>
    </row>
    <row r="2" customFormat="false" ht="15" hidden="false" customHeight="false" outlineLevel="0" collapsed="false">
      <c r="A2" s="21" t="s">
        <v>36</v>
      </c>
      <c r="B2" s="43" t="s">
        <v>528</v>
      </c>
      <c r="C2" s="22"/>
      <c r="D2" s="22" t="n">
        <v>1</v>
      </c>
      <c r="E2" s="21" t="s">
        <v>47</v>
      </c>
      <c r="F2" s="43" t="s">
        <v>339</v>
      </c>
      <c r="G2" s="68" t="n">
        <v>0.594594594594595</v>
      </c>
      <c r="H2" s="22" t="s">
        <v>599</v>
      </c>
    </row>
    <row r="3" customFormat="false" ht="15" hidden="false" customHeight="false" outlineLevel="0" collapsed="false">
      <c r="A3" s="21" t="s">
        <v>35</v>
      </c>
      <c r="B3" s="43" t="s">
        <v>436</v>
      </c>
      <c r="C3" s="22"/>
      <c r="D3" s="22" t="n">
        <v>1</v>
      </c>
      <c r="E3" s="21" t="s">
        <v>98</v>
      </c>
      <c r="F3" s="43" t="s">
        <v>198</v>
      </c>
      <c r="G3" s="68" t="n">
        <v>0.592592592592593</v>
      </c>
      <c r="H3" s="22" t="s">
        <v>599</v>
      </c>
    </row>
    <row r="4" customFormat="false" ht="15" hidden="false" customHeight="false" outlineLevel="0" collapsed="false">
      <c r="A4" s="21" t="s">
        <v>46</v>
      </c>
      <c r="B4" s="43" t="s">
        <v>584</v>
      </c>
      <c r="C4" s="22"/>
      <c r="D4" s="22" t="n">
        <v>1</v>
      </c>
      <c r="E4" s="21" t="s">
        <v>99</v>
      </c>
      <c r="F4" s="43" t="s">
        <v>234</v>
      </c>
      <c r="G4" s="68" t="n">
        <v>0.588235294117647</v>
      </c>
      <c r="H4" s="22" t="s">
        <v>599</v>
      </c>
    </row>
    <row r="5" customFormat="false" ht="15" hidden="false" customHeight="false" outlineLevel="0" collapsed="false">
      <c r="A5" s="21" t="s">
        <v>30</v>
      </c>
      <c r="B5" s="43" t="s">
        <v>503</v>
      </c>
      <c r="C5" s="22"/>
      <c r="D5" s="22" t="n">
        <v>1</v>
      </c>
      <c r="E5" s="21" t="s">
        <v>100</v>
      </c>
      <c r="F5" s="43" t="s">
        <v>259</v>
      </c>
      <c r="G5" s="68" t="n">
        <v>0.588235294117647</v>
      </c>
      <c r="H5" s="22" t="s">
        <v>599</v>
      </c>
    </row>
    <row r="6" customFormat="false" ht="15" hidden="false" customHeight="false" outlineLevel="0" collapsed="false">
      <c r="A6" s="21" t="s">
        <v>131</v>
      </c>
      <c r="B6" s="43" t="s">
        <v>458</v>
      </c>
      <c r="C6" s="22"/>
      <c r="D6" s="22" t="n">
        <v>1</v>
      </c>
      <c r="E6" s="21" t="s">
        <v>98</v>
      </c>
      <c r="F6" s="43" t="s">
        <v>172</v>
      </c>
      <c r="G6" s="68" t="n">
        <v>0.585365853658537</v>
      </c>
      <c r="H6" s="22" t="s">
        <v>599</v>
      </c>
    </row>
    <row r="7" customFormat="false" ht="15" hidden="false" customHeight="false" outlineLevel="0" collapsed="false">
      <c r="A7" s="21" t="s">
        <v>30</v>
      </c>
      <c r="B7" s="43" t="s">
        <v>488</v>
      </c>
      <c r="C7" s="22"/>
      <c r="D7" s="22" t="n">
        <v>1</v>
      </c>
      <c r="E7" s="21" t="s">
        <v>100</v>
      </c>
      <c r="F7" s="43" t="s">
        <v>245</v>
      </c>
      <c r="G7" s="68" t="n">
        <v>0.571428571428571</v>
      </c>
      <c r="H7" s="22" t="s">
        <v>599</v>
      </c>
    </row>
    <row r="8" customFormat="false" ht="15" hidden="false" customHeight="false" outlineLevel="0" collapsed="false">
      <c r="A8" s="21" t="s">
        <v>30</v>
      </c>
      <c r="B8" s="43" t="s">
        <v>490</v>
      </c>
      <c r="C8" s="22"/>
      <c r="D8" s="22" t="n">
        <v>1</v>
      </c>
      <c r="E8" s="21" t="s">
        <v>100</v>
      </c>
      <c r="F8" s="43" t="s">
        <v>245</v>
      </c>
      <c r="G8" s="68" t="n">
        <v>0.571428571428571</v>
      </c>
      <c r="H8" s="22" t="s">
        <v>599</v>
      </c>
    </row>
    <row r="9" customFormat="false" ht="15" hidden="false" customHeight="false" outlineLevel="0" collapsed="false">
      <c r="A9" s="21" t="s">
        <v>600</v>
      </c>
      <c r="B9" s="43" t="s">
        <v>367</v>
      </c>
      <c r="C9" s="22" t="s">
        <v>601</v>
      </c>
      <c r="D9" s="22" t="n">
        <v>2</v>
      </c>
      <c r="E9" s="21" t="s">
        <v>102</v>
      </c>
      <c r="F9" s="43" t="s">
        <v>349</v>
      </c>
      <c r="G9" s="68" t="n">
        <v>0.571428571428571</v>
      </c>
      <c r="H9" s="22" t="s">
        <v>599</v>
      </c>
    </row>
    <row r="10" customFormat="false" ht="15" hidden="false" customHeight="false" outlineLevel="0" collapsed="false">
      <c r="A10" s="21" t="s">
        <v>43</v>
      </c>
      <c r="B10" s="43" t="s">
        <v>540</v>
      </c>
      <c r="C10" s="22"/>
      <c r="D10" s="22" t="n">
        <v>1</v>
      </c>
      <c r="E10" s="21" t="s">
        <v>99</v>
      </c>
      <c r="F10" s="43" t="s">
        <v>220</v>
      </c>
      <c r="G10" s="68" t="n">
        <v>0.571428571428571</v>
      </c>
      <c r="H10" s="22" t="s">
        <v>599</v>
      </c>
    </row>
    <row r="11" customFormat="false" ht="15" hidden="false" customHeight="false" outlineLevel="0" collapsed="false">
      <c r="A11" s="21" t="s">
        <v>36</v>
      </c>
      <c r="B11" s="43" t="s">
        <v>524</v>
      </c>
      <c r="C11" s="22"/>
      <c r="D11" s="22" t="n">
        <v>1</v>
      </c>
      <c r="E11" s="21" t="s">
        <v>99</v>
      </c>
      <c r="F11" s="43" t="s">
        <v>209</v>
      </c>
      <c r="G11" s="68" t="n">
        <v>0.571428571428571</v>
      </c>
      <c r="H11" s="22" t="s">
        <v>599</v>
      </c>
    </row>
    <row r="12" customFormat="false" ht="15" hidden="false" customHeight="false" outlineLevel="0" collapsed="false">
      <c r="A12" s="21" t="s">
        <v>30</v>
      </c>
      <c r="B12" s="43" t="s">
        <v>505</v>
      </c>
      <c r="C12" s="22"/>
      <c r="D12" s="22" t="n">
        <v>1</v>
      </c>
      <c r="E12" s="21" t="s">
        <v>100</v>
      </c>
      <c r="F12" s="43" t="s">
        <v>259</v>
      </c>
      <c r="G12" s="68" t="n">
        <v>0.571428571428571</v>
      </c>
      <c r="H12" s="22" t="s">
        <v>599</v>
      </c>
    </row>
    <row r="13" customFormat="false" ht="15" hidden="false" customHeight="false" outlineLevel="0" collapsed="false">
      <c r="A13" s="21" t="s">
        <v>30</v>
      </c>
      <c r="B13" s="43" t="s">
        <v>507</v>
      </c>
      <c r="C13" s="22"/>
      <c r="D13" s="22" t="n">
        <v>1</v>
      </c>
      <c r="E13" s="21" t="s">
        <v>100</v>
      </c>
      <c r="F13" s="43" t="s">
        <v>259</v>
      </c>
      <c r="G13" s="68" t="n">
        <v>0.571428571428571</v>
      </c>
      <c r="H13" s="22" t="s">
        <v>599</v>
      </c>
    </row>
    <row r="14" customFormat="false" ht="15" hidden="false" customHeight="false" outlineLevel="0" collapsed="false">
      <c r="A14" s="21" t="s">
        <v>135</v>
      </c>
      <c r="B14" s="43" t="s">
        <v>377</v>
      </c>
      <c r="C14" s="22" t="s">
        <v>601</v>
      </c>
      <c r="D14" s="22" t="n">
        <v>1</v>
      </c>
      <c r="E14" s="21" t="s">
        <v>100</v>
      </c>
      <c r="F14" s="43" t="s">
        <v>260</v>
      </c>
      <c r="G14" s="68" t="n">
        <v>0.555555555555556</v>
      </c>
      <c r="H14" s="22" t="s">
        <v>599</v>
      </c>
    </row>
    <row r="15" customFormat="false" ht="15" hidden="false" customHeight="false" outlineLevel="0" collapsed="false">
      <c r="A15" s="21" t="s">
        <v>135</v>
      </c>
      <c r="B15" s="43" t="s">
        <v>379</v>
      </c>
      <c r="C15" s="22" t="s">
        <v>601</v>
      </c>
      <c r="D15" s="22" t="n">
        <v>1</v>
      </c>
      <c r="E15" s="21" t="s">
        <v>99</v>
      </c>
      <c r="F15" s="43" t="s">
        <v>225</v>
      </c>
      <c r="G15" s="68" t="n">
        <v>0.555555555555556</v>
      </c>
      <c r="H15" s="22" t="s">
        <v>599</v>
      </c>
    </row>
    <row r="16" customFormat="false" ht="15" hidden="false" customHeight="false" outlineLevel="0" collapsed="false">
      <c r="A16" s="21" t="s">
        <v>36</v>
      </c>
      <c r="B16" s="43" t="s">
        <v>534</v>
      </c>
      <c r="C16" s="22"/>
      <c r="D16" s="22" t="n">
        <v>1</v>
      </c>
      <c r="E16" s="21" t="s">
        <v>47</v>
      </c>
      <c r="F16" s="43" t="s">
        <v>326</v>
      </c>
      <c r="G16" s="68" t="n">
        <v>0.555555555555556</v>
      </c>
      <c r="H16" s="22" t="s">
        <v>599</v>
      </c>
    </row>
    <row r="17" customFormat="false" ht="15" hidden="false" customHeight="false" outlineLevel="0" collapsed="false">
      <c r="A17" s="21" t="s">
        <v>137</v>
      </c>
      <c r="B17" s="43" t="s">
        <v>448</v>
      </c>
      <c r="C17" s="22"/>
      <c r="D17" s="22" t="n">
        <v>1</v>
      </c>
      <c r="E17" s="21" t="s">
        <v>98</v>
      </c>
      <c r="F17" s="43" t="s">
        <v>178</v>
      </c>
      <c r="G17" s="68" t="n">
        <v>0.555555555555556</v>
      </c>
      <c r="H17" s="22" t="s">
        <v>599</v>
      </c>
    </row>
    <row r="18" customFormat="false" ht="15" hidden="false" customHeight="false" outlineLevel="0" collapsed="false">
      <c r="A18" s="21" t="s">
        <v>30</v>
      </c>
      <c r="B18" s="43" t="s">
        <v>481</v>
      </c>
      <c r="C18" s="22"/>
      <c r="D18" s="22" t="n">
        <v>1</v>
      </c>
      <c r="E18" s="21" t="s">
        <v>100</v>
      </c>
      <c r="F18" s="43" t="s">
        <v>239</v>
      </c>
      <c r="G18" s="68" t="n">
        <v>0.545454545454545</v>
      </c>
      <c r="H18" s="22" t="s">
        <v>599</v>
      </c>
    </row>
    <row r="19" customFormat="false" ht="15" hidden="false" customHeight="false" outlineLevel="0" collapsed="false">
      <c r="A19" s="21" t="s">
        <v>30</v>
      </c>
      <c r="B19" s="43" t="s">
        <v>483</v>
      </c>
      <c r="C19" s="22"/>
      <c r="D19" s="22" t="n">
        <v>1</v>
      </c>
      <c r="E19" s="21" t="s">
        <v>100</v>
      </c>
      <c r="F19" s="43" t="s">
        <v>239</v>
      </c>
      <c r="G19" s="68" t="n">
        <v>0.545454545454545</v>
      </c>
      <c r="H19" s="22" t="s">
        <v>599</v>
      </c>
    </row>
    <row r="20" customFormat="false" ht="15" hidden="false" customHeight="false" outlineLevel="0" collapsed="false">
      <c r="A20" s="21" t="s">
        <v>30</v>
      </c>
      <c r="B20" s="43" t="s">
        <v>491</v>
      </c>
      <c r="C20" s="22"/>
      <c r="D20" s="22" t="n">
        <v>1</v>
      </c>
      <c r="E20" s="21" t="s">
        <v>100</v>
      </c>
      <c r="F20" s="43" t="s">
        <v>259</v>
      </c>
      <c r="G20" s="68" t="n">
        <v>0.545454545454545</v>
      </c>
      <c r="H20" s="22" t="s">
        <v>599</v>
      </c>
    </row>
    <row r="21" customFormat="false" ht="15" hidden="false" customHeight="false" outlineLevel="0" collapsed="false">
      <c r="A21" s="21" t="s">
        <v>30</v>
      </c>
      <c r="B21" s="43" t="s">
        <v>493</v>
      </c>
      <c r="C21" s="22"/>
      <c r="D21" s="22" t="n">
        <v>1</v>
      </c>
      <c r="E21" s="21" t="s">
        <v>100</v>
      </c>
      <c r="F21" s="43" t="s">
        <v>259</v>
      </c>
      <c r="G21" s="68" t="n">
        <v>0.545454545454545</v>
      </c>
      <c r="H21" s="22" t="s">
        <v>599</v>
      </c>
    </row>
    <row r="22" customFormat="false" ht="15" hidden="false" customHeight="false" outlineLevel="0" collapsed="false">
      <c r="A22" s="21" t="s">
        <v>30</v>
      </c>
      <c r="B22" s="43" t="s">
        <v>472</v>
      </c>
      <c r="C22" s="22"/>
      <c r="D22" s="22" t="n">
        <v>1</v>
      </c>
      <c r="E22" s="21" t="s">
        <v>100</v>
      </c>
      <c r="F22" s="43" t="s">
        <v>246</v>
      </c>
      <c r="G22" s="68" t="n">
        <v>0.526315789473684</v>
      </c>
      <c r="H22" s="22" t="s">
        <v>599</v>
      </c>
    </row>
    <row r="23" customFormat="false" ht="15" hidden="false" customHeight="false" outlineLevel="0" collapsed="false">
      <c r="A23" s="21" t="s">
        <v>30</v>
      </c>
      <c r="B23" s="43" t="s">
        <v>474</v>
      </c>
      <c r="C23" s="22"/>
      <c r="D23" s="22" t="n">
        <v>1</v>
      </c>
      <c r="E23" s="21" t="s">
        <v>100</v>
      </c>
      <c r="F23" s="43" t="s">
        <v>246</v>
      </c>
      <c r="G23" s="68" t="n">
        <v>0.526315789473684</v>
      </c>
      <c r="H23" s="22" t="s">
        <v>599</v>
      </c>
    </row>
    <row r="24" customFormat="false" ht="15" hidden="false" customHeight="false" outlineLevel="0" collapsed="false">
      <c r="A24" s="21" t="s">
        <v>38</v>
      </c>
      <c r="B24" s="43" t="s">
        <v>510</v>
      </c>
      <c r="C24" s="22"/>
      <c r="D24" s="22" t="n">
        <v>1</v>
      </c>
      <c r="E24" s="21" t="s">
        <v>101</v>
      </c>
      <c r="F24" s="43" t="s">
        <v>272</v>
      </c>
      <c r="G24" s="68" t="n">
        <v>0.526315789473684</v>
      </c>
      <c r="H24" s="22" t="s">
        <v>599</v>
      </c>
    </row>
    <row r="25" customFormat="false" ht="15" hidden="false" customHeight="false" outlineLevel="0" collapsed="false">
      <c r="A25" s="21" t="s">
        <v>47</v>
      </c>
      <c r="B25" s="43" t="s">
        <v>563</v>
      </c>
      <c r="C25" s="22"/>
      <c r="D25" s="22" t="n">
        <v>1</v>
      </c>
      <c r="E25" s="21" t="s">
        <v>99</v>
      </c>
      <c r="F25" s="43" t="s">
        <v>214</v>
      </c>
      <c r="G25" s="68" t="n">
        <v>0.526315789473684</v>
      </c>
      <c r="H25" s="22" t="s">
        <v>599</v>
      </c>
    </row>
    <row r="26" customFormat="false" ht="15" hidden="false" customHeight="false" outlineLevel="0" collapsed="false">
      <c r="A26" s="21" t="s">
        <v>40</v>
      </c>
      <c r="B26" s="43" t="s">
        <v>405</v>
      </c>
      <c r="C26" s="22"/>
      <c r="D26" s="22" t="n">
        <v>1</v>
      </c>
      <c r="E26" s="21" t="s">
        <v>102</v>
      </c>
      <c r="F26" s="43" t="s">
        <v>344</v>
      </c>
      <c r="G26" s="68" t="n">
        <v>0.523809523809524</v>
      </c>
      <c r="H26" s="22" t="s">
        <v>599</v>
      </c>
    </row>
    <row r="27" customFormat="false" ht="15" hidden="false" customHeight="false" outlineLevel="0" collapsed="false">
      <c r="A27" s="21" t="s">
        <v>35</v>
      </c>
      <c r="B27" s="43" t="s">
        <v>428</v>
      </c>
      <c r="C27" s="22"/>
      <c r="D27" s="22" t="n">
        <v>1</v>
      </c>
      <c r="E27" s="21" t="s">
        <v>99</v>
      </c>
      <c r="F27" s="43" t="s">
        <v>233</v>
      </c>
      <c r="G27" s="68" t="n">
        <v>0.52</v>
      </c>
      <c r="H27" s="22" t="s">
        <v>599</v>
      </c>
    </row>
    <row r="28" customFormat="false" ht="15" hidden="false" customHeight="false" outlineLevel="0" collapsed="false">
      <c r="A28" s="21" t="s">
        <v>35</v>
      </c>
      <c r="B28" s="43" t="s">
        <v>440</v>
      </c>
      <c r="C28" s="22"/>
      <c r="D28" s="22" t="n">
        <v>1</v>
      </c>
      <c r="E28" s="21" t="s">
        <v>99</v>
      </c>
      <c r="F28" s="43" t="s">
        <v>210</v>
      </c>
      <c r="G28" s="68" t="n">
        <v>0.518518518518519</v>
      </c>
      <c r="H28" s="22" t="s">
        <v>599</v>
      </c>
    </row>
    <row r="29" customFormat="false" ht="15" hidden="false" customHeight="false" outlineLevel="0" collapsed="false">
      <c r="A29" s="21" t="s">
        <v>137</v>
      </c>
      <c r="B29" s="43" t="s">
        <v>446</v>
      </c>
      <c r="C29" s="22"/>
      <c r="D29" s="22" t="n">
        <v>1</v>
      </c>
      <c r="E29" s="21" t="s">
        <v>47</v>
      </c>
      <c r="F29" s="43" t="s">
        <v>315</v>
      </c>
      <c r="G29" s="68" t="n">
        <v>0.516129032258065</v>
      </c>
      <c r="H29" s="22" t="s">
        <v>599</v>
      </c>
    </row>
    <row r="30" customFormat="false" ht="15" hidden="false" customHeight="false" outlineLevel="0" collapsed="false">
      <c r="A30" s="21" t="s">
        <v>600</v>
      </c>
      <c r="B30" s="43" t="s">
        <v>371</v>
      </c>
      <c r="C30" s="22" t="s">
        <v>601</v>
      </c>
      <c r="D30" s="22" t="n">
        <v>2</v>
      </c>
      <c r="E30" s="21" t="s">
        <v>47</v>
      </c>
      <c r="F30" s="43" t="s">
        <v>326</v>
      </c>
      <c r="G30" s="68" t="n">
        <v>0.514285714285714</v>
      </c>
      <c r="H30" s="22" t="s">
        <v>599</v>
      </c>
    </row>
    <row r="31" customFormat="false" ht="15" hidden="false" customHeight="false" outlineLevel="0" collapsed="false">
      <c r="A31" s="21" t="s">
        <v>38</v>
      </c>
      <c r="B31" s="43" t="s">
        <v>512</v>
      </c>
      <c r="C31" s="22"/>
      <c r="D31" s="22" t="n">
        <v>1</v>
      </c>
      <c r="E31" s="21" t="s">
        <v>99</v>
      </c>
      <c r="F31" s="43" t="s">
        <v>214</v>
      </c>
      <c r="G31" s="68" t="n">
        <v>0.512820512820513</v>
      </c>
      <c r="H31" s="22" t="s">
        <v>599</v>
      </c>
    </row>
    <row r="32" customFormat="false" ht="15" hidden="false" customHeight="false" outlineLevel="0" collapsed="false">
      <c r="A32" s="21" t="s">
        <v>38</v>
      </c>
      <c r="B32" s="43" t="s">
        <v>514</v>
      </c>
      <c r="C32" s="22"/>
      <c r="D32" s="22" t="n">
        <v>1</v>
      </c>
      <c r="E32" s="21" t="s">
        <v>99</v>
      </c>
      <c r="F32" s="43" t="s">
        <v>206</v>
      </c>
      <c r="G32" s="68" t="n">
        <v>0.512820512820513</v>
      </c>
      <c r="H32" s="22" t="s">
        <v>599</v>
      </c>
    </row>
    <row r="33" customFormat="false" ht="15" hidden="false" customHeight="false" outlineLevel="0" collapsed="false">
      <c r="A33" s="21" t="s">
        <v>43</v>
      </c>
      <c r="B33" s="43" t="s">
        <v>536</v>
      </c>
      <c r="C33" s="22"/>
      <c r="D33" s="22" t="n">
        <v>1</v>
      </c>
      <c r="E33" s="21" t="s">
        <v>98</v>
      </c>
      <c r="F33" s="43" t="s">
        <v>181</v>
      </c>
      <c r="G33" s="68" t="n">
        <v>0.5</v>
      </c>
      <c r="H33" s="22" t="s">
        <v>599</v>
      </c>
    </row>
    <row r="34" customFormat="false" ht="15" hidden="false" customHeight="false" outlineLevel="0" collapsed="false">
      <c r="A34" s="21" t="s">
        <v>40</v>
      </c>
      <c r="B34" s="43" t="s">
        <v>393</v>
      </c>
      <c r="C34" s="22"/>
      <c r="D34" s="22" t="n">
        <v>1</v>
      </c>
      <c r="E34" s="21" t="s">
        <v>102</v>
      </c>
      <c r="F34" s="43" t="s">
        <v>344</v>
      </c>
      <c r="G34" s="68" t="n">
        <v>0.5</v>
      </c>
      <c r="H34" s="22" t="s">
        <v>599</v>
      </c>
    </row>
    <row r="35" customFormat="false" ht="15" hidden="false" customHeight="false" outlineLevel="0" collapsed="false">
      <c r="A35" s="21" t="s">
        <v>49</v>
      </c>
      <c r="B35" s="43" t="s">
        <v>547</v>
      </c>
      <c r="C35" s="22"/>
      <c r="D35" s="22" t="n">
        <v>1</v>
      </c>
      <c r="E35" s="21" t="s">
        <v>47</v>
      </c>
      <c r="F35" s="43" t="s">
        <v>276</v>
      </c>
      <c r="G35" s="68" t="n">
        <v>0.5</v>
      </c>
      <c r="H35" s="22" t="s">
        <v>599</v>
      </c>
    </row>
    <row r="36" customFormat="false" ht="15" hidden="false" customHeight="false" outlineLevel="0" collapsed="false">
      <c r="A36" s="21" t="s">
        <v>600</v>
      </c>
      <c r="B36" s="43" t="s">
        <v>362</v>
      </c>
      <c r="C36" s="22" t="s">
        <v>601</v>
      </c>
      <c r="D36" s="22" t="n">
        <v>2</v>
      </c>
      <c r="E36" s="21" t="s">
        <v>99</v>
      </c>
      <c r="F36" s="43" t="s">
        <v>221</v>
      </c>
      <c r="G36" s="68" t="n">
        <v>0.5</v>
      </c>
      <c r="H36" s="22" t="s">
        <v>599</v>
      </c>
    </row>
    <row r="37" customFormat="false" ht="15" hidden="false" customHeight="false" outlineLevel="0" collapsed="false">
      <c r="A37" s="21" t="s">
        <v>131</v>
      </c>
      <c r="B37" s="43" t="s">
        <v>456</v>
      </c>
      <c r="C37" s="22"/>
      <c r="D37" s="22" t="n">
        <v>1</v>
      </c>
      <c r="E37" s="21" t="s">
        <v>99</v>
      </c>
      <c r="F37" s="43" t="s">
        <v>217</v>
      </c>
      <c r="G37" s="68" t="n">
        <v>0.5</v>
      </c>
      <c r="H37" s="22" t="s">
        <v>599</v>
      </c>
    </row>
    <row r="38" customFormat="false" ht="15" hidden="false" customHeight="false" outlineLevel="0" collapsed="false">
      <c r="A38" s="21" t="s">
        <v>600</v>
      </c>
      <c r="B38" s="43" t="s">
        <v>365</v>
      </c>
      <c r="C38" s="22" t="s">
        <v>601</v>
      </c>
      <c r="D38" s="22" t="n">
        <v>2</v>
      </c>
      <c r="E38" s="21" t="s">
        <v>47</v>
      </c>
      <c r="F38" s="43" t="s">
        <v>273</v>
      </c>
      <c r="G38" s="68" t="n">
        <v>0.5</v>
      </c>
      <c r="H38" s="22" t="s">
        <v>599</v>
      </c>
    </row>
    <row r="39" customFormat="false" ht="15" hidden="false" customHeight="false" outlineLevel="0" collapsed="false">
      <c r="A39" s="21" t="s">
        <v>135</v>
      </c>
      <c r="B39" s="43" t="s">
        <v>381</v>
      </c>
      <c r="C39" s="22" t="s">
        <v>601</v>
      </c>
      <c r="D39" s="22" t="n">
        <v>1</v>
      </c>
      <c r="E39" s="21" t="s">
        <v>99</v>
      </c>
      <c r="F39" s="43" t="s">
        <v>224</v>
      </c>
      <c r="G39" s="68" t="n">
        <v>0.5</v>
      </c>
      <c r="H39" s="22" t="s">
        <v>599</v>
      </c>
    </row>
    <row r="40" customFormat="false" ht="15" hidden="false" customHeight="false" outlineLevel="0" collapsed="false">
      <c r="A40" s="21" t="s">
        <v>47</v>
      </c>
      <c r="B40" s="43" t="s">
        <v>553</v>
      </c>
      <c r="C40" s="22"/>
      <c r="D40" s="22" t="n">
        <v>1</v>
      </c>
      <c r="E40" s="21" t="s">
        <v>99</v>
      </c>
      <c r="F40" s="43" t="s">
        <v>236</v>
      </c>
      <c r="G40" s="68" t="n">
        <v>0.5</v>
      </c>
      <c r="H40" s="22" t="s">
        <v>599</v>
      </c>
    </row>
    <row r="41" customFormat="false" ht="15" hidden="false" customHeight="false" outlineLevel="0" collapsed="false">
      <c r="A41" s="21" t="s">
        <v>131</v>
      </c>
      <c r="B41" s="43" t="s">
        <v>464</v>
      </c>
      <c r="C41" s="22"/>
      <c r="D41" s="22" t="n">
        <v>1</v>
      </c>
      <c r="E41" s="21" t="s">
        <v>100</v>
      </c>
      <c r="F41" s="43" t="s">
        <v>242</v>
      </c>
      <c r="G41" s="68" t="n">
        <v>0.5</v>
      </c>
      <c r="H41" s="22" t="s">
        <v>599</v>
      </c>
    </row>
    <row r="42" customFormat="false" ht="15" hidden="false" customHeight="false" outlineLevel="0" collapsed="false">
      <c r="A42" s="21" t="s">
        <v>46</v>
      </c>
      <c r="B42" s="43" t="s">
        <v>586</v>
      </c>
      <c r="C42" s="22"/>
      <c r="D42" s="22" t="n">
        <v>1</v>
      </c>
      <c r="E42" s="21" t="s">
        <v>99</v>
      </c>
      <c r="F42" s="43" t="s">
        <v>236</v>
      </c>
      <c r="G42" s="68" t="n">
        <v>0.5</v>
      </c>
      <c r="H42" s="22" t="s">
        <v>599</v>
      </c>
    </row>
    <row r="43" customFormat="false" ht="15" hidden="false" customHeight="false" outlineLevel="0" collapsed="false">
      <c r="A43" s="21" t="s">
        <v>30</v>
      </c>
      <c r="B43" s="43" t="s">
        <v>500</v>
      </c>
      <c r="C43" s="22"/>
      <c r="D43" s="22" t="n">
        <v>1</v>
      </c>
      <c r="E43" s="21" t="s">
        <v>100</v>
      </c>
      <c r="F43" s="43" t="s">
        <v>259</v>
      </c>
      <c r="G43" s="68" t="n">
        <v>0.5</v>
      </c>
      <c r="H43" s="22" t="s">
        <v>599</v>
      </c>
    </row>
    <row r="44" customFormat="false" ht="15" hidden="false" customHeight="false" outlineLevel="0" collapsed="false">
      <c r="A44" s="21" t="s">
        <v>30</v>
      </c>
      <c r="B44" s="43" t="s">
        <v>502</v>
      </c>
      <c r="C44" s="22"/>
      <c r="D44" s="22" t="n">
        <v>1</v>
      </c>
      <c r="E44" s="21" t="s">
        <v>100</v>
      </c>
      <c r="F44" s="43" t="s">
        <v>259</v>
      </c>
      <c r="G44" s="68" t="n">
        <v>0.5</v>
      </c>
      <c r="H44" s="22" t="s">
        <v>599</v>
      </c>
    </row>
    <row r="45" customFormat="false" ht="15" hidden="false" customHeight="false" outlineLevel="0" collapsed="false">
      <c r="A45" s="21" t="s">
        <v>135</v>
      </c>
      <c r="B45" s="43" t="s">
        <v>411</v>
      </c>
      <c r="C45" s="22"/>
      <c r="D45" s="22" t="n">
        <v>1</v>
      </c>
      <c r="E45" s="21" t="s">
        <v>99</v>
      </c>
      <c r="F45" s="43" t="s">
        <v>225</v>
      </c>
      <c r="G45" s="68" t="n">
        <v>0.5</v>
      </c>
      <c r="H45" s="22" t="s">
        <v>599</v>
      </c>
    </row>
    <row r="46" customFormat="false" ht="15" hidden="false" customHeight="false" outlineLevel="0" collapsed="false">
      <c r="A46" s="21" t="s">
        <v>131</v>
      </c>
      <c r="B46" s="43" t="s">
        <v>470</v>
      </c>
      <c r="C46" s="22"/>
      <c r="D46" s="22" t="n">
        <v>1</v>
      </c>
      <c r="E46" s="21" t="s">
        <v>99</v>
      </c>
      <c r="F46" s="43" t="s">
        <v>227</v>
      </c>
      <c r="G46" s="68" t="n">
        <v>0.5</v>
      </c>
      <c r="H46" s="22" t="s">
        <v>599</v>
      </c>
    </row>
    <row r="47" customFormat="false" ht="15" hidden="false" customHeight="false" outlineLevel="0" collapsed="false">
      <c r="A47" s="21" t="s">
        <v>134</v>
      </c>
      <c r="B47" s="43" t="s">
        <v>578</v>
      </c>
      <c r="C47" s="22"/>
      <c r="D47" s="22" t="n">
        <v>1</v>
      </c>
      <c r="E47" s="21" t="s">
        <v>97</v>
      </c>
      <c r="F47" s="43" t="s">
        <v>164</v>
      </c>
      <c r="G47" s="68" t="n">
        <v>0.5</v>
      </c>
      <c r="H47" s="22" t="s">
        <v>599</v>
      </c>
    </row>
    <row r="48" customFormat="false" ht="15" hidden="false" customHeight="false" outlineLevel="0" collapsed="false">
      <c r="A48" s="21" t="s">
        <v>38</v>
      </c>
      <c r="B48" s="43" t="s">
        <v>516</v>
      </c>
      <c r="C48" s="22"/>
      <c r="D48" s="22" t="n">
        <v>1</v>
      </c>
      <c r="E48" s="21" t="s">
        <v>49</v>
      </c>
      <c r="F48" s="43" t="s">
        <v>281</v>
      </c>
      <c r="G48" s="68" t="n">
        <v>0.484848484848485</v>
      </c>
      <c r="H48" s="22" t="s">
        <v>599</v>
      </c>
    </row>
    <row r="49" customFormat="false" ht="15" hidden="false" customHeight="false" outlineLevel="0" collapsed="false">
      <c r="A49" s="21" t="s">
        <v>49</v>
      </c>
      <c r="B49" s="43" t="s">
        <v>551</v>
      </c>
      <c r="C49" s="22"/>
      <c r="D49" s="22" t="n">
        <v>1</v>
      </c>
      <c r="E49" s="21" t="s">
        <v>98</v>
      </c>
      <c r="F49" s="43" t="s">
        <v>189</v>
      </c>
      <c r="G49" s="68" t="n">
        <v>0.484848484848485</v>
      </c>
      <c r="H49" s="22" t="s">
        <v>599</v>
      </c>
    </row>
    <row r="50" customFormat="false" ht="15" hidden="false" customHeight="false" outlineLevel="0" collapsed="false">
      <c r="A50" s="21" t="s">
        <v>36</v>
      </c>
      <c r="B50" s="43" t="s">
        <v>532</v>
      </c>
      <c r="C50" s="22"/>
      <c r="D50" s="22" t="n">
        <v>1</v>
      </c>
      <c r="E50" s="21" t="s">
        <v>100</v>
      </c>
      <c r="F50" s="43" t="s">
        <v>247</v>
      </c>
      <c r="G50" s="68" t="n">
        <v>0.484848484848485</v>
      </c>
      <c r="H50" s="22" t="s">
        <v>599</v>
      </c>
    </row>
    <row r="51" customFormat="false" ht="15" hidden="false" customHeight="false" outlineLevel="0" collapsed="false">
      <c r="A51" s="21" t="s">
        <v>38</v>
      </c>
      <c r="B51" s="43" t="s">
        <v>518</v>
      </c>
      <c r="C51" s="22"/>
      <c r="D51" s="22" t="n">
        <v>1</v>
      </c>
      <c r="E51" s="21" t="s">
        <v>47</v>
      </c>
      <c r="F51" s="43" t="s">
        <v>299</v>
      </c>
      <c r="G51" s="68" t="n">
        <v>0.482758620689655</v>
      </c>
      <c r="H51" s="22" t="s">
        <v>599</v>
      </c>
    </row>
    <row r="52" customFormat="false" ht="15" hidden="false" customHeight="false" outlineLevel="0" collapsed="false">
      <c r="A52" s="21" t="s">
        <v>49</v>
      </c>
      <c r="B52" s="43" t="s">
        <v>549</v>
      </c>
      <c r="C52" s="22"/>
      <c r="D52" s="22" t="n">
        <v>1</v>
      </c>
      <c r="E52" s="21" t="s">
        <v>47</v>
      </c>
      <c r="F52" s="43" t="s">
        <v>339</v>
      </c>
      <c r="G52" s="68" t="n">
        <v>0.48</v>
      </c>
      <c r="H52" s="22" t="s">
        <v>599</v>
      </c>
    </row>
    <row r="53" customFormat="false" ht="15" hidden="false" customHeight="false" outlineLevel="0" collapsed="false">
      <c r="A53" s="21" t="s">
        <v>40</v>
      </c>
      <c r="B53" s="43" t="s">
        <v>397</v>
      </c>
      <c r="C53" s="22"/>
      <c r="D53" s="22" t="n">
        <v>1</v>
      </c>
      <c r="E53" s="21" t="s">
        <v>97</v>
      </c>
      <c r="F53" s="43" t="s">
        <v>149</v>
      </c>
      <c r="G53" s="68" t="n">
        <v>0.475</v>
      </c>
      <c r="H53" s="22" t="s">
        <v>599</v>
      </c>
    </row>
    <row r="54" customFormat="false" ht="15" hidden="false" customHeight="false" outlineLevel="0" collapsed="false">
      <c r="A54" s="21" t="s">
        <v>40</v>
      </c>
      <c r="B54" s="43" t="s">
        <v>395</v>
      </c>
      <c r="C54" s="22"/>
      <c r="D54" s="22" t="n">
        <v>1</v>
      </c>
      <c r="E54" s="21" t="s">
        <v>97</v>
      </c>
      <c r="F54" s="43" t="s">
        <v>149</v>
      </c>
      <c r="G54" s="68" t="n">
        <v>0.475</v>
      </c>
      <c r="H54" s="22" t="s">
        <v>599</v>
      </c>
    </row>
    <row r="55" customFormat="false" ht="15" hidden="false" customHeight="false" outlineLevel="0" collapsed="false">
      <c r="A55" s="21" t="s">
        <v>40</v>
      </c>
      <c r="B55" s="43" t="s">
        <v>400</v>
      </c>
      <c r="C55" s="22"/>
      <c r="D55" s="22" t="n">
        <v>1</v>
      </c>
      <c r="E55" s="21" t="s">
        <v>99</v>
      </c>
      <c r="F55" s="43" t="s">
        <v>202</v>
      </c>
      <c r="G55" s="68" t="n">
        <v>0.475</v>
      </c>
      <c r="H55" s="22" t="s">
        <v>599</v>
      </c>
    </row>
    <row r="56" customFormat="false" ht="15" hidden="false" customHeight="false" outlineLevel="0" collapsed="false">
      <c r="A56" s="21" t="s">
        <v>40</v>
      </c>
      <c r="B56" s="43" t="s">
        <v>402</v>
      </c>
      <c r="C56" s="22"/>
      <c r="D56" s="22" t="n">
        <v>1</v>
      </c>
      <c r="E56" s="21" t="s">
        <v>47</v>
      </c>
      <c r="F56" s="43" t="s">
        <v>301</v>
      </c>
      <c r="G56" s="68" t="n">
        <v>0.475</v>
      </c>
      <c r="H56" s="22" t="s">
        <v>599</v>
      </c>
    </row>
    <row r="57" customFormat="false" ht="15" hidden="false" customHeight="false" outlineLevel="0" collapsed="false">
      <c r="A57" s="21" t="s">
        <v>40</v>
      </c>
      <c r="B57" s="43" t="s">
        <v>404</v>
      </c>
      <c r="C57" s="22"/>
      <c r="D57" s="22" t="n">
        <v>1</v>
      </c>
      <c r="E57" s="21" t="s">
        <v>47</v>
      </c>
      <c r="F57" s="43" t="s">
        <v>301</v>
      </c>
      <c r="G57" s="68" t="n">
        <v>0.475</v>
      </c>
      <c r="H57" s="22" t="s">
        <v>599</v>
      </c>
    </row>
    <row r="58" customFormat="false" ht="15" hidden="false" customHeight="false" outlineLevel="0" collapsed="false">
      <c r="A58" s="21" t="s">
        <v>135</v>
      </c>
      <c r="B58" s="43" t="s">
        <v>409</v>
      </c>
      <c r="C58" s="22"/>
      <c r="D58" s="22" t="n">
        <v>1</v>
      </c>
      <c r="E58" s="21" t="s">
        <v>100</v>
      </c>
      <c r="F58" s="43" t="s">
        <v>253</v>
      </c>
      <c r="G58" s="68" t="n">
        <v>0.475</v>
      </c>
      <c r="H58" s="22" t="s">
        <v>599</v>
      </c>
    </row>
    <row r="59" customFormat="false" ht="15" hidden="false" customHeight="false" outlineLevel="0" collapsed="false">
      <c r="A59" s="21" t="s">
        <v>131</v>
      </c>
      <c r="B59" s="43" t="s">
        <v>460</v>
      </c>
      <c r="C59" s="22"/>
      <c r="D59" s="22" t="n">
        <v>1</v>
      </c>
      <c r="E59" s="21" t="s">
        <v>98</v>
      </c>
      <c r="F59" s="43" t="s">
        <v>189</v>
      </c>
      <c r="G59" s="68" t="n">
        <v>0.475</v>
      </c>
      <c r="H59" s="22" t="s">
        <v>599</v>
      </c>
    </row>
    <row r="60" customFormat="false" ht="15" hidden="false" customHeight="false" outlineLevel="0" collapsed="false">
      <c r="A60" s="21" t="s">
        <v>30</v>
      </c>
      <c r="B60" s="43" t="s">
        <v>494</v>
      </c>
      <c r="C60" s="22"/>
      <c r="D60" s="22" t="n">
        <v>1</v>
      </c>
      <c r="E60" s="21" t="s">
        <v>99</v>
      </c>
      <c r="F60" s="43" t="s">
        <v>222</v>
      </c>
      <c r="G60" s="68" t="n">
        <v>0.475</v>
      </c>
      <c r="H60" s="22" t="s">
        <v>599</v>
      </c>
    </row>
    <row r="61" customFormat="false" ht="15" hidden="false" customHeight="false" outlineLevel="0" collapsed="false">
      <c r="A61" s="21" t="s">
        <v>30</v>
      </c>
      <c r="B61" s="43" t="s">
        <v>496</v>
      </c>
      <c r="C61" s="22"/>
      <c r="D61" s="22" t="n">
        <v>1</v>
      </c>
      <c r="E61" s="21" t="s">
        <v>99</v>
      </c>
      <c r="F61" s="43" t="s">
        <v>222</v>
      </c>
      <c r="G61" s="68" t="n">
        <v>0.475</v>
      </c>
      <c r="H61" s="22" t="s">
        <v>599</v>
      </c>
    </row>
    <row r="62" customFormat="false" ht="15" hidden="false" customHeight="false" outlineLevel="0" collapsed="false">
      <c r="A62" s="21" t="s">
        <v>131</v>
      </c>
      <c r="B62" s="43" t="s">
        <v>466</v>
      </c>
      <c r="C62" s="22"/>
      <c r="D62" s="22" t="n">
        <v>1</v>
      </c>
      <c r="E62" s="21" t="s">
        <v>99</v>
      </c>
      <c r="F62" s="43" t="s">
        <v>211</v>
      </c>
      <c r="G62" s="68" t="n">
        <v>0.475</v>
      </c>
      <c r="H62" s="22" t="s">
        <v>599</v>
      </c>
    </row>
    <row r="63" customFormat="false" ht="15" hidden="false" customHeight="false" outlineLevel="0" collapsed="false">
      <c r="A63" s="21" t="s">
        <v>134</v>
      </c>
      <c r="B63" s="43" t="s">
        <v>565</v>
      </c>
      <c r="C63" s="22"/>
      <c r="D63" s="22" t="n">
        <v>1</v>
      </c>
      <c r="E63" s="21" t="s">
        <v>47</v>
      </c>
      <c r="F63" s="43" t="s">
        <v>290</v>
      </c>
      <c r="G63" s="68" t="n">
        <v>0.475</v>
      </c>
      <c r="H63" s="22" t="s">
        <v>599</v>
      </c>
    </row>
    <row r="64" customFormat="false" ht="15" hidden="false" customHeight="false" outlineLevel="0" collapsed="false">
      <c r="A64" s="21" t="s">
        <v>134</v>
      </c>
      <c r="B64" s="43" t="s">
        <v>567</v>
      </c>
      <c r="C64" s="22"/>
      <c r="D64" s="22" t="n">
        <v>1</v>
      </c>
      <c r="E64" s="21" t="s">
        <v>47</v>
      </c>
      <c r="F64" s="43" t="s">
        <v>290</v>
      </c>
      <c r="G64" s="68" t="n">
        <v>0.475</v>
      </c>
      <c r="H64" s="22" t="s">
        <v>599</v>
      </c>
    </row>
    <row r="65" customFormat="false" ht="15" hidden="false" customHeight="false" outlineLevel="0" collapsed="false">
      <c r="A65" s="21" t="s">
        <v>134</v>
      </c>
      <c r="B65" s="43" t="s">
        <v>575</v>
      </c>
      <c r="C65" s="22"/>
      <c r="D65" s="22" t="n">
        <v>1</v>
      </c>
      <c r="E65" s="21" t="s">
        <v>47</v>
      </c>
      <c r="F65" s="43" t="s">
        <v>290</v>
      </c>
      <c r="G65" s="68" t="n">
        <v>0.475</v>
      </c>
      <c r="H65" s="22" t="s">
        <v>599</v>
      </c>
    </row>
    <row r="66" customFormat="false" ht="15" hidden="false" customHeight="false" outlineLevel="0" collapsed="false">
      <c r="A66" s="21" t="s">
        <v>134</v>
      </c>
      <c r="B66" s="43" t="s">
        <v>576</v>
      </c>
      <c r="C66" s="22"/>
      <c r="D66" s="22" t="n">
        <v>1</v>
      </c>
      <c r="E66" s="21" t="s">
        <v>47</v>
      </c>
      <c r="F66" s="43" t="s">
        <v>290</v>
      </c>
      <c r="G66" s="68" t="n">
        <v>0.475</v>
      </c>
      <c r="H66" s="22" t="s">
        <v>599</v>
      </c>
    </row>
    <row r="67" customFormat="false" ht="15" hidden="false" customHeight="false" outlineLevel="0" collapsed="false">
      <c r="A67" s="21" t="s">
        <v>134</v>
      </c>
      <c r="B67" s="43" t="s">
        <v>577</v>
      </c>
      <c r="C67" s="22"/>
      <c r="D67" s="22" t="n">
        <v>1</v>
      </c>
      <c r="E67" s="21" t="s">
        <v>47</v>
      </c>
      <c r="F67" s="43" t="s">
        <v>290</v>
      </c>
      <c r="G67" s="68" t="n">
        <v>0.475</v>
      </c>
      <c r="H67" s="22" t="s">
        <v>599</v>
      </c>
    </row>
    <row r="68" customFormat="false" ht="15" hidden="false" customHeight="false" outlineLevel="0" collapsed="false">
      <c r="A68" s="21" t="s">
        <v>43</v>
      </c>
      <c r="B68" s="43" t="s">
        <v>542</v>
      </c>
      <c r="C68" s="22"/>
      <c r="D68" s="22" t="n">
        <v>1</v>
      </c>
      <c r="E68" s="21" t="s">
        <v>100</v>
      </c>
      <c r="F68" s="43" t="s">
        <v>244</v>
      </c>
      <c r="G68" s="68" t="n">
        <v>0.475</v>
      </c>
      <c r="H68" s="22" t="s">
        <v>599</v>
      </c>
    </row>
    <row r="69" customFormat="false" ht="15" hidden="false" customHeight="false" outlineLevel="0" collapsed="false">
      <c r="A69" s="21" t="s">
        <v>43</v>
      </c>
      <c r="B69" s="43" t="s">
        <v>544</v>
      </c>
      <c r="C69" s="22"/>
      <c r="D69" s="22" t="n">
        <v>1</v>
      </c>
      <c r="E69" s="21" t="s">
        <v>100</v>
      </c>
      <c r="F69" s="43" t="s">
        <v>244</v>
      </c>
      <c r="G69" s="68" t="n">
        <v>0.475</v>
      </c>
      <c r="H69" s="22" t="s">
        <v>599</v>
      </c>
    </row>
    <row r="70" customFormat="false" ht="15" hidden="false" customHeight="false" outlineLevel="0" collapsed="false">
      <c r="A70" s="21" t="s">
        <v>131</v>
      </c>
      <c r="B70" s="43" t="s">
        <v>468</v>
      </c>
      <c r="C70" s="22"/>
      <c r="D70" s="22" t="n">
        <v>1</v>
      </c>
      <c r="E70" s="21" t="s">
        <v>102</v>
      </c>
      <c r="F70" s="43" t="s">
        <v>297</v>
      </c>
      <c r="G70" s="68" t="n">
        <v>0.473684210526316</v>
      </c>
      <c r="H70" s="22" t="s">
        <v>599</v>
      </c>
    </row>
    <row r="71" customFormat="false" ht="15" hidden="false" customHeight="false" outlineLevel="0" collapsed="false">
      <c r="A71" s="21" t="s">
        <v>30</v>
      </c>
      <c r="B71" s="43" t="s">
        <v>497</v>
      </c>
      <c r="C71" s="22"/>
      <c r="D71" s="22" t="n">
        <v>1</v>
      </c>
      <c r="E71" s="21" t="s">
        <v>43</v>
      </c>
      <c r="F71" s="43" t="s">
        <v>357</v>
      </c>
      <c r="G71" s="68" t="n">
        <v>0.470588235294118</v>
      </c>
      <c r="H71" s="22" t="s">
        <v>599</v>
      </c>
    </row>
    <row r="72" customFormat="false" ht="15" hidden="false" customHeight="false" outlineLevel="0" collapsed="false">
      <c r="A72" s="21" t="s">
        <v>30</v>
      </c>
      <c r="B72" s="43" t="s">
        <v>499</v>
      </c>
      <c r="C72" s="22"/>
      <c r="D72" s="22" t="n">
        <v>1</v>
      </c>
      <c r="E72" s="21" t="s">
        <v>43</v>
      </c>
      <c r="F72" s="43" t="s">
        <v>357</v>
      </c>
      <c r="G72" s="68" t="n">
        <v>0.470588235294118</v>
      </c>
      <c r="H72" s="22" t="s">
        <v>599</v>
      </c>
    </row>
    <row r="73" customFormat="false" ht="15" hidden="false" customHeight="false" outlineLevel="0" collapsed="false">
      <c r="A73" s="21" t="s">
        <v>135</v>
      </c>
      <c r="B73" s="43" t="s">
        <v>387</v>
      </c>
      <c r="C73" s="22" t="s">
        <v>601</v>
      </c>
      <c r="D73" s="22" t="n">
        <v>1</v>
      </c>
      <c r="E73" s="21" t="s">
        <v>47</v>
      </c>
      <c r="F73" s="43" t="s">
        <v>276</v>
      </c>
      <c r="G73" s="68" t="n">
        <v>0.470588235294118</v>
      </c>
      <c r="H73" s="22" t="s">
        <v>599</v>
      </c>
    </row>
    <row r="74" customFormat="false" ht="15" hidden="false" customHeight="false" outlineLevel="0" collapsed="false">
      <c r="A74" s="21" t="s">
        <v>137</v>
      </c>
      <c r="B74" s="43" t="s">
        <v>450</v>
      </c>
      <c r="C74" s="22"/>
      <c r="D74" s="22" t="n">
        <v>1</v>
      </c>
      <c r="E74" s="21" t="s">
        <v>100</v>
      </c>
      <c r="F74" s="43" t="s">
        <v>263</v>
      </c>
      <c r="G74" s="68" t="n">
        <v>0.465116279069767</v>
      </c>
      <c r="H74" s="22" t="s">
        <v>599</v>
      </c>
    </row>
    <row r="75" customFormat="false" ht="15" hidden="false" customHeight="false" outlineLevel="0" collapsed="false">
      <c r="A75" s="21" t="s">
        <v>36</v>
      </c>
      <c r="B75" s="43" t="s">
        <v>526</v>
      </c>
      <c r="C75" s="22"/>
      <c r="D75" s="22" t="n">
        <v>1</v>
      </c>
      <c r="E75" s="21" t="s">
        <v>99</v>
      </c>
      <c r="F75" s="43" t="s">
        <v>202</v>
      </c>
      <c r="G75" s="68" t="n">
        <v>0.461538461538462</v>
      </c>
      <c r="H75" s="22" t="s">
        <v>599</v>
      </c>
    </row>
    <row r="76" customFormat="false" ht="15" hidden="false" customHeight="false" outlineLevel="0" collapsed="false">
      <c r="A76" s="21" t="s">
        <v>42</v>
      </c>
      <c r="B76" s="43" t="s">
        <v>590</v>
      </c>
      <c r="C76" s="22"/>
      <c r="D76" s="22" t="n">
        <v>1</v>
      </c>
      <c r="E76" s="21" t="s">
        <v>98</v>
      </c>
      <c r="F76" s="43" t="s">
        <v>182</v>
      </c>
      <c r="G76" s="68" t="n">
        <v>0.461538461538462</v>
      </c>
      <c r="H76" s="22" t="s">
        <v>599</v>
      </c>
    </row>
    <row r="77" customFormat="false" ht="15" hidden="false" customHeight="false" outlineLevel="0" collapsed="false">
      <c r="A77" s="21" t="s">
        <v>135</v>
      </c>
      <c r="B77" s="43" t="s">
        <v>385</v>
      </c>
      <c r="C77" s="22" t="s">
        <v>601</v>
      </c>
      <c r="D77" s="22" t="n">
        <v>1</v>
      </c>
      <c r="E77" s="21" t="s">
        <v>98</v>
      </c>
      <c r="F77" s="43" t="s">
        <v>195</v>
      </c>
      <c r="G77" s="68" t="n">
        <v>0.461538461538462</v>
      </c>
      <c r="H77" s="22" t="s">
        <v>599</v>
      </c>
    </row>
    <row r="78" customFormat="false" ht="15" hidden="false" customHeight="false" outlineLevel="0" collapsed="false">
      <c r="A78" s="21" t="s">
        <v>602</v>
      </c>
      <c r="B78" s="43" t="s">
        <v>426</v>
      </c>
      <c r="C78" s="22"/>
      <c r="D78" s="22" t="n">
        <v>2</v>
      </c>
      <c r="E78" s="21" t="s">
        <v>98</v>
      </c>
      <c r="F78" s="43" t="s">
        <v>182</v>
      </c>
      <c r="G78" s="68" t="n">
        <v>0.457142857142857</v>
      </c>
      <c r="H78" s="22" t="s">
        <v>599</v>
      </c>
    </row>
    <row r="79" customFormat="false" ht="15" hidden="false" customHeight="false" outlineLevel="0" collapsed="false">
      <c r="A79" s="21" t="s">
        <v>35</v>
      </c>
      <c r="B79" s="43" t="s">
        <v>434</v>
      </c>
      <c r="C79" s="22"/>
      <c r="D79" s="22" t="n">
        <v>1</v>
      </c>
      <c r="E79" s="21" t="s">
        <v>49</v>
      </c>
      <c r="F79" s="43" t="s">
        <v>281</v>
      </c>
      <c r="G79" s="68" t="n">
        <v>0.457142857142857</v>
      </c>
      <c r="H79" s="22" t="s">
        <v>599</v>
      </c>
    </row>
    <row r="80" customFormat="false" ht="15" hidden="false" customHeight="false" outlineLevel="0" collapsed="false">
      <c r="A80" s="21" t="s">
        <v>36</v>
      </c>
      <c r="B80" s="43" t="s">
        <v>530</v>
      </c>
      <c r="C80" s="22"/>
      <c r="D80" s="22" t="n">
        <v>1</v>
      </c>
      <c r="E80" s="21" t="s">
        <v>100</v>
      </c>
      <c r="F80" s="43" t="s">
        <v>263</v>
      </c>
      <c r="G80" s="68" t="n">
        <v>0.457142857142857</v>
      </c>
      <c r="H80" s="22" t="s">
        <v>599</v>
      </c>
    </row>
    <row r="81" customFormat="false" ht="15" hidden="false" customHeight="false" outlineLevel="0" collapsed="false">
      <c r="A81" s="21" t="s">
        <v>133</v>
      </c>
      <c r="B81" s="43" t="s">
        <v>508</v>
      </c>
      <c r="C81" s="22"/>
      <c r="D81" s="22" t="n">
        <v>1</v>
      </c>
      <c r="E81" s="21" t="s">
        <v>97</v>
      </c>
      <c r="F81" s="43" t="s">
        <v>157</v>
      </c>
      <c r="G81" s="68" t="n">
        <v>0.454545454545455</v>
      </c>
      <c r="H81" s="22" t="s">
        <v>599</v>
      </c>
    </row>
    <row r="82" customFormat="false" ht="15" hidden="false" customHeight="false" outlineLevel="0" collapsed="false">
      <c r="A82" s="21" t="s">
        <v>46</v>
      </c>
      <c r="B82" s="43" t="s">
        <v>588</v>
      </c>
      <c r="C82" s="22"/>
      <c r="D82" s="22" t="n">
        <v>1</v>
      </c>
      <c r="E82" s="21" t="s">
        <v>97</v>
      </c>
      <c r="F82" s="43" t="s">
        <v>160</v>
      </c>
      <c r="G82" s="68" t="n">
        <v>0.454545454545455</v>
      </c>
      <c r="H82" s="22" t="s">
        <v>599</v>
      </c>
    </row>
    <row r="83" customFormat="false" ht="15" hidden="false" customHeight="false" outlineLevel="0" collapsed="false">
      <c r="A83" s="21" t="s">
        <v>38</v>
      </c>
      <c r="B83" s="43" t="s">
        <v>520</v>
      </c>
      <c r="C83" s="22"/>
      <c r="D83" s="22" t="n">
        <v>1</v>
      </c>
      <c r="E83" s="21" t="s">
        <v>99</v>
      </c>
      <c r="F83" s="43" t="s">
        <v>218</v>
      </c>
      <c r="G83" s="68" t="n">
        <v>0.454545454545455</v>
      </c>
      <c r="H83" s="22" t="s">
        <v>599</v>
      </c>
    </row>
    <row r="84" customFormat="false" ht="15" hidden="false" customHeight="false" outlineLevel="0" collapsed="false">
      <c r="A84" s="21" t="s">
        <v>47</v>
      </c>
      <c r="B84" s="43" t="s">
        <v>557</v>
      </c>
      <c r="C84" s="22"/>
      <c r="D84" s="22" t="n">
        <v>1</v>
      </c>
      <c r="E84" s="21" t="s">
        <v>102</v>
      </c>
      <c r="F84" s="43" t="s">
        <v>322</v>
      </c>
      <c r="G84" s="68" t="n">
        <v>0.454545454545455</v>
      </c>
      <c r="H84" s="22" t="s">
        <v>599</v>
      </c>
    </row>
    <row r="85" customFormat="false" ht="15" hidden="false" customHeight="false" outlineLevel="0" collapsed="false">
      <c r="A85" s="21" t="s">
        <v>131</v>
      </c>
      <c r="B85" s="43" t="s">
        <v>462</v>
      </c>
      <c r="C85" s="22"/>
      <c r="D85" s="22" t="n">
        <v>1</v>
      </c>
      <c r="E85" s="21" t="s">
        <v>102</v>
      </c>
      <c r="F85" s="43" t="s">
        <v>322</v>
      </c>
      <c r="G85" s="68" t="n">
        <v>0.451612903225806</v>
      </c>
      <c r="H85" s="22" t="s">
        <v>599</v>
      </c>
    </row>
    <row r="86" customFormat="false" ht="15" hidden="false" customHeight="false" outlineLevel="0" collapsed="false">
      <c r="A86" s="21" t="s">
        <v>47</v>
      </c>
      <c r="B86" s="43" t="s">
        <v>559</v>
      </c>
      <c r="C86" s="22"/>
      <c r="D86" s="22" t="n">
        <v>1</v>
      </c>
      <c r="E86" s="21" t="s">
        <v>102</v>
      </c>
      <c r="F86" s="43" t="s">
        <v>344</v>
      </c>
      <c r="G86" s="68" t="n">
        <v>0.451612903225806</v>
      </c>
      <c r="H86" s="22" t="s">
        <v>599</v>
      </c>
    </row>
    <row r="87" customFormat="false" ht="15" hidden="false" customHeight="false" outlineLevel="0" collapsed="false">
      <c r="A87" s="21" t="s">
        <v>131</v>
      </c>
      <c r="B87" s="43" t="s">
        <v>452</v>
      </c>
      <c r="C87" s="22"/>
      <c r="D87" s="22" t="n">
        <v>1</v>
      </c>
      <c r="E87" s="21" t="s">
        <v>99</v>
      </c>
      <c r="F87" s="43" t="s">
        <v>236</v>
      </c>
      <c r="G87" s="68" t="n">
        <v>0.444444444444444</v>
      </c>
      <c r="H87" s="22" t="s">
        <v>599</v>
      </c>
    </row>
    <row r="88" customFormat="false" ht="15" hidden="false" customHeight="false" outlineLevel="0" collapsed="false">
      <c r="A88" s="21" t="s">
        <v>43</v>
      </c>
      <c r="B88" s="43" t="s">
        <v>538</v>
      </c>
      <c r="C88" s="22"/>
      <c r="D88" s="22" t="n">
        <v>1</v>
      </c>
      <c r="E88" s="21" t="s">
        <v>99</v>
      </c>
      <c r="F88" s="43" t="s">
        <v>216</v>
      </c>
      <c r="G88" s="68" t="n">
        <v>0.444444444444444</v>
      </c>
      <c r="H88" s="22" t="s">
        <v>599</v>
      </c>
    </row>
    <row r="89" customFormat="false" ht="15" hidden="false" customHeight="false" outlineLevel="0" collapsed="false">
      <c r="A89" s="21" t="s">
        <v>30</v>
      </c>
      <c r="B89" s="43" t="s">
        <v>475</v>
      </c>
      <c r="C89" s="22"/>
      <c r="D89" s="22" t="n">
        <v>1</v>
      </c>
      <c r="E89" s="21" t="s">
        <v>100</v>
      </c>
      <c r="F89" s="43" t="s">
        <v>262</v>
      </c>
      <c r="G89" s="68" t="n">
        <v>0.444444444444444</v>
      </c>
      <c r="H89" s="22" t="s">
        <v>599</v>
      </c>
    </row>
    <row r="90" customFormat="false" ht="15" hidden="false" customHeight="false" outlineLevel="0" collapsed="false">
      <c r="A90" s="21" t="s">
        <v>30</v>
      </c>
      <c r="B90" s="43" t="s">
        <v>477</v>
      </c>
      <c r="C90" s="22"/>
      <c r="D90" s="22" t="n">
        <v>1</v>
      </c>
      <c r="E90" s="21" t="s">
        <v>100</v>
      </c>
      <c r="F90" s="43" t="s">
        <v>262</v>
      </c>
      <c r="G90" s="68" t="n">
        <v>0.444444444444444</v>
      </c>
      <c r="H90" s="22" t="s">
        <v>599</v>
      </c>
    </row>
    <row r="91" customFormat="false" ht="15" hidden="false" customHeight="false" outlineLevel="0" collapsed="false">
      <c r="A91" s="21" t="s">
        <v>136</v>
      </c>
      <c r="B91" s="43" t="s">
        <v>375</v>
      </c>
      <c r="C91" s="22" t="s">
        <v>603</v>
      </c>
      <c r="D91" s="22" t="n">
        <v>1</v>
      </c>
      <c r="E91" s="21" t="s">
        <v>98</v>
      </c>
      <c r="F91" s="43" t="s">
        <v>181</v>
      </c>
      <c r="G91" s="68" t="n">
        <v>0.444444444444444</v>
      </c>
      <c r="H91" s="22" t="s">
        <v>599</v>
      </c>
    </row>
    <row r="92" customFormat="false" ht="15" hidden="false" customHeight="false" outlineLevel="0" collapsed="false">
      <c r="A92" s="21" t="s">
        <v>35</v>
      </c>
      <c r="B92" s="43" t="s">
        <v>438</v>
      </c>
      <c r="C92" s="22"/>
      <c r="D92" s="22" t="n">
        <v>1</v>
      </c>
      <c r="E92" s="21" t="s">
        <v>49</v>
      </c>
      <c r="F92" s="43" t="s">
        <v>347</v>
      </c>
      <c r="G92" s="68" t="n">
        <v>0.444444444444444</v>
      </c>
      <c r="H92" s="22" t="s">
        <v>599</v>
      </c>
    </row>
    <row r="93" customFormat="false" ht="15" hidden="false" customHeight="false" outlineLevel="0" collapsed="false">
      <c r="A93" s="21" t="s">
        <v>47</v>
      </c>
      <c r="B93" s="43" t="s">
        <v>555</v>
      </c>
      <c r="C93" s="22"/>
      <c r="D93" s="22" t="n">
        <v>1</v>
      </c>
      <c r="E93" s="21" t="s">
        <v>99</v>
      </c>
      <c r="F93" s="43" t="s">
        <v>204</v>
      </c>
      <c r="G93" s="68" t="n">
        <v>0.444444444444444</v>
      </c>
      <c r="H93" s="22" t="s">
        <v>599</v>
      </c>
    </row>
    <row r="94" customFormat="false" ht="15" hidden="false" customHeight="false" outlineLevel="0" collapsed="false">
      <c r="A94" s="21" t="s">
        <v>46</v>
      </c>
      <c r="B94" s="43" t="s">
        <v>582</v>
      </c>
      <c r="C94" s="22"/>
      <c r="D94" s="22" t="n">
        <v>1</v>
      </c>
      <c r="E94" s="21" t="s">
        <v>99</v>
      </c>
      <c r="F94" s="43" t="s">
        <v>216</v>
      </c>
      <c r="G94" s="68" t="n">
        <v>0.444444444444444</v>
      </c>
      <c r="H94" s="22" t="s">
        <v>599</v>
      </c>
    </row>
    <row r="95" customFormat="false" ht="15" hidden="false" customHeight="false" outlineLevel="0" collapsed="false">
      <c r="A95" s="21" t="s">
        <v>30</v>
      </c>
      <c r="B95" s="43" t="s">
        <v>486</v>
      </c>
      <c r="C95" s="22"/>
      <c r="D95" s="22" t="n">
        <v>1</v>
      </c>
      <c r="E95" s="21" t="s">
        <v>102</v>
      </c>
      <c r="F95" s="43" t="s">
        <v>344</v>
      </c>
      <c r="G95" s="68" t="n">
        <v>0.434782608695652</v>
      </c>
      <c r="H95" s="22" t="s">
        <v>599</v>
      </c>
    </row>
    <row r="96" customFormat="false" ht="15" hidden="false" customHeight="false" outlineLevel="0" collapsed="false">
      <c r="A96" s="21" t="s">
        <v>47</v>
      </c>
      <c r="B96" s="43" t="s">
        <v>561</v>
      </c>
      <c r="C96" s="22"/>
      <c r="D96" s="22" t="n">
        <v>1</v>
      </c>
      <c r="E96" s="21" t="s">
        <v>47</v>
      </c>
      <c r="F96" s="43" t="s">
        <v>276</v>
      </c>
      <c r="G96" s="68" t="n">
        <v>0.434782608695652</v>
      </c>
      <c r="H96" s="22" t="s">
        <v>599</v>
      </c>
    </row>
    <row r="97" customFormat="false" ht="15" hidden="false" customHeight="false" outlineLevel="0" collapsed="false">
      <c r="A97" s="21" t="s">
        <v>30</v>
      </c>
      <c r="B97" s="43" t="s">
        <v>478</v>
      </c>
      <c r="C97" s="22"/>
      <c r="D97" s="22" t="n">
        <v>1</v>
      </c>
      <c r="E97" s="21" t="s">
        <v>100</v>
      </c>
      <c r="F97" s="43" t="s">
        <v>246</v>
      </c>
      <c r="G97" s="68" t="n">
        <v>0.428571428571429</v>
      </c>
      <c r="H97" s="22" t="s">
        <v>599</v>
      </c>
    </row>
    <row r="98" customFormat="false" ht="15" hidden="false" customHeight="false" outlineLevel="0" collapsed="false">
      <c r="A98" s="21" t="s">
        <v>30</v>
      </c>
      <c r="B98" s="43" t="s">
        <v>480</v>
      </c>
      <c r="C98" s="22"/>
      <c r="D98" s="22" t="n">
        <v>1</v>
      </c>
      <c r="E98" s="21" t="s">
        <v>100</v>
      </c>
      <c r="F98" s="43" t="s">
        <v>246</v>
      </c>
      <c r="G98" s="68" t="n">
        <v>0.428571428571429</v>
      </c>
      <c r="H98" s="22" t="s">
        <v>599</v>
      </c>
    </row>
    <row r="99" customFormat="false" ht="15" hidden="false" customHeight="false" outlineLevel="0" collapsed="false">
      <c r="A99" s="21" t="s">
        <v>135</v>
      </c>
      <c r="B99" s="43" t="s">
        <v>407</v>
      </c>
      <c r="C99" s="22"/>
      <c r="D99" s="22" t="n">
        <v>1</v>
      </c>
      <c r="E99" s="21" t="s">
        <v>99</v>
      </c>
      <c r="F99" s="43" t="s">
        <v>213</v>
      </c>
      <c r="G99" s="68" t="n">
        <v>0.428571428571429</v>
      </c>
      <c r="H99" s="22" t="s">
        <v>599</v>
      </c>
    </row>
    <row r="100" customFormat="false" ht="15" hidden="false" customHeight="false" outlineLevel="0" collapsed="false">
      <c r="A100" s="21" t="s">
        <v>46</v>
      </c>
      <c r="B100" s="43" t="s">
        <v>580</v>
      </c>
      <c r="C100" s="22"/>
      <c r="D100" s="22" t="n">
        <v>1</v>
      </c>
      <c r="E100" s="21" t="s">
        <v>100</v>
      </c>
      <c r="F100" s="43" t="s">
        <v>244</v>
      </c>
      <c r="G100" s="68" t="n">
        <v>0.428571428571429</v>
      </c>
      <c r="H100" s="22" t="s">
        <v>599</v>
      </c>
    </row>
    <row r="101" customFormat="false" ht="15" hidden="false" customHeight="false" outlineLevel="0" collapsed="false">
      <c r="A101" s="21" t="s">
        <v>35</v>
      </c>
      <c r="B101" s="43" t="s">
        <v>432</v>
      </c>
      <c r="C101" s="22"/>
      <c r="D101" s="22" t="n">
        <v>1</v>
      </c>
      <c r="E101" s="21" t="s">
        <v>98</v>
      </c>
      <c r="F101" s="43" t="s">
        <v>173</v>
      </c>
      <c r="G101" s="68" t="n">
        <v>0.425531914893617</v>
      </c>
      <c r="H101" s="22" t="s">
        <v>599</v>
      </c>
    </row>
    <row r="102" customFormat="false" ht="15" hidden="false" customHeight="false" outlineLevel="0" collapsed="false">
      <c r="A102" s="21" t="s">
        <v>30</v>
      </c>
      <c r="B102" s="43" t="s">
        <v>484</v>
      </c>
      <c r="C102" s="22"/>
      <c r="D102" s="22" t="n">
        <v>1</v>
      </c>
      <c r="E102" s="21" t="s">
        <v>100</v>
      </c>
      <c r="F102" s="43" t="s">
        <v>262</v>
      </c>
      <c r="G102" s="68" t="n">
        <v>0.421052631578947</v>
      </c>
      <c r="H102" s="22" t="s">
        <v>599</v>
      </c>
    </row>
    <row r="103" customFormat="false" ht="15" hidden="false" customHeight="false" outlineLevel="0" collapsed="false">
      <c r="A103" s="21" t="s">
        <v>35</v>
      </c>
      <c r="B103" s="43" t="s">
        <v>442</v>
      </c>
      <c r="C103" s="22"/>
      <c r="D103" s="22" t="n">
        <v>1</v>
      </c>
      <c r="E103" s="21" t="s">
        <v>100</v>
      </c>
      <c r="F103" s="43" t="s">
        <v>247</v>
      </c>
      <c r="G103" s="68" t="n">
        <v>0.413793103448276</v>
      </c>
      <c r="H103" s="22" t="s">
        <v>599</v>
      </c>
    </row>
    <row r="104" customFormat="false" ht="15" hidden="false" customHeight="false" outlineLevel="0" collapsed="false">
      <c r="A104" s="21" t="s">
        <v>131</v>
      </c>
      <c r="B104" s="43" t="s">
        <v>454</v>
      </c>
      <c r="C104" s="22"/>
      <c r="D104" s="22" t="n">
        <v>1</v>
      </c>
      <c r="E104" s="21" t="s">
        <v>99</v>
      </c>
      <c r="F104" s="43" t="s">
        <v>219</v>
      </c>
      <c r="G104" s="68" t="n">
        <v>0.4</v>
      </c>
      <c r="H104" s="22" t="s">
        <v>599</v>
      </c>
    </row>
    <row r="105" customFormat="false" ht="15" hidden="false" customHeight="false" outlineLevel="0" collapsed="false">
      <c r="A105" s="21" t="s">
        <v>600</v>
      </c>
      <c r="B105" s="43" t="s">
        <v>369</v>
      </c>
      <c r="C105" s="22" t="s">
        <v>601</v>
      </c>
      <c r="D105" s="22" t="n">
        <v>2</v>
      </c>
      <c r="E105" s="21" t="s">
        <v>99</v>
      </c>
      <c r="F105" s="43" t="s">
        <v>236</v>
      </c>
      <c r="G105" s="68" t="n">
        <v>0.4</v>
      </c>
      <c r="H105" s="22" t="s">
        <v>599</v>
      </c>
    </row>
    <row r="106" customFormat="false" ht="15" hidden="false" customHeight="false" outlineLevel="0" collapsed="false">
      <c r="A106" s="21" t="s">
        <v>135</v>
      </c>
      <c r="B106" s="43" t="s">
        <v>383</v>
      </c>
      <c r="C106" s="22" t="s">
        <v>601</v>
      </c>
      <c r="D106" s="22" t="n">
        <v>1</v>
      </c>
      <c r="E106" s="21" t="s">
        <v>97</v>
      </c>
      <c r="F106" s="43" t="s">
        <v>149</v>
      </c>
      <c r="G106" s="68" t="n">
        <v>0.4</v>
      </c>
      <c r="H106" s="22" t="s">
        <v>599</v>
      </c>
    </row>
    <row r="107" customFormat="false" ht="15" hidden="false" customHeight="false" outlineLevel="0" collapsed="false">
      <c r="A107" s="21" t="s">
        <v>600</v>
      </c>
      <c r="B107" s="43" t="s">
        <v>373</v>
      </c>
      <c r="C107" s="22" t="s">
        <v>601</v>
      </c>
      <c r="D107" s="22" t="n">
        <v>2</v>
      </c>
      <c r="E107" s="21" t="s">
        <v>100</v>
      </c>
      <c r="F107" s="43" t="s">
        <v>258</v>
      </c>
      <c r="G107" s="68" t="n">
        <v>0.4</v>
      </c>
      <c r="H107" s="22" t="s">
        <v>599</v>
      </c>
    </row>
    <row r="108" customFormat="false" ht="15" hidden="false" customHeight="false" outlineLevel="0" collapsed="false">
      <c r="A108" s="21" t="s">
        <v>43</v>
      </c>
      <c r="B108" s="43" t="s">
        <v>545</v>
      </c>
      <c r="C108" s="22"/>
      <c r="D108" s="22" t="n">
        <v>1</v>
      </c>
      <c r="E108" s="21" t="s">
        <v>99</v>
      </c>
      <c r="F108" s="43" t="s">
        <v>221</v>
      </c>
      <c r="G108" s="68" t="n">
        <v>0.4</v>
      </c>
      <c r="H108" s="22" t="s">
        <v>599</v>
      </c>
    </row>
    <row r="109" customFormat="false" ht="15" hidden="false" customHeight="false" outlineLevel="0" collapsed="false">
      <c r="A109" s="21" t="s">
        <v>604</v>
      </c>
      <c r="B109" s="43" t="s">
        <v>418</v>
      </c>
      <c r="C109" s="22"/>
      <c r="D109" s="22" t="n">
        <v>2</v>
      </c>
      <c r="E109" s="21" t="s">
        <v>98</v>
      </c>
      <c r="F109" s="43" t="s">
        <v>172</v>
      </c>
      <c r="G109" s="68" t="n">
        <v>0.392857142857143</v>
      </c>
      <c r="H109" s="22" t="s">
        <v>599</v>
      </c>
    </row>
    <row r="110" customFormat="false" ht="15" hidden="false" customHeight="false" outlineLevel="0" collapsed="false">
      <c r="A110" s="21" t="s">
        <v>604</v>
      </c>
      <c r="B110" s="43" t="s">
        <v>422</v>
      </c>
      <c r="C110" s="22"/>
      <c r="D110" s="22" t="n">
        <v>2</v>
      </c>
      <c r="E110" s="21" t="s">
        <v>47</v>
      </c>
      <c r="F110" s="43" t="s">
        <v>315</v>
      </c>
      <c r="G110" s="68" t="n">
        <v>0.391304347826087</v>
      </c>
      <c r="H110" s="22" t="s">
        <v>599</v>
      </c>
    </row>
    <row r="111" customFormat="false" ht="15" hidden="false" customHeight="false" outlineLevel="0" collapsed="false">
      <c r="A111" s="21" t="s">
        <v>36</v>
      </c>
      <c r="B111" s="43" t="s">
        <v>522</v>
      </c>
      <c r="C111" s="22"/>
      <c r="D111" s="22" t="n">
        <v>1</v>
      </c>
      <c r="E111" s="21" t="s">
        <v>100</v>
      </c>
      <c r="F111" s="43" t="s">
        <v>264</v>
      </c>
      <c r="G111" s="68" t="n">
        <v>0.387096774193548</v>
      </c>
      <c r="H111" s="22" t="s">
        <v>599</v>
      </c>
    </row>
    <row r="112" customFormat="false" ht="15" hidden="false" customHeight="false" outlineLevel="0" collapsed="false">
      <c r="A112" s="21" t="s">
        <v>604</v>
      </c>
      <c r="B112" s="43" t="s">
        <v>424</v>
      </c>
      <c r="C112" s="22"/>
      <c r="D112" s="22" t="n">
        <v>2</v>
      </c>
      <c r="E112" s="21" t="s">
        <v>47</v>
      </c>
      <c r="F112" s="43" t="s">
        <v>333</v>
      </c>
      <c r="G112" s="68" t="n">
        <v>0.385964912280702</v>
      </c>
      <c r="H112" s="22" t="s">
        <v>599</v>
      </c>
    </row>
    <row r="113" customFormat="false" ht="15" hidden="false" customHeight="false" outlineLevel="0" collapsed="false">
      <c r="A113" s="21" t="s">
        <v>35</v>
      </c>
      <c r="B113" s="43" t="s">
        <v>444</v>
      </c>
      <c r="C113" s="22"/>
      <c r="D113" s="22" t="n">
        <v>1</v>
      </c>
      <c r="E113" s="21" t="s">
        <v>100</v>
      </c>
      <c r="F113" s="43" t="s">
        <v>247</v>
      </c>
      <c r="G113" s="68" t="n">
        <v>0.379310344827586</v>
      </c>
      <c r="H113" s="22" t="s">
        <v>599</v>
      </c>
    </row>
    <row r="114" customFormat="false" ht="15" hidden="false" customHeight="false" outlineLevel="0" collapsed="false">
      <c r="A114" s="21" t="s">
        <v>40</v>
      </c>
      <c r="B114" s="43" t="s">
        <v>398</v>
      </c>
      <c r="C114" s="22"/>
      <c r="D114" s="22" t="n">
        <v>1</v>
      </c>
      <c r="E114" s="21" t="s">
        <v>99</v>
      </c>
      <c r="F114" s="43" t="s">
        <v>206</v>
      </c>
      <c r="G114" s="68" t="n">
        <v>0.375</v>
      </c>
      <c r="H114" s="22" t="s">
        <v>599</v>
      </c>
    </row>
    <row r="115" customFormat="false" ht="15" hidden="false" customHeight="false" outlineLevel="0" collapsed="false">
      <c r="A115" s="21" t="s">
        <v>43</v>
      </c>
      <c r="B115" s="43" t="s">
        <v>389</v>
      </c>
      <c r="C115" s="22" t="s">
        <v>601</v>
      </c>
      <c r="D115" s="22" t="n">
        <v>1</v>
      </c>
      <c r="E115" s="21" t="s">
        <v>97</v>
      </c>
      <c r="F115" s="43" t="s">
        <v>165</v>
      </c>
      <c r="G115" s="68" t="n">
        <v>0.372093023255814</v>
      </c>
      <c r="H115" s="22" t="s">
        <v>599</v>
      </c>
    </row>
    <row r="116" customFormat="false" ht="15" hidden="false" customHeight="false" outlineLevel="0" collapsed="false">
      <c r="A116" s="21" t="s">
        <v>604</v>
      </c>
      <c r="B116" s="43" t="s">
        <v>416</v>
      </c>
      <c r="C116" s="22"/>
      <c r="D116" s="22" t="n">
        <v>2</v>
      </c>
      <c r="E116" s="21" t="s">
        <v>99</v>
      </c>
      <c r="F116" s="43" t="s">
        <v>213</v>
      </c>
      <c r="G116" s="68" t="n">
        <v>0.372093023255814</v>
      </c>
      <c r="H116" s="22" t="s">
        <v>599</v>
      </c>
    </row>
    <row r="117" customFormat="false" ht="15" hidden="false" customHeight="false" outlineLevel="0" collapsed="false">
      <c r="A117" s="21" t="s">
        <v>604</v>
      </c>
      <c r="B117" s="43" t="s">
        <v>420</v>
      </c>
      <c r="C117" s="22"/>
      <c r="D117" s="22" t="n">
        <v>2</v>
      </c>
      <c r="E117" s="21" t="s">
        <v>99</v>
      </c>
      <c r="F117" s="43" t="s">
        <v>231</v>
      </c>
      <c r="G117" s="68" t="n">
        <v>0.372093023255814</v>
      </c>
      <c r="H117" s="22" t="s">
        <v>599</v>
      </c>
    </row>
    <row r="118" customFormat="false" ht="15" hidden="false" customHeight="false" outlineLevel="0" collapsed="false">
      <c r="A118" s="21" t="s">
        <v>40</v>
      </c>
      <c r="B118" s="43" t="s">
        <v>391</v>
      </c>
      <c r="C118" s="22"/>
      <c r="D118" s="22" t="n">
        <v>1</v>
      </c>
      <c r="E118" s="21" t="s">
        <v>98</v>
      </c>
      <c r="F118" s="43" t="s">
        <v>182</v>
      </c>
      <c r="G118" s="68" t="n">
        <v>0.36734693877551</v>
      </c>
      <c r="H118" s="22" t="s">
        <v>599</v>
      </c>
    </row>
    <row r="119" customFormat="false" ht="15" hidden="false" customHeight="false" outlineLevel="0" collapsed="false">
      <c r="A119" s="21" t="s">
        <v>35</v>
      </c>
      <c r="B119" s="43" t="s">
        <v>430</v>
      </c>
      <c r="C119" s="22"/>
      <c r="D119" s="22" t="n">
        <v>1</v>
      </c>
      <c r="E119" s="21" t="s">
        <v>99</v>
      </c>
      <c r="F119" s="43" t="s">
        <v>222</v>
      </c>
      <c r="G119" s="68" t="n">
        <v>0.36734693877551</v>
      </c>
      <c r="H119" s="22" t="s">
        <v>599</v>
      </c>
    </row>
    <row r="120" customFormat="false" ht="15" hidden="false" customHeight="false" outlineLevel="0" collapsed="false">
      <c r="A120" s="21" t="s">
        <v>604</v>
      </c>
      <c r="B120" s="43" t="s">
        <v>413</v>
      </c>
      <c r="C120" s="22"/>
      <c r="D120" s="22" t="n">
        <v>2</v>
      </c>
      <c r="E120" s="21" t="s">
        <v>47</v>
      </c>
      <c r="F120" s="43" t="s">
        <v>308</v>
      </c>
      <c r="G120" s="68" t="n">
        <v>0.347826086956522</v>
      </c>
      <c r="H120" s="22" t="s">
        <v>599</v>
      </c>
    </row>
    <row r="121" customFormat="false" ht="15" hidden="false" customHeight="false" outlineLevel="0" collapsed="false">
      <c r="A121" s="21" t="s">
        <v>604</v>
      </c>
      <c r="B121" s="43" t="s">
        <v>415</v>
      </c>
      <c r="C121" s="22"/>
      <c r="D121" s="22" t="n">
        <v>2</v>
      </c>
      <c r="E121" s="21" t="s">
        <v>47</v>
      </c>
      <c r="F121" s="43" t="s">
        <v>308</v>
      </c>
      <c r="G121" s="68" t="n">
        <v>0.347826086956522</v>
      </c>
      <c r="H121" s="22" t="s">
        <v>599</v>
      </c>
    </row>
    <row r="122" customFormat="false" ht="15" hidden="false" customHeight="false" outlineLevel="0" collapsed="false">
      <c r="A122" s="21" t="s">
        <v>134</v>
      </c>
      <c r="B122" s="43" t="s">
        <v>568</v>
      </c>
      <c r="C122" s="22"/>
      <c r="D122" s="22" t="n">
        <v>1</v>
      </c>
      <c r="E122" s="21" t="s">
        <v>97</v>
      </c>
      <c r="F122" s="43" t="s">
        <v>165</v>
      </c>
      <c r="G122" s="68" t="n">
        <v>0.316666666666667</v>
      </c>
      <c r="H122" s="22" t="s">
        <v>599</v>
      </c>
    </row>
    <row r="123" customFormat="false" ht="15" hidden="false" customHeight="false" outlineLevel="0" collapsed="false">
      <c r="A123" s="21" t="s">
        <v>134</v>
      </c>
      <c r="B123" s="43" t="s">
        <v>570</v>
      </c>
      <c r="C123" s="22"/>
      <c r="D123" s="22" t="n">
        <v>1</v>
      </c>
      <c r="E123" s="21" t="s">
        <v>97</v>
      </c>
      <c r="F123" s="43" t="s">
        <v>165</v>
      </c>
      <c r="G123" s="68" t="n">
        <v>0.316666666666667</v>
      </c>
      <c r="H123" s="22" t="s">
        <v>599</v>
      </c>
    </row>
    <row r="124" customFormat="false" ht="15" hidden="false" customHeight="false" outlineLevel="0" collapsed="false">
      <c r="A124" s="21" t="s">
        <v>134</v>
      </c>
      <c r="B124" s="43" t="s">
        <v>571</v>
      </c>
      <c r="C124" s="22"/>
      <c r="D124" s="22" t="n">
        <v>1</v>
      </c>
      <c r="E124" s="21" t="s">
        <v>97</v>
      </c>
      <c r="F124" s="43" t="s">
        <v>165</v>
      </c>
      <c r="G124" s="68" t="n">
        <v>0.316666666666667</v>
      </c>
      <c r="H124" s="22" t="s">
        <v>599</v>
      </c>
    </row>
    <row r="125" customFormat="false" ht="15" hidden="false" customHeight="false" outlineLevel="0" collapsed="false">
      <c r="A125" s="21" t="s">
        <v>134</v>
      </c>
      <c r="B125" s="43" t="s">
        <v>573</v>
      </c>
      <c r="C125" s="22"/>
      <c r="D125" s="22" t="n">
        <v>1</v>
      </c>
      <c r="E125" s="21" t="s">
        <v>97</v>
      </c>
      <c r="F125" s="43" t="s">
        <v>165</v>
      </c>
      <c r="G125" s="68" t="n">
        <v>0.316666666666667</v>
      </c>
      <c r="H125" s="22" t="s">
        <v>599</v>
      </c>
    </row>
    <row r="126" customFormat="false" ht="15" hidden="false" customHeight="false" outlineLevel="0" collapsed="false">
      <c r="A126" s="21" t="s">
        <v>134</v>
      </c>
      <c r="B126" s="43" t="s">
        <v>572</v>
      </c>
      <c r="C126" s="22"/>
      <c r="D126" s="22" t="n">
        <v>1</v>
      </c>
      <c r="E126" s="21" t="s">
        <v>97</v>
      </c>
      <c r="F126" s="43" t="s">
        <v>165</v>
      </c>
      <c r="G126" s="68" t="n">
        <v>0.316666666666667</v>
      </c>
      <c r="H126" s="22" t="s">
        <v>599</v>
      </c>
    </row>
    <row r="127" customFormat="false" ht="15" hidden="false" customHeight="false" outlineLevel="0" collapsed="false">
      <c r="A127" s="21" t="s">
        <v>134</v>
      </c>
      <c r="B127" s="43" t="s">
        <v>574</v>
      </c>
      <c r="C127" s="22"/>
      <c r="D127" s="22" t="n">
        <v>1</v>
      </c>
      <c r="E127" s="21" t="s">
        <v>97</v>
      </c>
      <c r="F127" s="43" t="s">
        <v>165</v>
      </c>
      <c r="G127" s="68" t="n">
        <v>0.316666666666667</v>
      </c>
      <c r="H127" s="22" t="s">
        <v>599</v>
      </c>
    </row>
    <row r="128" customFormat="false" ht="15" hidden="false" customHeight="false" outlineLevel="0" collapsed="false">
      <c r="A128" s="21" t="s">
        <v>133</v>
      </c>
      <c r="B128" s="43" t="s">
        <v>605</v>
      </c>
      <c r="C128" s="22"/>
      <c r="D128" s="22" t="n">
        <v>1</v>
      </c>
      <c r="E128" s="21" t="s">
        <v>98</v>
      </c>
      <c r="F128" s="43" t="s">
        <v>191</v>
      </c>
      <c r="G128" s="68" t="n">
        <v>0.865671641791045</v>
      </c>
      <c r="H128" s="22" t="s">
        <v>142</v>
      </c>
    </row>
    <row r="129" customFormat="false" ht="15" hidden="false" customHeight="false" outlineLevel="0" collapsed="false">
      <c r="A129" s="21" t="s">
        <v>30</v>
      </c>
      <c r="B129" s="43" t="s">
        <v>606</v>
      </c>
      <c r="C129" s="22"/>
      <c r="D129" s="22" t="n">
        <v>1</v>
      </c>
      <c r="E129" s="21" t="s">
        <v>100</v>
      </c>
      <c r="F129" s="43" t="s">
        <v>239</v>
      </c>
      <c r="G129" s="68" t="n">
        <v>0.857142857142857</v>
      </c>
      <c r="H129" s="22" t="s">
        <v>142</v>
      </c>
    </row>
    <row r="130" customFormat="false" ht="15" hidden="false" customHeight="false" outlineLevel="0" collapsed="false">
      <c r="A130" s="21" t="s">
        <v>137</v>
      </c>
      <c r="B130" s="43" t="s">
        <v>607</v>
      </c>
      <c r="C130" s="22"/>
      <c r="D130" s="22" t="n">
        <v>1</v>
      </c>
      <c r="E130" s="21" t="s">
        <v>100</v>
      </c>
      <c r="F130" s="43" t="s">
        <v>263</v>
      </c>
      <c r="G130" s="68" t="n">
        <v>0.848484848484849</v>
      </c>
      <c r="H130" s="22" t="s">
        <v>142</v>
      </c>
    </row>
    <row r="131" customFormat="false" ht="15" hidden="false" customHeight="false" outlineLevel="0" collapsed="false">
      <c r="A131" s="21" t="s">
        <v>49</v>
      </c>
      <c r="B131" s="43" t="s">
        <v>608</v>
      </c>
      <c r="C131" s="22"/>
      <c r="D131" s="22" t="n">
        <v>1</v>
      </c>
      <c r="E131" s="21" t="s">
        <v>47</v>
      </c>
      <c r="F131" s="43" t="s">
        <v>290</v>
      </c>
      <c r="G131" s="68" t="n">
        <v>0.782608695652174</v>
      </c>
      <c r="H131" s="22" t="s">
        <v>142</v>
      </c>
    </row>
    <row r="132" customFormat="false" ht="15" hidden="false" customHeight="false" outlineLevel="0" collapsed="false">
      <c r="A132" s="21" t="s">
        <v>135</v>
      </c>
      <c r="B132" s="43" t="s">
        <v>609</v>
      </c>
      <c r="C132" s="22"/>
      <c r="D132" s="22" t="n">
        <v>1</v>
      </c>
      <c r="E132" s="21" t="s">
        <v>97</v>
      </c>
      <c r="F132" s="43" t="s">
        <v>157</v>
      </c>
      <c r="G132" s="68" t="n">
        <v>0.769230769230769</v>
      </c>
      <c r="H132" s="22" t="s">
        <v>142</v>
      </c>
    </row>
    <row r="133" customFormat="false" ht="15" hidden="false" customHeight="false" outlineLevel="0" collapsed="false">
      <c r="A133" s="21" t="s">
        <v>133</v>
      </c>
      <c r="B133" s="43" t="s">
        <v>610</v>
      </c>
      <c r="C133" s="22"/>
      <c r="D133" s="22" t="n">
        <v>1</v>
      </c>
      <c r="E133" s="21" t="s">
        <v>99</v>
      </c>
      <c r="F133" s="43" t="s">
        <v>233</v>
      </c>
      <c r="G133" s="68" t="n">
        <v>0.75</v>
      </c>
      <c r="H133" s="22" t="s">
        <v>142</v>
      </c>
    </row>
    <row r="134" customFormat="false" ht="15" hidden="false" customHeight="false" outlineLevel="0" collapsed="false">
      <c r="A134" s="21" t="s">
        <v>611</v>
      </c>
      <c r="B134" s="43" t="s">
        <v>612</v>
      </c>
      <c r="C134" s="22" t="s">
        <v>603</v>
      </c>
      <c r="D134" s="22" t="n">
        <v>2</v>
      </c>
      <c r="E134" s="21" t="s">
        <v>99</v>
      </c>
      <c r="F134" s="43" t="s">
        <v>214</v>
      </c>
      <c r="G134" s="68" t="n">
        <v>0.723404255319149</v>
      </c>
      <c r="H134" s="22" t="s">
        <v>142</v>
      </c>
    </row>
    <row r="135" customFormat="false" ht="15" hidden="false" customHeight="false" outlineLevel="0" collapsed="false">
      <c r="A135" s="21" t="s">
        <v>133</v>
      </c>
      <c r="B135" s="43" t="s">
        <v>613</v>
      </c>
      <c r="C135" s="22"/>
      <c r="D135" s="22" t="n">
        <v>1</v>
      </c>
      <c r="E135" s="21" t="s">
        <v>98</v>
      </c>
      <c r="F135" s="43" t="s">
        <v>184</v>
      </c>
      <c r="G135" s="68" t="n">
        <v>0.71875</v>
      </c>
      <c r="H135" s="22" t="s">
        <v>142</v>
      </c>
    </row>
    <row r="136" customFormat="false" ht="15" hidden="false" customHeight="false" outlineLevel="0" collapsed="false">
      <c r="A136" s="21" t="s">
        <v>131</v>
      </c>
      <c r="B136" s="43" t="s">
        <v>614</v>
      </c>
      <c r="C136" s="22"/>
      <c r="D136" s="22" t="n">
        <v>1</v>
      </c>
      <c r="E136" s="21" t="s">
        <v>98</v>
      </c>
      <c r="F136" s="43" t="s">
        <v>189</v>
      </c>
      <c r="G136" s="68" t="n">
        <v>0.717948717948718</v>
      </c>
      <c r="H136" s="22" t="s">
        <v>142</v>
      </c>
    </row>
    <row r="137" customFormat="false" ht="15" hidden="false" customHeight="false" outlineLevel="0" collapsed="false">
      <c r="A137" s="21" t="s">
        <v>131</v>
      </c>
      <c r="B137" s="43" t="s">
        <v>615</v>
      </c>
      <c r="C137" s="22"/>
      <c r="D137" s="22" t="n">
        <v>1</v>
      </c>
      <c r="E137" s="21" t="s">
        <v>99</v>
      </c>
      <c r="F137" s="43" t="s">
        <v>216</v>
      </c>
      <c r="G137" s="68" t="n">
        <v>0.709677419354839</v>
      </c>
      <c r="H137" s="22" t="s">
        <v>142</v>
      </c>
    </row>
    <row r="138" customFormat="false" ht="15" hidden="false" customHeight="false" outlineLevel="0" collapsed="false">
      <c r="A138" s="21" t="s">
        <v>30</v>
      </c>
      <c r="B138" s="43" t="s">
        <v>616</v>
      </c>
      <c r="C138" s="22"/>
      <c r="D138" s="22" t="n">
        <v>1</v>
      </c>
      <c r="E138" s="21" t="s">
        <v>100</v>
      </c>
      <c r="F138" s="43" t="s">
        <v>245</v>
      </c>
      <c r="G138" s="68" t="n">
        <v>0.705882352941177</v>
      </c>
      <c r="H138" s="22" t="s">
        <v>142</v>
      </c>
    </row>
    <row r="139" customFormat="false" ht="15" hidden="false" customHeight="false" outlineLevel="0" collapsed="false">
      <c r="A139" s="21" t="s">
        <v>30</v>
      </c>
      <c r="B139" s="43" t="s">
        <v>617</v>
      </c>
      <c r="C139" s="22"/>
      <c r="D139" s="22" t="n">
        <v>1</v>
      </c>
      <c r="E139" s="21" t="s">
        <v>100</v>
      </c>
      <c r="F139" s="43" t="s">
        <v>242</v>
      </c>
      <c r="G139" s="68" t="n">
        <v>0.705882352941177</v>
      </c>
      <c r="H139" s="22" t="s">
        <v>142</v>
      </c>
    </row>
    <row r="140" customFormat="false" ht="15" hidden="false" customHeight="false" outlineLevel="0" collapsed="false">
      <c r="A140" s="21" t="s">
        <v>30</v>
      </c>
      <c r="B140" s="43" t="s">
        <v>618</v>
      </c>
      <c r="C140" s="22"/>
      <c r="D140" s="22" t="n">
        <v>1</v>
      </c>
      <c r="E140" s="21" t="s">
        <v>100</v>
      </c>
      <c r="F140" s="43" t="s">
        <v>242</v>
      </c>
      <c r="G140" s="68" t="n">
        <v>0.705882352941177</v>
      </c>
      <c r="H140" s="22" t="s">
        <v>142</v>
      </c>
    </row>
    <row r="141" customFormat="false" ht="15" hidden="false" customHeight="false" outlineLevel="0" collapsed="false">
      <c r="A141" s="21" t="s">
        <v>133</v>
      </c>
      <c r="B141" s="43" t="s">
        <v>619</v>
      </c>
      <c r="C141" s="22"/>
      <c r="D141" s="22" t="n">
        <v>1</v>
      </c>
      <c r="E141" s="21" t="s">
        <v>98</v>
      </c>
      <c r="F141" s="43" t="s">
        <v>185</v>
      </c>
      <c r="G141" s="68" t="n">
        <v>0.704225352112676</v>
      </c>
      <c r="H141" s="22" t="s">
        <v>142</v>
      </c>
    </row>
    <row r="142" customFormat="false" ht="15" hidden="false" customHeight="false" outlineLevel="0" collapsed="false">
      <c r="A142" s="21" t="s">
        <v>30</v>
      </c>
      <c r="B142" s="43" t="s">
        <v>620</v>
      </c>
      <c r="C142" s="22"/>
      <c r="D142" s="22" t="n">
        <v>1</v>
      </c>
      <c r="E142" s="21" t="s">
        <v>100</v>
      </c>
      <c r="F142" s="43" t="s">
        <v>246</v>
      </c>
      <c r="G142" s="68" t="n">
        <v>0.666666666666667</v>
      </c>
      <c r="H142" s="22" t="s">
        <v>142</v>
      </c>
    </row>
    <row r="143" customFormat="false" ht="15" hidden="false" customHeight="false" outlineLevel="0" collapsed="false">
      <c r="A143" s="21" t="s">
        <v>30</v>
      </c>
      <c r="B143" s="43" t="s">
        <v>621</v>
      </c>
      <c r="C143" s="22"/>
      <c r="D143" s="22" t="n">
        <v>1</v>
      </c>
      <c r="E143" s="21" t="s">
        <v>100</v>
      </c>
      <c r="F143" s="43" t="s">
        <v>239</v>
      </c>
      <c r="G143" s="68" t="n">
        <v>0.666666666666667</v>
      </c>
      <c r="H143" s="22" t="s">
        <v>142</v>
      </c>
    </row>
    <row r="144" customFormat="false" ht="15" hidden="false" customHeight="false" outlineLevel="0" collapsed="false">
      <c r="A144" s="21" t="s">
        <v>131</v>
      </c>
      <c r="B144" s="43" t="s">
        <v>622</v>
      </c>
      <c r="C144" s="22"/>
      <c r="D144" s="22" t="n">
        <v>1</v>
      </c>
      <c r="E144" s="21" t="s">
        <v>47</v>
      </c>
      <c r="F144" s="43" t="s">
        <v>326</v>
      </c>
      <c r="G144" s="68" t="n">
        <v>0.666666666666667</v>
      </c>
      <c r="H144" s="22" t="s">
        <v>142</v>
      </c>
    </row>
    <row r="145" customFormat="false" ht="15" hidden="false" customHeight="false" outlineLevel="0" collapsed="false">
      <c r="A145" s="21" t="s">
        <v>30</v>
      </c>
      <c r="B145" s="43" t="s">
        <v>623</v>
      </c>
      <c r="C145" s="22"/>
      <c r="D145" s="22" t="n">
        <v>1</v>
      </c>
      <c r="E145" s="21" t="s">
        <v>100</v>
      </c>
      <c r="F145" s="43" t="s">
        <v>239</v>
      </c>
      <c r="G145" s="68" t="n">
        <v>0.666666666666667</v>
      </c>
      <c r="H145" s="22" t="s">
        <v>142</v>
      </c>
    </row>
    <row r="146" customFormat="false" ht="15" hidden="false" customHeight="false" outlineLevel="0" collapsed="false">
      <c r="A146" s="21" t="s">
        <v>30</v>
      </c>
      <c r="B146" s="43" t="s">
        <v>624</v>
      </c>
      <c r="C146" s="22"/>
      <c r="D146" s="22" t="n">
        <v>1</v>
      </c>
      <c r="E146" s="21" t="s">
        <v>100</v>
      </c>
      <c r="F146" s="43" t="s">
        <v>259</v>
      </c>
      <c r="G146" s="68" t="n">
        <v>0.666666666666667</v>
      </c>
      <c r="H146" s="22" t="s">
        <v>142</v>
      </c>
    </row>
    <row r="147" customFormat="false" ht="15" hidden="false" customHeight="false" outlineLevel="0" collapsed="false">
      <c r="A147" s="21" t="s">
        <v>135</v>
      </c>
      <c r="B147" s="43" t="s">
        <v>625</v>
      </c>
      <c r="C147" s="22"/>
      <c r="D147" s="22" t="n">
        <v>1</v>
      </c>
      <c r="E147" s="21" t="s">
        <v>97</v>
      </c>
      <c r="F147" s="43" t="s">
        <v>157</v>
      </c>
      <c r="G147" s="68" t="n">
        <v>0.666666666666667</v>
      </c>
      <c r="H147" s="22" t="s">
        <v>142</v>
      </c>
    </row>
    <row r="148" customFormat="false" ht="15" hidden="false" customHeight="false" outlineLevel="0" collapsed="false">
      <c r="A148" s="21" t="s">
        <v>47</v>
      </c>
      <c r="B148" s="43" t="s">
        <v>626</v>
      </c>
      <c r="C148" s="22"/>
      <c r="D148" s="22" t="n">
        <v>1</v>
      </c>
      <c r="E148" s="21" t="s">
        <v>47</v>
      </c>
      <c r="F148" s="43" t="s">
        <v>326</v>
      </c>
      <c r="G148" s="68" t="n">
        <v>0.666666666666667</v>
      </c>
      <c r="H148" s="22" t="s">
        <v>142</v>
      </c>
    </row>
    <row r="149" customFormat="false" ht="15" hidden="false" customHeight="false" outlineLevel="0" collapsed="false">
      <c r="A149" s="21" t="s">
        <v>43</v>
      </c>
      <c r="B149" s="43" t="s">
        <v>627</v>
      </c>
      <c r="C149" s="22" t="s">
        <v>603</v>
      </c>
      <c r="D149" s="22" t="n">
        <v>1</v>
      </c>
      <c r="E149" s="21" t="s">
        <v>102</v>
      </c>
      <c r="F149" s="43" t="s">
        <v>344</v>
      </c>
      <c r="G149" s="68" t="n">
        <v>0.645161290322581</v>
      </c>
      <c r="H149" s="22" t="s">
        <v>142</v>
      </c>
    </row>
    <row r="150" customFormat="false" ht="15" hidden="false" customHeight="false" outlineLevel="0" collapsed="false">
      <c r="A150" s="21" t="s">
        <v>135</v>
      </c>
      <c r="B150" s="43" t="s">
        <v>628</v>
      </c>
      <c r="C150" s="22"/>
      <c r="D150" s="22" t="n">
        <v>1</v>
      </c>
      <c r="E150" s="21" t="s">
        <v>97</v>
      </c>
      <c r="F150" s="43" t="s">
        <v>157</v>
      </c>
      <c r="G150" s="68" t="n">
        <v>0.64</v>
      </c>
      <c r="H150" s="22" t="s">
        <v>142</v>
      </c>
    </row>
    <row r="151" customFormat="false" ht="15" hidden="false" customHeight="false" outlineLevel="0" collapsed="false">
      <c r="A151" s="21" t="s">
        <v>134</v>
      </c>
      <c r="B151" s="43" t="s">
        <v>629</v>
      </c>
      <c r="C151" s="22"/>
      <c r="D151" s="22" t="n">
        <v>1</v>
      </c>
      <c r="E151" s="21" t="s">
        <v>97</v>
      </c>
      <c r="F151" s="43" t="s">
        <v>165</v>
      </c>
      <c r="G151" s="68" t="n">
        <v>0.633333333333333</v>
      </c>
      <c r="H151" s="22" t="s">
        <v>142</v>
      </c>
    </row>
    <row r="152" customFormat="false" ht="15" hidden="false" customHeight="false" outlineLevel="0" collapsed="false">
      <c r="A152" s="21" t="s">
        <v>134</v>
      </c>
      <c r="B152" s="43" t="s">
        <v>630</v>
      </c>
      <c r="C152" s="22"/>
      <c r="D152" s="22" t="n">
        <v>1</v>
      </c>
      <c r="E152" s="21" t="s">
        <v>97</v>
      </c>
      <c r="F152" s="43" t="s">
        <v>165</v>
      </c>
      <c r="G152" s="68" t="n">
        <v>0.633333333333333</v>
      </c>
      <c r="H152" s="22" t="s">
        <v>142</v>
      </c>
    </row>
    <row r="153" customFormat="false" ht="15" hidden="false" customHeight="false" outlineLevel="0" collapsed="false">
      <c r="A153" s="21" t="s">
        <v>133</v>
      </c>
      <c r="B153" s="43" t="s">
        <v>631</v>
      </c>
      <c r="C153" s="22"/>
      <c r="D153" s="22" t="n">
        <v>1</v>
      </c>
      <c r="E153" s="21" t="s">
        <v>98</v>
      </c>
      <c r="F153" s="43" t="s">
        <v>178</v>
      </c>
      <c r="G153" s="68" t="n">
        <v>0.633333333333333</v>
      </c>
      <c r="H153" s="22" t="s">
        <v>142</v>
      </c>
    </row>
    <row r="154" customFormat="false" ht="15" hidden="false" customHeight="false" outlineLevel="0" collapsed="false">
      <c r="A154" s="21" t="s">
        <v>131</v>
      </c>
      <c r="B154" s="43" t="s">
        <v>632</v>
      </c>
      <c r="C154" s="22"/>
      <c r="D154" s="22" t="n">
        <v>1</v>
      </c>
      <c r="E154" s="21" t="s">
        <v>47</v>
      </c>
      <c r="F154" s="43" t="s">
        <v>337</v>
      </c>
      <c r="G154" s="68" t="n">
        <v>0.628571428571429</v>
      </c>
      <c r="H154" s="22" t="s">
        <v>142</v>
      </c>
    </row>
    <row r="155" customFormat="false" ht="15" hidden="false" customHeight="false" outlineLevel="0" collapsed="false">
      <c r="A155" s="21" t="s">
        <v>600</v>
      </c>
      <c r="B155" s="43" t="s">
        <v>633</v>
      </c>
      <c r="C155" s="22" t="s">
        <v>601</v>
      </c>
      <c r="D155" s="22" t="n">
        <v>2</v>
      </c>
      <c r="E155" s="21" t="s">
        <v>99</v>
      </c>
      <c r="F155" s="43" t="s">
        <v>202</v>
      </c>
      <c r="G155" s="68" t="n">
        <v>0.625</v>
      </c>
      <c r="H155" s="22" t="s">
        <v>142</v>
      </c>
    </row>
    <row r="156" customFormat="false" ht="15" hidden="false" customHeight="false" outlineLevel="0" collapsed="false">
      <c r="A156" s="21" t="s">
        <v>30</v>
      </c>
      <c r="B156" s="43" t="s">
        <v>634</v>
      </c>
      <c r="C156" s="22"/>
      <c r="D156" s="22" t="n">
        <v>1</v>
      </c>
      <c r="E156" s="21" t="s">
        <v>100</v>
      </c>
      <c r="F156" s="43" t="s">
        <v>259</v>
      </c>
      <c r="G156" s="68" t="n">
        <v>0.625</v>
      </c>
      <c r="H156" s="22" t="s">
        <v>142</v>
      </c>
    </row>
    <row r="157" customFormat="false" ht="15" hidden="false" customHeight="false" outlineLevel="0" collapsed="false">
      <c r="A157" s="21" t="s">
        <v>137</v>
      </c>
      <c r="B157" s="43" t="s">
        <v>635</v>
      </c>
      <c r="C157" s="22"/>
      <c r="D157" s="22" t="n">
        <v>1</v>
      </c>
      <c r="E157" s="21" t="s">
        <v>100</v>
      </c>
      <c r="F157" s="43" t="s">
        <v>261</v>
      </c>
      <c r="G157" s="68" t="n">
        <v>0.625</v>
      </c>
      <c r="H157" s="22" t="s">
        <v>142</v>
      </c>
    </row>
    <row r="158" customFormat="false" ht="15" hidden="false" customHeight="false" outlineLevel="0" collapsed="false">
      <c r="A158" s="21" t="s">
        <v>600</v>
      </c>
      <c r="B158" s="43" t="s">
        <v>636</v>
      </c>
      <c r="C158" s="22" t="s">
        <v>601</v>
      </c>
      <c r="D158" s="22" t="n">
        <v>2</v>
      </c>
      <c r="E158" s="21" t="s">
        <v>43</v>
      </c>
      <c r="F158" s="43" t="s">
        <v>357</v>
      </c>
      <c r="G158" s="68" t="n">
        <v>0.625</v>
      </c>
      <c r="H158" s="22" t="s">
        <v>142</v>
      </c>
    </row>
    <row r="159" customFormat="false" ht="15" hidden="false" customHeight="false" outlineLevel="0" collapsed="false">
      <c r="A159" s="21" t="s">
        <v>47</v>
      </c>
      <c r="B159" s="43" t="s">
        <v>637</v>
      </c>
      <c r="C159" s="22"/>
      <c r="D159" s="22" t="n">
        <v>1</v>
      </c>
      <c r="E159" s="21" t="s">
        <v>99</v>
      </c>
      <c r="F159" s="43" t="s">
        <v>219</v>
      </c>
      <c r="G159" s="68" t="n">
        <v>0.615384615384615</v>
      </c>
      <c r="H159" s="22" t="s">
        <v>142</v>
      </c>
    </row>
    <row r="160" customFormat="false" ht="15" hidden="false" customHeight="false" outlineLevel="0" collapsed="false">
      <c r="A160" s="21" t="s">
        <v>43</v>
      </c>
      <c r="B160" s="43" t="s">
        <v>638</v>
      </c>
      <c r="C160" s="22"/>
      <c r="D160" s="22" t="n">
        <v>1</v>
      </c>
      <c r="E160" s="21" t="s">
        <v>43</v>
      </c>
      <c r="F160" s="43" t="s">
        <v>341</v>
      </c>
      <c r="G160" s="68" t="n">
        <v>0.608695652173913</v>
      </c>
      <c r="H160" s="22" t="s">
        <v>142</v>
      </c>
    </row>
    <row r="161" customFormat="false" ht="15" hidden="false" customHeight="false" outlineLevel="0" collapsed="false">
      <c r="A161" s="21" t="s">
        <v>133</v>
      </c>
      <c r="B161" s="43" t="s">
        <v>639</v>
      </c>
      <c r="C161" s="22"/>
      <c r="D161" s="22" t="n">
        <v>1</v>
      </c>
      <c r="E161" s="21" t="s">
        <v>99</v>
      </c>
      <c r="F161" s="43" t="s">
        <v>214</v>
      </c>
      <c r="G161" s="68" t="n">
        <v>0.608695652173913</v>
      </c>
      <c r="H161" s="22" t="s">
        <v>142</v>
      </c>
    </row>
    <row r="162" customFormat="false" ht="15" hidden="false" customHeight="false" outlineLevel="0" collapsed="false">
      <c r="A162" s="21" t="s">
        <v>47</v>
      </c>
      <c r="B162" s="43" t="s">
        <v>640</v>
      </c>
      <c r="C162" s="22"/>
      <c r="D162" s="22" t="n">
        <v>1</v>
      </c>
      <c r="E162" s="21" t="s">
        <v>47</v>
      </c>
      <c r="F162" s="43" t="s">
        <v>312</v>
      </c>
      <c r="G162" s="68" t="n">
        <v>0.6</v>
      </c>
      <c r="H162" s="22" t="s">
        <v>142</v>
      </c>
    </row>
    <row r="163" customFormat="false" ht="15" hidden="false" customHeight="false" outlineLevel="0" collapsed="false">
      <c r="A163" s="21" t="s">
        <v>132</v>
      </c>
      <c r="B163" s="43" t="s">
        <v>641</v>
      </c>
      <c r="C163" s="22"/>
      <c r="D163" s="22" t="n">
        <v>1</v>
      </c>
      <c r="E163" s="21" t="s">
        <v>47</v>
      </c>
      <c r="F163" s="43" t="s">
        <v>273</v>
      </c>
      <c r="G163" s="68" t="n">
        <v>0.97</v>
      </c>
      <c r="H163" s="22" t="s">
        <v>642</v>
      </c>
    </row>
    <row r="164" customFormat="false" ht="15" hidden="false" customHeight="false" outlineLevel="0" collapsed="false">
      <c r="A164" s="21" t="s">
        <v>132</v>
      </c>
      <c r="B164" s="43" t="s">
        <v>643</v>
      </c>
      <c r="C164" s="22"/>
      <c r="D164" s="22" t="n">
        <v>1</v>
      </c>
      <c r="E164" s="21" t="s">
        <v>98</v>
      </c>
      <c r="F164" s="43" t="s">
        <v>189</v>
      </c>
      <c r="G164" s="68" t="n">
        <v>0.97</v>
      </c>
      <c r="H164" s="22" t="s">
        <v>642</v>
      </c>
    </row>
    <row r="165" customFormat="false" ht="15" hidden="false" customHeight="false" outlineLevel="0" collapsed="false">
      <c r="A165" s="21" t="s">
        <v>132</v>
      </c>
      <c r="B165" s="43" t="s">
        <v>644</v>
      </c>
      <c r="C165" s="22"/>
      <c r="D165" s="22" t="n">
        <v>1</v>
      </c>
      <c r="E165" s="21" t="s">
        <v>47</v>
      </c>
      <c r="F165" s="43" t="s">
        <v>273</v>
      </c>
      <c r="G165" s="68" t="n">
        <v>0.97</v>
      </c>
      <c r="H165" s="22" t="s">
        <v>642</v>
      </c>
    </row>
    <row r="166" customFormat="false" ht="15" hidden="false" customHeight="false" outlineLevel="0" collapsed="false">
      <c r="A166" s="21" t="s">
        <v>132</v>
      </c>
      <c r="B166" s="43" t="s">
        <v>645</v>
      </c>
      <c r="C166" s="22"/>
      <c r="D166" s="22" t="n">
        <v>1</v>
      </c>
      <c r="E166" s="21" t="s">
        <v>47</v>
      </c>
      <c r="F166" s="43" t="s">
        <v>299</v>
      </c>
      <c r="G166" s="68" t="n">
        <v>0.97</v>
      </c>
      <c r="H166" s="22" t="s">
        <v>642</v>
      </c>
    </row>
    <row r="167" customFormat="false" ht="15" hidden="false" customHeight="false" outlineLevel="0" collapsed="false">
      <c r="A167" s="21" t="s">
        <v>132</v>
      </c>
      <c r="B167" s="43" t="s">
        <v>646</v>
      </c>
      <c r="C167" s="22"/>
      <c r="D167" s="22" t="n">
        <v>1</v>
      </c>
      <c r="E167" s="21" t="s">
        <v>43</v>
      </c>
      <c r="F167" s="43" t="s">
        <v>353</v>
      </c>
      <c r="G167" s="68" t="n">
        <v>0.97</v>
      </c>
      <c r="H167" s="22" t="s">
        <v>642</v>
      </c>
    </row>
    <row r="168" customFormat="false" ht="15" hidden="false" customHeight="false" outlineLevel="0" collapsed="false">
      <c r="A168" s="21" t="s">
        <v>132</v>
      </c>
      <c r="B168" s="43" t="s">
        <v>647</v>
      </c>
      <c r="C168" s="22"/>
      <c r="D168" s="22" t="n">
        <v>1</v>
      </c>
      <c r="E168" s="21" t="s">
        <v>43</v>
      </c>
      <c r="F168" s="43" t="s">
        <v>350</v>
      </c>
      <c r="G168" s="68" t="n">
        <v>0.97</v>
      </c>
      <c r="H168" s="22" t="s">
        <v>642</v>
      </c>
    </row>
    <row r="169" customFormat="false" ht="15" hidden="false" customHeight="false" outlineLevel="0" collapsed="false">
      <c r="A169" s="21" t="s">
        <v>132</v>
      </c>
      <c r="B169" s="43" t="s">
        <v>648</v>
      </c>
      <c r="C169" s="22"/>
      <c r="D169" s="22" t="n">
        <v>1</v>
      </c>
      <c r="E169" s="21" t="s">
        <v>43</v>
      </c>
      <c r="F169" s="43" t="s">
        <v>357</v>
      </c>
      <c r="G169" s="68" t="n">
        <v>0.97</v>
      </c>
      <c r="H169" s="22" t="s">
        <v>642</v>
      </c>
    </row>
    <row r="170" customFormat="false" ht="15" hidden="false" customHeight="false" outlineLevel="0" collapsed="false">
      <c r="A170" s="21" t="s">
        <v>132</v>
      </c>
      <c r="B170" s="43" t="s">
        <v>649</v>
      </c>
      <c r="C170" s="22"/>
      <c r="D170" s="22" t="n">
        <v>1</v>
      </c>
      <c r="E170" s="21" t="s">
        <v>47</v>
      </c>
      <c r="F170" s="43" t="s">
        <v>273</v>
      </c>
      <c r="G170" s="68" t="n">
        <v>0.97</v>
      </c>
      <c r="H170" s="22" t="s">
        <v>642</v>
      </c>
    </row>
    <row r="171" customFormat="false" ht="15" hidden="false" customHeight="false" outlineLevel="0" collapsed="false">
      <c r="A171" s="21" t="s">
        <v>132</v>
      </c>
      <c r="B171" s="43" t="s">
        <v>650</v>
      </c>
      <c r="C171" s="22"/>
      <c r="D171" s="22" t="n">
        <v>1</v>
      </c>
      <c r="E171" s="21" t="s">
        <v>47</v>
      </c>
      <c r="F171" s="43" t="s">
        <v>299</v>
      </c>
      <c r="G171" s="68" t="n">
        <v>0.97</v>
      </c>
      <c r="H171" s="22" t="s">
        <v>642</v>
      </c>
    </row>
    <row r="172" customFormat="false" ht="15" hidden="false" customHeight="false" outlineLevel="0" collapsed="false">
      <c r="A172" s="21" t="s">
        <v>132</v>
      </c>
      <c r="B172" s="43" t="s">
        <v>651</v>
      </c>
      <c r="C172" s="22"/>
      <c r="D172" s="22" t="n">
        <v>1</v>
      </c>
      <c r="E172" s="21" t="s">
        <v>102</v>
      </c>
      <c r="F172" s="43" t="s">
        <v>356</v>
      </c>
      <c r="G172" s="68" t="n">
        <v>0.740740740740741</v>
      </c>
      <c r="H172" s="22" t="s">
        <v>642</v>
      </c>
    </row>
    <row r="173" customFormat="false" ht="15" hidden="false" customHeight="false" outlineLevel="0" collapsed="false">
      <c r="A173" s="21" t="s">
        <v>132</v>
      </c>
      <c r="B173" s="43" t="s">
        <v>652</v>
      </c>
      <c r="C173" s="22"/>
      <c r="D173" s="22" t="n">
        <v>1</v>
      </c>
      <c r="E173" s="21" t="s">
        <v>100</v>
      </c>
      <c r="F173" s="43" t="s">
        <v>256</v>
      </c>
      <c r="G173" s="68" t="n">
        <v>0.695652173913044</v>
      </c>
      <c r="H173" s="22" t="s">
        <v>642</v>
      </c>
    </row>
    <row r="174" customFormat="false" ht="15" hidden="false" customHeight="false" outlineLevel="0" collapsed="false">
      <c r="A174" s="21" t="s">
        <v>132</v>
      </c>
      <c r="B174" s="43" t="s">
        <v>653</v>
      </c>
      <c r="C174" s="22"/>
      <c r="D174" s="22" t="n">
        <v>1</v>
      </c>
      <c r="E174" s="21" t="s">
        <v>98</v>
      </c>
      <c r="F174" s="43" t="s">
        <v>191</v>
      </c>
      <c r="G174" s="68" t="n">
        <v>0.677966101694915</v>
      </c>
      <c r="H174" s="22" t="s">
        <v>642</v>
      </c>
    </row>
    <row r="175" customFormat="false" ht="15" hidden="false" customHeight="false" outlineLevel="0" collapsed="false">
      <c r="A175" s="21" t="s">
        <v>132</v>
      </c>
      <c r="B175" s="43" t="s">
        <v>654</v>
      </c>
      <c r="C175" s="22"/>
      <c r="D175" s="22" t="n">
        <v>1</v>
      </c>
      <c r="E175" s="21" t="s">
        <v>47</v>
      </c>
      <c r="F175" s="43" t="s">
        <v>326</v>
      </c>
      <c r="G175" s="68" t="n">
        <v>0.666666666666667</v>
      </c>
      <c r="H175" s="22" t="s">
        <v>642</v>
      </c>
    </row>
    <row r="176" customFormat="false" ht="15" hidden="false" customHeight="false" outlineLevel="0" collapsed="false">
      <c r="A176" s="21" t="s">
        <v>132</v>
      </c>
      <c r="B176" s="43" t="s">
        <v>655</v>
      </c>
      <c r="C176" s="22"/>
      <c r="D176" s="22" t="n">
        <v>1</v>
      </c>
      <c r="E176" s="21" t="s">
        <v>98</v>
      </c>
      <c r="F176" s="43" t="s">
        <v>191</v>
      </c>
      <c r="G176" s="68" t="n">
        <v>0.653846153846154</v>
      </c>
      <c r="H176" s="22" t="s">
        <v>642</v>
      </c>
    </row>
    <row r="177" customFormat="false" ht="15" hidden="false" customHeight="false" outlineLevel="0" collapsed="false">
      <c r="A177" s="21" t="s">
        <v>132</v>
      </c>
      <c r="B177" s="43" t="s">
        <v>656</v>
      </c>
      <c r="C177" s="22"/>
      <c r="D177" s="22" t="n">
        <v>1</v>
      </c>
      <c r="E177" s="21" t="s">
        <v>47</v>
      </c>
      <c r="F177" s="43" t="s">
        <v>293</v>
      </c>
      <c r="G177" s="68" t="n">
        <v>0.65</v>
      </c>
      <c r="H177" s="22" t="s">
        <v>642</v>
      </c>
    </row>
    <row r="178" customFormat="false" ht="15" hidden="false" customHeight="false" outlineLevel="0" collapsed="false">
      <c r="A178" s="21" t="s">
        <v>132</v>
      </c>
      <c r="B178" s="43" t="s">
        <v>657</v>
      </c>
      <c r="C178" s="22"/>
      <c r="D178" s="22" t="n">
        <v>1</v>
      </c>
      <c r="E178" s="21" t="s">
        <v>98</v>
      </c>
      <c r="F178" s="43" t="s">
        <v>198</v>
      </c>
      <c r="G178" s="68" t="n">
        <v>0.644067796610169</v>
      </c>
      <c r="H178" s="22" t="s">
        <v>642</v>
      </c>
    </row>
    <row r="179" customFormat="false" ht="15" hidden="false" customHeight="false" outlineLevel="0" collapsed="false">
      <c r="A179" s="21" t="s">
        <v>132</v>
      </c>
      <c r="B179" s="43" t="s">
        <v>658</v>
      </c>
      <c r="C179" s="22"/>
      <c r="D179" s="22" t="n">
        <v>1</v>
      </c>
      <c r="E179" s="21" t="s">
        <v>100</v>
      </c>
      <c r="F179" s="43" t="s">
        <v>248</v>
      </c>
      <c r="G179" s="68" t="n">
        <v>0.620689655172414</v>
      </c>
      <c r="H179" s="22" t="s">
        <v>642</v>
      </c>
    </row>
    <row r="180" customFormat="false" ht="15" hidden="false" customHeight="false" outlineLevel="0" collapsed="false">
      <c r="A180" s="21" t="s">
        <v>132</v>
      </c>
      <c r="B180" s="43" t="s">
        <v>659</v>
      </c>
      <c r="C180" s="22"/>
      <c r="D180" s="22" t="n">
        <v>1</v>
      </c>
      <c r="E180" s="21" t="s">
        <v>100</v>
      </c>
      <c r="F180" s="43" t="s">
        <v>248</v>
      </c>
      <c r="G180" s="68" t="n">
        <v>0.620689655172414</v>
      </c>
      <c r="H180" s="22" t="s">
        <v>642</v>
      </c>
    </row>
    <row r="181" customFormat="false" ht="15" hidden="false" customHeight="false" outlineLevel="0" collapsed="false">
      <c r="A181" s="21" t="s">
        <v>132</v>
      </c>
      <c r="B181" s="43" t="s">
        <v>660</v>
      </c>
      <c r="C181" s="22"/>
      <c r="D181" s="22" t="n">
        <v>1</v>
      </c>
      <c r="E181" s="21" t="s">
        <v>47</v>
      </c>
      <c r="F181" s="43" t="s">
        <v>326</v>
      </c>
      <c r="G181" s="68" t="n">
        <v>0.619047619047619</v>
      </c>
      <c r="H181" s="22" t="s">
        <v>642</v>
      </c>
    </row>
    <row r="182" customFormat="false" ht="15" hidden="false" customHeight="false" outlineLevel="0" collapsed="false">
      <c r="A182" s="21" t="s">
        <v>132</v>
      </c>
      <c r="B182" s="43" t="s">
        <v>661</v>
      </c>
      <c r="C182" s="22"/>
      <c r="D182" s="22" t="n">
        <v>1</v>
      </c>
      <c r="E182" s="21" t="s">
        <v>98</v>
      </c>
      <c r="F182" s="43" t="s">
        <v>191</v>
      </c>
      <c r="G182" s="68" t="n">
        <v>0.612903225806452</v>
      </c>
      <c r="H182" s="22" t="s">
        <v>642</v>
      </c>
    </row>
    <row r="183" customFormat="false" ht="15" hidden="false" customHeight="false" outlineLevel="0" collapsed="false">
      <c r="A183" s="21" t="s">
        <v>132</v>
      </c>
      <c r="B183" s="43" t="s">
        <v>662</v>
      </c>
      <c r="C183" s="22"/>
      <c r="D183" s="22" t="n">
        <v>1</v>
      </c>
      <c r="E183" s="21" t="s">
        <v>47</v>
      </c>
      <c r="F183" s="43" t="s">
        <v>293</v>
      </c>
      <c r="G183" s="68" t="n">
        <v>0.604651162790698</v>
      </c>
      <c r="H183" s="22" t="s">
        <v>642</v>
      </c>
    </row>
    <row r="184" customFormat="false" ht="15" hidden="false" customHeight="false" outlineLevel="0" collapsed="false">
      <c r="A184" s="21" t="s">
        <v>132</v>
      </c>
      <c r="B184" s="43" t="s">
        <v>663</v>
      </c>
      <c r="C184" s="22"/>
      <c r="D184" s="22" t="n">
        <v>1</v>
      </c>
      <c r="E184" s="21" t="s">
        <v>102</v>
      </c>
      <c r="F184" s="43" t="s">
        <v>322</v>
      </c>
      <c r="G184" s="68" t="n">
        <v>0.580645161290323</v>
      </c>
      <c r="H184" s="22" t="s">
        <v>642</v>
      </c>
    </row>
    <row r="185" customFormat="false" ht="15" hidden="false" customHeight="false" outlineLevel="0" collapsed="false">
      <c r="A185" s="21" t="s">
        <v>132</v>
      </c>
      <c r="B185" s="43" t="s">
        <v>664</v>
      </c>
      <c r="C185" s="22"/>
      <c r="D185" s="22" t="n">
        <v>1</v>
      </c>
      <c r="E185" s="21" t="s">
        <v>102</v>
      </c>
      <c r="F185" s="43" t="s">
        <v>284</v>
      </c>
      <c r="G185" s="68" t="n">
        <v>0.578947368421053</v>
      </c>
      <c r="H185" s="22" t="s">
        <v>642</v>
      </c>
    </row>
    <row r="186" customFormat="false" ht="15" hidden="false" customHeight="false" outlineLevel="0" collapsed="false">
      <c r="A186" s="21" t="s">
        <v>132</v>
      </c>
      <c r="B186" s="43" t="s">
        <v>665</v>
      </c>
      <c r="C186" s="22"/>
      <c r="D186" s="22" t="n">
        <v>1</v>
      </c>
      <c r="E186" s="21" t="s">
        <v>100</v>
      </c>
      <c r="F186" s="43" t="s">
        <v>250</v>
      </c>
      <c r="G186" s="68" t="n">
        <v>0.571428571428571</v>
      </c>
      <c r="H186" s="22" t="s">
        <v>642</v>
      </c>
    </row>
    <row r="187" customFormat="false" ht="15" hidden="false" customHeight="false" outlineLevel="0" collapsed="false">
      <c r="A187" s="21" t="s">
        <v>132</v>
      </c>
      <c r="B187" s="43" t="s">
        <v>666</v>
      </c>
      <c r="C187" s="22"/>
      <c r="D187" s="22" t="n">
        <v>1</v>
      </c>
      <c r="E187" s="21" t="s">
        <v>47</v>
      </c>
      <c r="F187" s="43" t="s">
        <v>299</v>
      </c>
      <c r="G187" s="68" t="n">
        <v>0.533333333333333</v>
      </c>
      <c r="H187" s="22" t="s">
        <v>642</v>
      </c>
    </row>
    <row r="188" customFormat="false" ht="15" hidden="false" customHeight="false" outlineLevel="0" collapsed="false">
      <c r="A188" s="21" t="s">
        <v>132</v>
      </c>
      <c r="B188" s="43" t="s">
        <v>667</v>
      </c>
      <c r="C188" s="22"/>
      <c r="D188" s="22" t="n">
        <v>1</v>
      </c>
      <c r="E188" s="21" t="s">
        <v>47</v>
      </c>
      <c r="F188" s="43" t="s">
        <v>333</v>
      </c>
      <c r="G188" s="68" t="n">
        <v>0.530612244897959</v>
      </c>
      <c r="H188" s="22" t="s">
        <v>642</v>
      </c>
    </row>
    <row r="189" customFormat="false" ht="15" hidden="false" customHeight="false" outlineLevel="0" collapsed="false">
      <c r="A189" s="21" t="s">
        <v>132</v>
      </c>
      <c r="B189" s="43" t="s">
        <v>668</v>
      </c>
      <c r="C189" s="22"/>
      <c r="D189" s="22" t="n">
        <v>1</v>
      </c>
      <c r="E189" s="21" t="s">
        <v>98</v>
      </c>
      <c r="F189" s="43" t="s">
        <v>191</v>
      </c>
      <c r="G189" s="68" t="n">
        <v>0.526315789473684</v>
      </c>
      <c r="H189" s="22" t="s">
        <v>642</v>
      </c>
    </row>
    <row r="190" customFormat="false" ht="15" hidden="false" customHeight="false" outlineLevel="0" collapsed="false">
      <c r="A190" s="21" t="s">
        <v>132</v>
      </c>
      <c r="B190" s="43" t="s">
        <v>669</v>
      </c>
      <c r="C190" s="22"/>
      <c r="D190" s="22" t="n">
        <v>1</v>
      </c>
      <c r="E190" s="21" t="s">
        <v>99</v>
      </c>
      <c r="F190" s="43" t="s">
        <v>206</v>
      </c>
      <c r="G190" s="68" t="n">
        <v>0.481481481481482</v>
      </c>
      <c r="H190" s="22" t="s">
        <v>642</v>
      </c>
    </row>
    <row r="191" customFormat="false" ht="23.85" hidden="false" customHeight="false" outlineLevel="0" collapsed="false">
      <c r="A191" s="21" t="s">
        <v>132</v>
      </c>
      <c r="B191" s="43" t="s">
        <v>670</v>
      </c>
      <c r="C191" s="22"/>
      <c r="D191" s="22" t="n">
        <v>1</v>
      </c>
      <c r="E191" s="21" t="s">
        <v>99</v>
      </c>
      <c r="F191" s="43" t="s">
        <v>202</v>
      </c>
      <c r="G191" s="68" t="n">
        <v>0.475</v>
      </c>
      <c r="H191" s="22" t="s">
        <v>642</v>
      </c>
    </row>
    <row r="192" customFormat="false" ht="15" hidden="false" customHeight="false" outlineLevel="0" collapsed="false">
      <c r="A192" s="21" t="s">
        <v>132</v>
      </c>
      <c r="B192" s="43" t="s">
        <v>671</v>
      </c>
      <c r="C192" s="22"/>
      <c r="D192" s="22" t="n">
        <v>1</v>
      </c>
      <c r="E192" s="21" t="s">
        <v>47</v>
      </c>
      <c r="F192" s="43" t="s">
        <v>315</v>
      </c>
      <c r="G192" s="68" t="n">
        <v>0.457142857142857</v>
      </c>
      <c r="H192" s="22" t="s">
        <v>642</v>
      </c>
    </row>
    <row r="193" customFormat="false" ht="15" hidden="false" customHeight="false" outlineLevel="0" collapsed="false">
      <c r="A193" s="21" t="s">
        <v>132</v>
      </c>
      <c r="B193" s="43" t="s">
        <v>672</v>
      </c>
      <c r="C193" s="22"/>
      <c r="D193" s="22" t="n">
        <v>1</v>
      </c>
      <c r="E193" s="21" t="s">
        <v>43</v>
      </c>
      <c r="F193" s="43" t="s">
        <v>341</v>
      </c>
      <c r="G193" s="68" t="n">
        <v>0.454545454545455</v>
      </c>
      <c r="H193" s="22" t="s">
        <v>642</v>
      </c>
    </row>
    <row r="194" customFormat="false" ht="15" hidden="false" customHeight="false" outlineLevel="0" collapsed="false">
      <c r="A194" s="21" t="s">
        <v>132</v>
      </c>
      <c r="B194" s="43" t="s">
        <v>673</v>
      </c>
      <c r="C194" s="22"/>
      <c r="D194" s="22" t="n">
        <v>1</v>
      </c>
      <c r="E194" s="21" t="s">
        <v>99</v>
      </c>
      <c r="F194" s="43" t="s">
        <v>234</v>
      </c>
      <c r="G194" s="68" t="n">
        <v>0.444444444444444</v>
      </c>
      <c r="H194" s="22" t="s">
        <v>642</v>
      </c>
    </row>
    <row r="195" customFormat="false" ht="15" hidden="false" customHeight="false" outlineLevel="0" collapsed="false">
      <c r="A195" s="21" t="s">
        <v>132</v>
      </c>
      <c r="B195" s="43" t="s">
        <v>674</v>
      </c>
      <c r="C195" s="22"/>
      <c r="D195" s="22" t="n">
        <v>1</v>
      </c>
      <c r="E195" s="21" t="s">
        <v>99</v>
      </c>
      <c r="F195" s="43" t="s">
        <v>233</v>
      </c>
      <c r="G195" s="68" t="n">
        <v>0.419354838709677</v>
      </c>
      <c r="H195" s="22" t="s">
        <v>642</v>
      </c>
    </row>
    <row r="196" customFormat="false" ht="15" hidden="false" customHeight="false" outlineLevel="0" collapsed="false">
      <c r="A196" s="21" t="s">
        <v>132</v>
      </c>
      <c r="B196" s="43" t="s">
        <v>675</v>
      </c>
      <c r="C196" s="22"/>
      <c r="D196" s="22" t="n">
        <v>1</v>
      </c>
      <c r="E196" s="21" t="s">
        <v>100</v>
      </c>
      <c r="F196" s="43" t="s">
        <v>263</v>
      </c>
      <c r="G196" s="68" t="n">
        <v>0.382978723404255</v>
      </c>
      <c r="H196" s="22" t="s">
        <v>642</v>
      </c>
    </row>
    <row r="197" customFormat="false" ht="15" hidden="false" customHeight="false" outlineLevel="0" collapsed="false">
      <c r="A197" s="21" t="s">
        <v>30</v>
      </c>
      <c r="B197" s="43" t="s">
        <v>260</v>
      </c>
      <c r="C197" s="22"/>
      <c r="D197" s="22" t="n">
        <v>1</v>
      </c>
      <c r="E197" s="21" t="s">
        <v>100</v>
      </c>
      <c r="F197" s="43" t="s">
        <v>260</v>
      </c>
      <c r="G197" s="68" t="n">
        <v>1</v>
      </c>
      <c r="H197" s="22" t="s">
        <v>141</v>
      </c>
    </row>
    <row r="198" customFormat="false" ht="15" hidden="false" customHeight="false" outlineLevel="0" collapsed="false">
      <c r="A198" s="21" t="s">
        <v>47</v>
      </c>
      <c r="B198" s="43" t="s">
        <v>676</v>
      </c>
      <c r="C198" s="22"/>
      <c r="D198" s="22" t="n">
        <v>1</v>
      </c>
      <c r="E198" s="21" t="s">
        <v>47</v>
      </c>
      <c r="F198" s="43" t="s">
        <v>273</v>
      </c>
      <c r="G198" s="68" t="n">
        <v>1</v>
      </c>
      <c r="H198" s="22" t="s">
        <v>141</v>
      </c>
    </row>
    <row r="199" customFormat="false" ht="15" hidden="false" customHeight="false" outlineLevel="0" collapsed="false">
      <c r="A199" s="21" t="s">
        <v>47</v>
      </c>
      <c r="B199" s="43" t="s">
        <v>276</v>
      </c>
      <c r="C199" s="22"/>
      <c r="D199" s="22" t="n">
        <v>1</v>
      </c>
      <c r="E199" s="21" t="s">
        <v>47</v>
      </c>
      <c r="F199" s="43" t="s">
        <v>276</v>
      </c>
      <c r="G199" s="68" t="n">
        <v>1</v>
      </c>
      <c r="H199" s="22" t="s">
        <v>141</v>
      </c>
    </row>
    <row r="200" customFormat="false" ht="15" hidden="false" customHeight="false" outlineLevel="0" collapsed="false">
      <c r="A200" s="21" t="s">
        <v>47</v>
      </c>
      <c r="B200" s="43" t="s">
        <v>677</v>
      </c>
      <c r="C200" s="22"/>
      <c r="D200" s="22" t="n">
        <v>1</v>
      </c>
      <c r="E200" s="21" t="s">
        <v>98</v>
      </c>
      <c r="F200" s="43" t="s">
        <v>173</v>
      </c>
      <c r="G200" s="68" t="n">
        <v>1</v>
      </c>
      <c r="H200" s="22" t="s">
        <v>141</v>
      </c>
    </row>
    <row r="201" customFormat="false" ht="15" hidden="false" customHeight="false" outlineLevel="0" collapsed="false">
      <c r="A201" s="21" t="s">
        <v>133</v>
      </c>
      <c r="B201" s="43" t="s">
        <v>678</v>
      </c>
      <c r="C201" s="22"/>
      <c r="D201" s="22" t="n">
        <v>1</v>
      </c>
      <c r="E201" s="21" t="s">
        <v>98</v>
      </c>
      <c r="F201" s="43" t="s">
        <v>173</v>
      </c>
      <c r="G201" s="68" t="n">
        <v>1</v>
      </c>
      <c r="H201" s="22" t="s">
        <v>141</v>
      </c>
    </row>
    <row r="202" customFormat="false" ht="15" hidden="false" customHeight="false" outlineLevel="0" collapsed="false">
      <c r="A202" s="21" t="s">
        <v>133</v>
      </c>
      <c r="B202" s="43" t="s">
        <v>679</v>
      </c>
      <c r="C202" s="22"/>
      <c r="D202" s="22" t="n">
        <v>1</v>
      </c>
      <c r="E202" s="21" t="s">
        <v>98</v>
      </c>
      <c r="F202" s="43" t="s">
        <v>170</v>
      </c>
      <c r="G202" s="68" t="n">
        <v>1</v>
      </c>
      <c r="H202" s="22" t="s">
        <v>141</v>
      </c>
    </row>
    <row r="203" customFormat="false" ht="15" hidden="false" customHeight="false" outlineLevel="0" collapsed="false">
      <c r="A203" s="21" t="s">
        <v>133</v>
      </c>
      <c r="B203" s="43" t="s">
        <v>680</v>
      </c>
      <c r="C203" s="22"/>
      <c r="D203" s="22" t="n">
        <v>1</v>
      </c>
      <c r="E203" s="21" t="s">
        <v>98</v>
      </c>
      <c r="F203" s="43" t="s">
        <v>172</v>
      </c>
      <c r="G203" s="68" t="n">
        <v>1</v>
      </c>
      <c r="H203" s="22" t="s">
        <v>141</v>
      </c>
    </row>
    <row r="204" customFormat="false" ht="15" hidden="false" customHeight="false" outlineLevel="0" collapsed="false">
      <c r="A204" s="21" t="s">
        <v>30</v>
      </c>
      <c r="B204" s="43" t="s">
        <v>239</v>
      </c>
      <c r="C204" s="22"/>
      <c r="D204" s="22" t="n">
        <v>1</v>
      </c>
      <c r="E204" s="21" t="s">
        <v>100</v>
      </c>
      <c r="F204" s="43" t="s">
        <v>239</v>
      </c>
      <c r="G204" s="68" t="n">
        <v>1</v>
      </c>
      <c r="H204" s="22" t="s">
        <v>141</v>
      </c>
    </row>
    <row r="205" customFormat="false" ht="15" hidden="false" customHeight="false" outlineLevel="0" collapsed="false">
      <c r="A205" s="21" t="s">
        <v>133</v>
      </c>
      <c r="B205" s="43" t="s">
        <v>175</v>
      </c>
      <c r="C205" s="22"/>
      <c r="D205" s="22" t="n">
        <v>1</v>
      </c>
      <c r="E205" s="21" t="s">
        <v>98</v>
      </c>
      <c r="F205" s="43" t="s">
        <v>175</v>
      </c>
      <c r="G205" s="68" t="n">
        <v>1</v>
      </c>
      <c r="H205" s="22" t="s">
        <v>141</v>
      </c>
    </row>
    <row r="206" customFormat="false" ht="15" hidden="false" customHeight="false" outlineLevel="0" collapsed="false">
      <c r="A206" s="21" t="s">
        <v>133</v>
      </c>
      <c r="B206" s="43" t="s">
        <v>176</v>
      </c>
      <c r="C206" s="22"/>
      <c r="D206" s="22" t="n">
        <v>1</v>
      </c>
      <c r="E206" s="21" t="s">
        <v>98</v>
      </c>
      <c r="F206" s="43" t="s">
        <v>176</v>
      </c>
      <c r="G206" s="68" t="n">
        <v>1</v>
      </c>
      <c r="H206" s="22" t="s">
        <v>141</v>
      </c>
    </row>
    <row r="207" customFormat="false" ht="15" hidden="false" customHeight="false" outlineLevel="0" collapsed="false">
      <c r="A207" s="21" t="s">
        <v>131</v>
      </c>
      <c r="B207" s="43" t="s">
        <v>208</v>
      </c>
      <c r="C207" s="22"/>
      <c r="D207" s="22" t="n">
        <v>1</v>
      </c>
      <c r="E207" s="21" t="s">
        <v>99</v>
      </c>
      <c r="F207" s="43" t="s">
        <v>208</v>
      </c>
      <c r="G207" s="68" t="n">
        <v>1</v>
      </c>
      <c r="H207" s="22" t="s">
        <v>141</v>
      </c>
    </row>
    <row r="208" customFormat="false" ht="15" hidden="false" customHeight="false" outlineLevel="0" collapsed="false">
      <c r="A208" s="21" t="s">
        <v>47</v>
      </c>
      <c r="B208" s="43" t="s">
        <v>290</v>
      </c>
      <c r="C208" s="22"/>
      <c r="D208" s="22" t="n">
        <v>1</v>
      </c>
      <c r="E208" s="21" t="s">
        <v>47</v>
      </c>
      <c r="F208" s="43" t="s">
        <v>290</v>
      </c>
      <c r="G208" s="68" t="n">
        <v>1</v>
      </c>
      <c r="H208" s="22" t="s">
        <v>141</v>
      </c>
    </row>
    <row r="209" customFormat="false" ht="15" hidden="false" customHeight="false" outlineLevel="0" collapsed="false">
      <c r="A209" s="21" t="s">
        <v>137</v>
      </c>
      <c r="B209" s="43" t="s">
        <v>240</v>
      </c>
      <c r="C209" s="22"/>
      <c r="D209" s="22" t="n">
        <v>1</v>
      </c>
      <c r="E209" s="21" t="s">
        <v>100</v>
      </c>
      <c r="F209" s="43" t="s">
        <v>240</v>
      </c>
      <c r="G209" s="68" t="n">
        <v>1</v>
      </c>
      <c r="H209" s="22" t="s">
        <v>141</v>
      </c>
    </row>
    <row r="210" customFormat="false" ht="15" hidden="false" customHeight="false" outlineLevel="0" collapsed="false">
      <c r="A210" s="21" t="s">
        <v>133</v>
      </c>
      <c r="B210" s="43" t="s">
        <v>181</v>
      </c>
      <c r="C210" s="22"/>
      <c r="D210" s="22" t="n">
        <v>1</v>
      </c>
      <c r="E210" s="21" t="s">
        <v>98</v>
      </c>
      <c r="F210" s="43" t="s">
        <v>181</v>
      </c>
      <c r="G210" s="68" t="n">
        <v>1</v>
      </c>
      <c r="H210" s="22" t="s">
        <v>141</v>
      </c>
    </row>
    <row r="211" customFormat="false" ht="15" hidden="false" customHeight="false" outlineLevel="0" collapsed="false">
      <c r="A211" s="21" t="s">
        <v>131</v>
      </c>
      <c r="B211" s="43" t="s">
        <v>681</v>
      </c>
      <c r="C211" s="22"/>
      <c r="D211" s="22" t="n">
        <v>1</v>
      </c>
      <c r="E211" s="21" t="s">
        <v>99</v>
      </c>
      <c r="F211" s="43" t="s">
        <v>210</v>
      </c>
      <c r="G211" s="68" t="n">
        <v>1</v>
      </c>
      <c r="H211" s="22" t="s">
        <v>141</v>
      </c>
    </row>
    <row r="212" customFormat="false" ht="15" hidden="false" customHeight="false" outlineLevel="0" collapsed="false">
      <c r="A212" s="21" t="s">
        <v>47</v>
      </c>
      <c r="B212" s="43" t="s">
        <v>682</v>
      </c>
      <c r="C212" s="22"/>
      <c r="D212" s="22" t="n">
        <v>1</v>
      </c>
      <c r="E212" s="21" t="s">
        <v>47</v>
      </c>
      <c r="F212" s="43" t="s">
        <v>337</v>
      </c>
      <c r="G212" s="68" t="n">
        <v>1</v>
      </c>
      <c r="H212" s="22" t="s">
        <v>141</v>
      </c>
    </row>
    <row r="213" customFormat="false" ht="15" hidden="false" customHeight="false" outlineLevel="0" collapsed="false">
      <c r="A213" s="21" t="s">
        <v>47</v>
      </c>
      <c r="B213" s="43" t="s">
        <v>339</v>
      </c>
      <c r="C213" s="22"/>
      <c r="D213" s="22" t="n">
        <v>1</v>
      </c>
      <c r="E213" s="21" t="s">
        <v>47</v>
      </c>
      <c r="F213" s="43" t="s">
        <v>339</v>
      </c>
      <c r="G213" s="68" t="n">
        <v>1</v>
      </c>
      <c r="H213" s="22" t="s">
        <v>141</v>
      </c>
    </row>
    <row r="214" customFormat="false" ht="15" hidden="false" customHeight="false" outlineLevel="0" collapsed="false">
      <c r="A214" s="21" t="s">
        <v>47</v>
      </c>
      <c r="B214" s="43" t="s">
        <v>683</v>
      </c>
      <c r="C214" s="22"/>
      <c r="D214" s="22" t="n">
        <v>1</v>
      </c>
      <c r="E214" s="21" t="s">
        <v>47</v>
      </c>
      <c r="F214" s="43" t="s">
        <v>293</v>
      </c>
      <c r="G214" s="68" t="n">
        <v>1</v>
      </c>
      <c r="H214" s="22" t="s">
        <v>141</v>
      </c>
    </row>
    <row r="215" customFormat="false" ht="15" hidden="false" customHeight="false" outlineLevel="0" collapsed="false">
      <c r="A215" s="21" t="s">
        <v>47</v>
      </c>
      <c r="B215" s="43" t="s">
        <v>333</v>
      </c>
      <c r="C215" s="22"/>
      <c r="D215" s="22" t="n">
        <v>1</v>
      </c>
      <c r="E215" s="21" t="s">
        <v>47</v>
      </c>
      <c r="F215" s="43" t="s">
        <v>333</v>
      </c>
      <c r="G215" s="68" t="n">
        <v>1</v>
      </c>
      <c r="H215" s="22" t="s">
        <v>141</v>
      </c>
    </row>
    <row r="216" customFormat="false" ht="15" hidden="false" customHeight="false" outlineLevel="0" collapsed="false">
      <c r="A216" s="21" t="s">
        <v>131</v>
      </c>
      <c r="B216" s="43" t="s">
        <v>211</v>
      </c>
      <c r="C216" s="22"/>
      <c r="D216" s="22" t="n">
        <v>1</v>
      </c>
      <c r="E216" s="21" t="s">
        <v>99</v>
      </c>
      <c r="F216" s="43" t="s">
        <v>211</v>
      </c>
      <c r="G216" s="68" t="n">
        <v>1</v>
      </c>
      <c r="H216" s="22" t="s">
        <v>141</v>
      </c>
    </row>
    <row r="217" customFormat="false" ht="15" hidden="false" customHeight="false" outlineLevel="0" collapsed="false">
      <c r="A217" s="21" t="s">
        <v>137</v>
      </c>
      <c r="B217" s="43" t="s">
        <v>244</v>
      </c>
      <c r="C217" s="22"/>
      <c r="D217" s="22" t="n">
        <v>1</v>
      </c>
      <c r="E217" s="21" t="s">
        <v>100</v>
      </c>
      <c r="F217" s="43" t="s">
        <v>244</v>
      </c>
      <c r="G217" s="68" t="n">
        <v>1</v>
      </c>
      <c r="H217" s="22" t="s">
        <v>141</v>
      </c>
    </row>
    <row r="218" customFormat="false" ht="15" hidden="false" customHeight="false" outlineLevel="0" collapsed="false">
      <c r="A218" s="21" t="s">
        <v>30</v>
      </c>
      <c r="B218" s="43" t="s">
        <v>246</v>
      </c>
      <c r="C218" s="22"/>
      <c r="D218" s="22" t="n">
        <v>1</v>
      </c>
      <c r="E218" s="21" t="s">
        <v>100</v>
      </c>
      <c r="F218" s="43" t="s">
        <v>246</v>
      </c>
      <c r="G218" s="68" t="n">
        <v>1</v>
      </c>
      <c r="H218" s="22" t="s">
        <v>141</v>
      </c>
    </row>
    <row r="219" customFormat="false" ht="15" hidden="false" customHeight="false" outlineLevel="0" collapsed="false">
      <c r="A219" s="21" t="s">
        <v>47</v>
      </c>
      <c r="B219" s="43" t="s">
        <v>304</v>
      </c>
      <c r="C219" s="22"/>
      <c r="D219" s="22" t="n">
        <v>1</v>
      </c>
      <c r="E219" s="21" t="s">
        <v>47</v>
      </c>
      <c r="F219" s="43" t="s">
        <v>304</v>
      </c>
      <c r="G219" s="68" t="n">
        <v>1</v>
      </c>
      <c r="H219" s="22" t="s">
        <v>141</v>
      </c>
    </row>
    <row r="220" customFormat="false" ht="15" hidden="false" customHeight="false" outlineLevel="0" collapsed="false">
      <c r="A220" s="21" t="s">
        <v>47</v>
      </c>
      <c r="B220" s="43" t="s">
        <v>306</v>
      </c>
      <c r="C220" s="22"/>
      <c r="D220" s="22" t="n">
        <v>1</v>
      </c>
      <c r="E220" s="21" t="s">
        <v>47</v>
      </c>
      <c r="F220" s="43" t="s">
        <v>306</v>
      </c>
      <c r="G220" s="68" t="n">
        <v>1</v>
      </c>
      <c r="H220" s="22" t="s">
        <v>141</v>
      </c>
    </row>
    <row r="221" customFormat="false" ht="15" hidden="false" customHeight="false" outlineLevel="0" collapsed="false">
      <c r="A221" s="21" t="s">
        <v>131</v>
      </c>
      <c r="B221" s="43" t="s">
        <v>216</v>
      </c>
      <c r="C221" s="22"/>
      <c r="D221" s="22" t="n">
        <v>1</v>
      </c>
      <c r="E221" s="21" t="s">
        <v>99</v>
      </c>
      <c r="F221" s="43" t="s">
        <v>216</v>
      </c>
      <c r="G221" s="68" t="n">
        <v>1</v>
      </c>
      <c r="H221" s="22" t="s">
        <v>141</v>
      </c>
    </row>
    <row r="222" customFormat="false" ht="15" hidden="false" customHeight="false" outlineLevel="0" collapsed="false">
      <c r="A222" s="21" t="s">
        <v>131</v>
      </c>
      <c r="B222" s="43" t="s">
        <v>217</v>
      </c>
      <c r="C222" s="22"/>
      <c r="D222" s="22" t="n">
        <v>1</v>
      </c>
      <c r="E222" s="21" t="s">
        <v>99</v>
      </c>
      <c r="F222" s="43" t="s">
        <v>217</v>
      </c>
      <c r="G222" s="68" t="n">
        <v>1</v>
      </c>
      <c r="H222" s="22" t="s">
        <v>141</v>
      </c>
    </row>
    <row r="223" customFormat="false" ht="15" hidden="false" customHeight="false" outlineLevel="0" collapsed="false">
      <c r="A223" s="21" t="s">
        <v>131</v>
      </c>
      <c r="B223" s="43" t="s">
        <v>218</v>
      </c>
      <c r="C223" s="22"/>
      <c r="D223" s="22" t="n">
        <v>1</v>
      </c>
      <c r="E223" s="21" t="s">
        <v>99</v>
      </c>
      <c r="F223" s="43" t="s">
        <v>218</v>
      </c>
      <c r="G223" s="68" t="n">
        <v>1</v>
      </c>
      <c r="H223" s="22" t="s">
        <v>141</v>
      </c>
    </row>
    <row r="224" customFormat="false" ht="15" hidden="false" customHeight="false" outlineLevel="0" collapsed="false">
      <c r="A224" s="21" t="s">
        <v>131</v>
      </c>
      <c r="B224" s="43" t="s">
        <v>684</v>
      </c>
      <c r="C224" s="22"/>
      <c r="D224" s="22" t="n">
        <v>1</v>
      </c>
      <c r="E224" s="21" t="s">
        <v>99</v>
      </c>
      <c r="F224" s="43" t="s">
        <v>219</v>
      </c>
      <c r="G224" s="68" t="n">
        <v>1</v>
      </c>
      <c r="H224" s="22" t="s">
        <v>141</v>
      </c>
    </row>
    <row r="225" customFormat="false" ht="15" hidden="false" customHeight="false" outlineLevel="0" collapsed="false">
      <c r="A225" s="21" t="s">
        <v>131</v>
      </c>
      <c r="B225" s="43" t="s">
        <v>220</v>
      </c>
      <c r="C225" s="22"/>
      <c r="D225" s="22" t="n">
        <v>1</v>
      </c>
      <c r="E225" s="21" t="s">
        <v>99</v>
      </c>
      <c r="F225" s="43" t="s">
        <v>220</v>
      </c>
      <c r="G225" s="68" t="n">
        <v>1</v>
      </c>
      <c r="H225" s="22" t="s">
        <v>141</v>
      </c>
    </row>
    <row r="226" customFormat="false" ht="15" hidden="false" customHeight="false" outlineLevel="0" collapsed="false">
      <c r="A226" s="21" t="s">
        <v>131</v>
      </c>
      <c r="B226" s="43" t="s">
        <v>221</v>
      </c>
      <c r="C226" s="22"/>
      <c r="D226" s="22" t="n">
        <v>1</v>
      </c>
      <c r="E226" s="21" t="s">
        <v>99</v>
      </c>
      <c r="F226" s="43" t="s">
        <v>221</v>
      </c>
      <c r="G226" s="68" t="n">
        <v>1</v>
      </c>
      <c r="H226" s="22" t="s">
        <v>141</v>
      </c>
    </row>
    <row r="227" customFormat="false" ht="15" hidden="false" customHeight="false" outlineLevel="0" collapsed="false">
      <c r="A227" s="21" t="s">
        <v>131</v>
      </c>
      <c r="B227" s="43" t="s">
        <v>222</v>
      </c>
      <c r="C227" s="22"/>
      <c r="D227" s="22" t="n">
        <v>1</v>
      </c>
      <c r="E227" s="21" t="s">
        <v>99</v>
      </c>
      <c r="F227" s="43" t="s">
        <v>222</v>
      </c>
      <c r="G227" s="68" t="n">
        <v>1</v>
      </c>
      <c r="H227" s="22" t="s">
        <v>141</v>
      </c>
    </row>
    <row r="228" customFormat="false" ht="15" hidden="false" customHeight="false" outlineLevel="0" collapsed="false">
      <c r="A228" s="21" t="s">
        <v>131</v>
      </c>
      <c r="B228" s="43" t="s">
        <v>685</v>
      </c>
      <c r="C228" s="22"/>
      <c r="D228" s="22" t="n">
        <v>1</v>
      </c>
      <c r="E228" s="21" t="s">
        <v>99</v>
      </c>
      <c r="F228" s="43" t="s">
        <v>202</v>
      </c>
      <c r="G228" s="68" t="n">
        <v>1</v>
      </c>
      <c r="H228" s="22" t="s">
        <v>141</v>
      </c>
    </row>
    <row r="229" customFormat="false" ht="15" hidden="false" customHeight="false" outlineLevel="0" collapsed="false">
      <c r="A229" s="21" t="s">
        <v>133</v>
      </c>
      <c r="B229" s="43" t="s">
        <v>686</v>
      </c>
      <c r="C229" s="22"/>
      <c r="D229" s="22" t="n">
        <v>1</v>
      </c>
      <c r="E229" s="21" t="s">
        <v>98</v>
      </c>
      <c r="F229" s="43" t="s">
        <v>186</v>
      </c>
      <c r="G229" s="68" t="n">
        <v>1</v>
      </c>
      <c r="H229" s="22" t="s">
        <v>141</v>
      </c>
    </row>
    <row r="230" customFormat="false" ht="15" hidden="false" customHeight="false" outlineLevel="0" collapsed="false">
      <c r="A230" s="21" t="s">
        <v>133</v>
      </c>
      <c r="B230" s="43" t="s">
        <v>187</v>
      </c>
      <c r="C230" s="22"/>
      <c r="D230" s="22" t="n">
        <v>1</v>
      </c>
      <c r="E230" s="21" t="s">
        <v>98</v>
      </c>
      <c r="F230" s="43" t="s">
        <v>187</v>
      </c>
      <c r="G230" s="68" t="n">
        <v>1</v>
      </c>
      <c r="H230" s="22" t="s">
        <v>141</v>
      </c>
    </row>
    <row r="231" customFormat="false" ht="15" hidden="false" customHeight="false" outlineLevel="0" collapsed="false">
      <c r="A231" s="21" t="s">
        <v>133</v>
      </c>
      <c r="B231" s="43" t="s">
        <v>189</v>
      </c>
      <c r="C231" s="22"/>
      <c r="D231" s="22" t="n">
        <v>1</v>
      </c>
      <c r="E231" s="21" t="s">
        <v>98</v>
      </c>
      <c r="F231" s="43" t="s">
        <v>189</v>
      </c>
      <c r="G231" s="68" t="n">
        <v>1</v>
      </c>
      <c r="H231" s="22" t="s">
        <v>141</v>
      </c>
    </row>
    <row r="232" customFormat="false" ht="15" hidden="false" customHeight="false" outlineLevel="0" collapsed="false">
      <c r="A232" s="21" t="s">
        <v>131</v>
      </c>
      <c r="B232" s="43" t="s">
        <v>223</v>
      </c>
      <c r="C232" s="22"/>
      <c r="D232" s="22" t="n">
        <v>1</v>
      </c>
      <c r="E232" s="21" t="s">
        <v>99</v>
      </c>
      <c r="F232" s="43" t="s">
        <v>223</v>
      </c>
      <c r="G232" s="68" t="n">
        <v>1</v>
      </c>
      <c r="H232" s="22" t="s">
        <v>141</v>
      </c>
    </row>
    <row r="233" customFormat="false" ht="15" hidden="false" customHeight="false" outlineLevel="0" collapsed="false">
      <c r="A233" s="21" t="s">
        <v>47</v>
      </c>
      <c r="B233" s="43" t="s">
        <v>312</v>
      </c>
      <c r="C233" s="22"/>
      <c r="D233" s="22" t="n">
        <v>1</v>
      </c>
      <c r="E233" s="21" t="s">
        <v>47</v>
      </c>
      <c r="F233" s="43" t="s">
        <v>312</v>
      </c>
      <c r="G233" s="68" t="n">
        <v>1</v>
      </c>
      <c r="H233" s="22" t="s">
        <v>141</v>
      </c>
    </row>
    <row r="234" customFormat="false" ht="15" hidden="false" customHeight="false" outlineLevel="0" collapsed="false">
      <c r="A234" s="21" t="s">
        <v>139</v>
      </c>
      <c r="B234" s="43" t="s">
        <v>265</v>
      </c>
      <c r="C234" s="22"/>
      <c r="D234" s="22" t="n">
        <v>1</v>
      </c>
      <c r="E234" s="21" t="s">
        <v>101</v>
      </c>
      <c r="F234" s="43" t="s">
        <v>265</v>
      </c>
      <c r="G234" s="68" t="n">
        <v>1</v>
      </c>
      <c r="H234" s="22" t="s">
        <v>141</v>
      </c>
    </row>
    <row r="235" customFormat="false" ht="15" hidden="false" customHeight="false" outlineLevel="0" collapsed="false">
      <c r="A235" s="21" t="s">
        <v>139</v>
      </c>
      <c r="B235" s="43" t="s">
        <v>267</v>
      </c>
      <c r="C235" s="22"/>
      <c r="D235" s="22" t="n">
        <v>1</v>
      </c>
      <c r="E235" s="21" t="s">
        <v>101</v>
      </c>
      <c r="F235" s="43" t="s">
        <v>267</v>
      </c>
      <c r="G235" s="68" t="n">
        <v>1</v>
      </c>
      <c r="H235" s="22" t="s">
        <v>141</v>
      </c>
    </row>
    <row r="236" customFormat="false" ht="15" hidden="false" customHeight="false" outlineLevel="0" collapsed="false">
      <c r="A236" s="21" t="s">
        <v>139</v>
      </c>
      <c r="B236" s="43" t="s">
        <v>269</v>
      </c>
      <c r="C236" s="22"/>
      <c r="D236" s="22" t="n">
        <v>1</v>
      </c>
      <c r="E236" s="21" t="s">
        <v>101</v>
      </c>
      <c r="F236" s="43" t="s">
        <v>269</v>
      </c>
      <c r="G236" s="68" t="n">
        <v>1</v>
      </c>
      <c r="H236" s="22" t="s">
        <v>141</v>
      </c>
    </row>
    <row r="237" customFormat="false" ht="15" hidden="false" customHeight="false" outlineLevel="0" collapsed="false">
      <c r="A237" s="21" t="s">
        <v>47</v>
      </c>
      <c r="B237" s="43" t="s">
        <v>315</v>
      </c>
      <c r="C237" s="22"/>
      <c r="D237" s="22" t="n">
        <v>1</v>
      </c>
      <c r="E237" s="21" t="s">
        <v>47</v>
      </c>
      <c r="F237" s="43" t="s">
        <v>315</v>
      </c>
      <c r="G237" s="68" t="n">
        <v>1</v>
      </c>
      <c r="H237" s="22" t="s">
        <v>141</v>
      </c>
    </row>
    <row r="238" customFormat="false" ht="15" hidden="false" customHeight="false" outlineLevel="0" collapsed="false">
      <c r="A238" s="21" t="s">
        <v>47</v>
      </c>
      <c r="B238" s="43" t="s">
        <v>318</v>
      </c>
      <c r="C238" s="22"/>
      <c r="D238" s="22" t="n">
        <v>1</v>
      </c>
      <c r="E238" s="21" t="s">
        <v>47</v>
      </c>
      <c r="F238" s="43" t="s">
        <v>318</v>
      </c>
      <c r="G238" s="68" t="n">
        <v>1</v>
      </c>
      <c r="H238" s="22" t="s">
        <v>141</v>
      </c>
    </row>
    <row r="239" customFormat="false" ht="15" hidden="false" customHeight="false" outlineLevel="0" collapsed="false">
      <c r="A239" s="21" t="s">
        <v>131</v>
      </c>
      <c r="B239" s="43" t="s">
        <v>224</v>
      </c>
      <c r="C239" s="22"/>
      <c r="D239" s="22" t="n">
        <v>1</v>
      </c>
      <c r="E239" s="21" t="s">
        <v>99</v>
      </c>
      <c r="F239" s="43" t="s">
        <v>224</v>
      </c>
      <c r="G239" s="68" t="n">
        <v>1</v>
      </c>
      <c r="H239" s="22" t="s">
        <v>141</v>
      </c>
    </row>
    <row r="240" customFormat="false" ht="15" hidden="false" customHeight="false" outlineLevel="0" collapsed="false">
      <c r="A240" s="21" t="s">
        <v>131</v>
      </c>
      <c r="B240" s="43" t="s">
        <v>687</v>
      </c>
      <c r="C240" s="22"/>
      <c r="D240" s="22" t="n">
        <v>1</v>
      </c>
      <c r="E240" s="21" t="s">
        <v>99</v>
      </c>
      <c r="F240" s="43" t="s">
        <v>232</v>
      </c>
      <c r="G240" s="68" t="n">
        <v>1</v>
      </c>
      <c r="H240" s="22" t="s">
        <v>141</v>
      </c>
    </row>
    <row r="241" customFormat="false" ht="15" hidden="false" customHeight="false" outlineLevel="0" collapsed="false">
      <c r="A241" s="21" t="s">
        <v>133</v>
      </c>
      <c r="B241" s="43" t="s">
        <v>688</v>
      </c>
      <c r="C241" s="22"/>
      <c r="D241" s="22" t="n">
        <v>1</v>
      </c>
      <c r="E241" s="21" t="s">
        <v>99</v>
      </c>
      <c r="F241" s="43" t="s">
        <v>231</v>
      </c>
      <c r="G241" s="68" t="n">
        <v>1</v>
      </c>
      <c r="H241" s="22" t="s">
        <v>141</v>
      </c>
    </row>
    <row r="242" customFormat="false" ht="15" hidden="false" customHeight="false" outlineLevel="0" collapsed="false">
      <c r="A242" s="21" t="s">
        <v>47</v>
      </c>
      <c r="B242" s="43" t="s">
        <v>689</v>
      </c>
      <c r="C242" s="22"/>
      <c r="D242" s="22" t="n">
        <v>1</v>
      </c>
      <c r="E242" s="21" t="s">
        <v>99</v>
      </c>
      <c r="F242" s="43" t="s">
        <v>233</v>
      </c>
      <c r="G242" s="68" t="n">
        <v>1</v>
      </c>
      <c r="H242" s="22" t="s">
        <v>141</v>
      </c>
    </row>
    <row r="243" customFormat="false" ht="15" hidden="false" customHeight="false" outlineLevel="0" collapsed="false">
      <c r="A243" s="21" t="s">
        <v>131</v>
      </c>
      <c r="B243" s="43" t="s">
        <v>225</v>
      </c>
      <c r="C243" s="22"/>
      <c r="D243" s="22" t="n">
        <v>1</v>
      </c>
      <c r="E243" s="21" t="s">
        <v>99</v>
      </c>
      <c r="F243" s="43" t="s">
        <v>225</v>
      </c>
      <c r="G243" s="68" t="n">
        <v>1</v>
      </c>
      <c r="H243" s="22" t="s">
        <v>141</v>
      </c>
    </row>
    <row r="244" customFormat="false" ht="15" hidden="false" customHeight="false" outlineLevel="0" collapsed="false">
      <c r="A244" s="21" t="s">
        <v>47</v>
      </c>
      <c r="B244" s="43" t="s">
        <v>324</v>
      </c>
      <c r="C244" s="22"/>
      <c r="D244" s="22" t="n">
        <v>1</v>
      </c>
      <c r="E244" s="21" t="s">
        <v>47</v>
      </c>
      <c r="F244" s="43" t="s">
        <v>324</v>
      </c>
      <c r="G244" s="68" t="n">
        <v>1</v>
      </c>
      <c r="H244" s="22" t="s">
        <v>141</v>
      </c>
    </row>
    <row r="245" customFormat="false" ht="15" hidden="false" customHeight="false" outlineLevel="0" collapsed="false">
      <c r="A245" s="21" t="s">
        <v>30</v>
      </c>
      <c r="B245" s="43" t="s">
        <v>258</v>
      </c>
      <c r="C245" s="22"/>
      <c r="D245" s="22" t="n">
        <v>1</v>
      </c>
      <c r="E245" s="21" t="s">
        <v>100</v>
      </c>
      <c r="F245" s="43" t="s">
        <v>258</v>
      </c>
      <c r="G245" s="68" t="n">
        <v>1</v>
      </c>
      <c r="H245" s="22" t="s">
        <v>141</v>
      </c>
    </row>
    <row r="246" customFormat="false" ht="15" hidden="false" customHeight="false" outlineLevel="0" collapsed="false">
      <c r="A246" s="21" t="s">
        <v>131</v>
      </c>
      <c r="B246" s="43" t="s">
        <v>226</v>
      </c>
      <c r="C246" s="22"/>
      <c r="D246" s="22" t="n">
        <v>1</v>
      </c>
      <c r="E246" s="21" t="s">
        <v>99</v>
      </c>
      <c r="F246" s="43" t="s">
        <v>226</v>
      </c>
      <c r="G246" s="68" t="n">
        <v>1</v>
      </c>
      <c r="H246" s="22" t="s">
        <v>141</v>
      </c>
    </row>
    <row r="247" customFormat="false" ht="15" hidden="false" customHeight="false" outlineLevel="0" collapsed="false">
      <c r="A247" s="21" t="s">
        <v>131</v>
      </c>
      <c r="B247" s="43" t="s">
        <v>227</v>
      </c>
      <c r="C247" s="22"/>
      <c r="D247" s="22" t="n">
        <v>1</v>
      </c>
      <c r="E247" s="21" t="s">
        <v>99</v>
      </c>
      <c r="F247" s="43" t="s">
        <v>227</v>
      </c>
      <c r="G247" s="68" t="n">
        <v>1</v>
      </c>
      <c r="H247" s="22" t="s">
        <v>141</v>
      </c>
    </row>
    <row r="248" customFormat="false" ht="15" hidden="false" customHeight="false" outlineLevel="0" collapsed="false">
      <c r="A248" s="21" t="s">
        <v>131</v>
      </c>
      <c r="B248" s="43" t="s">
        <v>229</v>
      </c>
      <c r="C248" s="22"/>
      <c r="D248" s="22" t="n">
        <v>1</v>
      </c>
      <c r="E248" s="21" t="s">
        <v>99</v>
      </c>
      <c r="F248" s="43" t="s">
        <v>229</v>
      </c>
      <c r="G248" s="68" t="n">
        <v>1</v>
      </c>
      <c r="H248" s="22" t="s">
        <v>141</v>
      </c>
    </row>
    <row r="249" customFormat="false" ht="15" hidden="false" customHeight="false" outlineLevel="0" collapsed="false">
      <c r="A249" s="21" t="s">
        <v>133</v>
      </c>
      <c r="B249" s="43" t="s">
        <v>690</v>
      </c>
      <c r="C249" s="22"/>
      <c r="D249" s="22" t="n">
        <v>1</v>
      </c>
      <c r="E249" s="21" t="s">
        <v>98</v>
      </c>
      <c r="F249" s="43" t="s">
        <v>198</v>
      </c>
      <c r="G249" s="68" t="n">
        <v>1</v>
      </c>
      <c r="H249" s="22" t="s">
        <v>141</v>
      </c>
    </row>
    <row r="250" customFormat="false" ht="15" hidden="false" customHeight="false" outlineLevel="0" collapsed="false">
      <c r="A250" s="21" t="s">
        <v>30</v>
      </c>
      <c r="B250" s="43" t="s">
        <v>259</v>
      </c>
      <c r="C250" s="22"/>
      <c r="D250" s="22" t="n">
        <v>1</v>
      </c>
      <c r="E250" s="21" t="s">
        <v>100</v>
      </c>
      <c r="F250" s="43" t="s">
        <v>259</v>
      </c>
      <c r="G250" s="68" t="n">
        <v>1</v>
      </c>
      <c r="H250" s="22" t="s">
        <v>141</v>
      </c>
    </row>
    <row r="251" customFormat="false" ht="15" hidden="false" customHeight="false" outlineLevel="0" collapsed="false">
      <c r="A251" s="21" t="s">
        <v>131</v>
      </c>
      <c r="B251" s="43" t="s">
        <v>228</v>
      </c>
      <c r="C251" s="22"/>
      <c r="D251" s="22" t="n">
        <v>1</v>
      </c>
      <c r="E251" s="21" t="s">
        <v>99</v>
      </c>
      <c r="F251" s="43" t="s">
        <v>228</v>
      </c>
      <c r="G251" s="68" t="n">
        <v>1</v>
      </c>
      <c r="H251" s="22" t="s">
        <v>141</v>
      </c>
    </row>
    <row r="252" customFormat="false" ht="15" hidden="false" customHeight="false" outlineLevel="0" collapsed="false">
      <c r="A252" s="21" t="s">
        <v>139</v>
      </c>
      <c r="B252" s="43" t="s">
        <v>691</v>
      </c>
      <c r="C252" s="22"/>
      <c r="D252" s="22" t="n">
        <v>1</v>
      </c>
      <c r="E252" s="21" t="s">
        <v>101</v>
      </c>
      <c r="F252" s="43" t="s">
        <v>272</v>
      </c>
      <c r="G252" s="68" t="n">
        <v>1</v>
      </c>
      <c r="H252" s="22" t="s">
        <v>141</v>
      </c>
    </row>
    <row r="253" customFormat="false" ht="15" hidden="false" customHeight="false" outlineLevel="0" collapsed="false">
      <c r="A253" s="21" t="s">
        <v>47</v>
      </c>
      <c r="B253" s="43" t="s">
        <v>331</v>
      </c>
      <c r="C253" s="22"/>
      <c r="D253" s="22" t="n">
        <v>1</v>
      </c>
      <c r="E253" s="21" t="s">
        <v>47</v>
      </c>
      <c r="F253" s="43" t="s">
        <v>331</v>
      </c>
      <c r="G253" s="68" t="n">
        <v>1</v>
      </c>
      <c r="H253" s="22" t="s">
        <v>141</v>
      </c>
    </row>
    <row r="254" customFormat="false" ht="15" hidden="false" customHeight="false" outlineLevel="0" collapsed="false">
      <c r="A254" s="21" t="s">
        <v>133</v>
      </c>
      <c r="B254" s="43" t="s">
        <v>692</v>
      </c>
      <c r="C254" s="22"/>
      <c r="D254" s="22" t="n">
        <v>1</v>
      </c>
      <c r="E254" s="21" t="s">
        <v>98</v>
      </c>
      <c r="F254" s="43" t="s">
        <v>168</v>
      </c>
      <c r="G254" s="68" t="n">
        <v>0.97</v>
      </c>
      <c r="H254" s="22" t="s">
        <v>141</v>
      </c>
    </row>
    <row r="255" customFormat="false" ht="15" hidden="false" customHeight="false" outlineLevel="0" collapsed="false">
      <c r="A255" s="21" t="s">
        <v>137</v>
      </c>
      <c r="B255" s="43" t="s">
        <v>693</v>
      </c>
      <c r="C255" s="22"/>
      <c r="D255" s="22" t="n">
        <v>1</v>
      </c>
      <c r="E255" s="21" t="s">
        <v>98</v>
      </c>
      <c r="F255" s="43" t="s">
        <v>181</v>
      </c>
      <c r="G255" s="68" t="n">
        <v>0.97</v>
      </c>
      <c r="H255" s="22" t="s">
        <v>141</v>
      </c>
    </row>
    <row r="256" customFormat="false" ht="15" hidden="false" customHeight="false" outlineLevel="0" collapsed="false">
      <c r="A256" s="21" t="s">
        <v>30</v>
      </c>
      <c r="B256" s="43" t="s">
        <v>694</v>
      </c>
      <c r="C256" s="22"/>
      <c r="D256" s="22" t="n">
        <v>1</v>
      </c>
      <c r="E256" s="21" t="s">
        <v>100</v>
      </c>
      <c r="F256" s="43" t="s">
        <v>260</v>
      </c>
      <c r="G256" s="68" t="n">
        <v>0.97</v>
      </c>
      <c r="H256" s="22" t="s">
        <v>141</v>
      </c>
    </row>
    <row r="257" customFormat="false" ht="15" hidden="false" customHeight="false" outlineLevel="0" collapsed="false">
      <c r="A257" s="21" t="s">
        <v>30</v>
      </c>
      <c r="B257" s="43" t="s">
        <v>695</v>
      </c>
      <c r="C257" s="22"/>
      <c r="D257" s="22" t="n">
        <v>1</v>
      </c>
      <c r="E257" s="21" t="s">
        <v>100</v>
      </c>
      <c r="F257" s="43" t="s">
        <v>260</v>
      </c>
      <c r="G257" s="68" t="n">
        <v>0.97</v>
      </c>
      <c r="H257" s="22" t="s">
        <v>141</v>
      </c>
    </row>
    <row r="258" customFormat="false" ht="15" hidden="false" customHeight="false" outlineLevel="0" collapsed="false">
      <c r="A258" s="21" t="s">
        <v>133</v>
      </c>
      <c r="B258" s="43" t="s">
        <v>696</v>
      </c>
      <c r="C258" s="22"/>
      <c r="D258" s="22" t="n">
        <v>1</v>
      </c>
      <c r="E258" s="21" t="s">
        <v>47</v>
      </c>
      <c r="F258" s="43" t="s">
        <v>299</v>
      </c>
      <c r="G258" s="68" t="n">
        <v>0.97</v>
      </c>
      <c r="H258" s="22" t="s">
        <v>141</v>
      </c>
    </row>
    <row r="259" customFormat="false" ht="15" hidden="false" customHeight="false" outlineLevel="0" collapsed="false">
      <c r="A259" s="21" t="s">
        <v>133</v>
      </c>
      <c r="B259" s="43" t="s">
        <v>697</v>
      </c>
      <c r="C259" s="22"/>
      <c r="D259" s="22" t="n">
        <v>1</v>
      </c>
      <c r="E259" s="21" t="s">
        <v>47</v>
      </c>
      <c r="F259" s="43" t="s">
        <v>299</v>
      </c>
      <c r="G259" s="68" t="n">
        <v>0.97</v>
      </c>
      <c r="H259" s="22" t="s">
        <v>141</v>
      </c>
    </row>
    <row r="260" customFormat="false" ht="15" hidden="false" customHeight="false" outlineLevel="0" collapsed="false">
      <c r="A260" s="21" t="s">
        <v>30</v>
      </c>
      <c r="B260" s="43" t="s">
        <v>698</v>
      </c>
      <c r="C260" s="22"/>
      <c r="D260" s="22" t="n">
        <v>1</v>
      </c>
      <c r="E260" s="21" t="s">
        <v>100</v>
      </c>
      <c r="F260" s="43" t="s">
        <v>239</v>
      </c>
      <c r="G260" s="68" t="n">
        <v>0.97</v>
      </c>
      <c r="H260" s="22" t="s">
        <v>141</v>
      </c>
    </row>
    <row r="261" customFormat="false" ht="15" hidden="false" customHeight="false" outlineLevel="0" collapsed="false">
      <c r="A261" s="21" t="s">
        <v>30</v>
      </c>
      <c r="B261" s="43" t="s">
        <v>699</v>
      </c>
      <c r="C261" s="22"/>
      <c r="D261" s="22" t="n">
        <v>1</v>
      </c>
      <c r="E261" s="21" t="s">
        <v>100</v>
      </c>
      <c r="F261" s="43" t="s">
        <v>239</v>
      </c>
      <c r="G261" s="68" t="n">
        <v>0.97</v>
      </c>
      <c r="H261" s="22" t="s">
        <v>141</v>
      </c>
    </row>
    <row r="262" customFormat="false" ht="15" hidden="false" customHeight="false" outlineLevel="0" collapsed="false">
      <c r="A262" s="21" t="s">
        <v>38</v>
      </c>
      <c r="B262" s="43" t="s">
        <v>700</v>
      </c>
      <c r="C262" s="22"/>
      <c r="D262" s="22" t="n">
        <v>1</v>
      </c>
      <c r="E262" s="21" t="s">
        <v>100</v>
      </c>
      <c r="F262" s="43" t="s">
        <v>239</v>
      </c>
      <c r="G262" s="68" t="n">
        <v>0.97</v>
      </c>
      <c r="H262" s="22" t="s">
        <v>141</v>
      </c>
    </row>
    <row r="263" customFormat="false" ht="15" hidden="false" customHeight="false" outlineLevel="0" collapsed="false">
      <c r="A263" s="21" t="s">
        <v>47</v>
      </c>
      <c r="B263" s="43" t="s">
        <v>701</v>
      </c>
      <c r="C263" s="22"/>
      <c r="D263" s="22" t="n">
        <v>1</v>
      </c>
      <c r="E263" s="21" t="s">
        <v>47</v>
      </c>
      <c r="F263" s="43" t="s">
        <v>287</v>
      </c>
      <c r="G263" s="68" t="n">
        <v>0.97</v>
      </c>
      <c r="H263" s="22" t="s">
        <v>141</v>
      </c>
    </row>
    <row r="264" customFormat="false" ht="15" hidden="false" customHeight="false" outlineLevel="0" collapsed="false">
      <c r="A264" s="21" t="s">
        <v>131</v>
      </c>
      <c r="B264" s="43" t="s">
        <v>702</v>
      </c>
      <c r="C264" s="22"/>
      <c r="D264" s="22" t="n">
        <v>1</v>
      </c>
      <c r="E264" s="21" t="s">
        <v>99</v>
      </c>
      <c r="F264" s="43" t="s">
        <v>209</v>
      </c>
      <c r="G264" s="68" t="n">
        <v>0.97</v>
      </c>
      <c r="H264" s="22" t="s">
        <v>141</v>
      </c>
    </row>
    <row r="265" customFormat="false" ht="15" hidden="false" customHeight="false" outlineLevel="0" collapsed="false">
      <c r="A265" s="21" t="s">
        <v>133</v>
      </c>
      <c r="B265" s="43" t="s">
        <v>703</v>
      </c>
      <c r="C265" s="22"/>
      <c r="D265" s="22" t="n">
        <v>1</v>
      </c>
      <c r="E265" s="21" t="s">
        <v>98</v>
      </c>
      <c r="F265" s="43" t="s">
        <v>178</v>
      </c>
      <c r="G265" s="68" t="n">
        <v>0.97</v>
      </c>
      <c r="H265" s="22" t="s">
        <v>141</v>
      </c>
    </row>
    <row r="266" customFormat="false" ht="15" hidden="false" customHeight="false" outlineLevel="0" collapsed="false">
      <c r="A266" s="21" t="s">
        <v>133</v>
      </c>
      <c r="B266" s="43" t="s">
        <v>704</v>
      </c>
      <c r="C266" s="22"/>
      <c r="D266" s="22" t="n">
        <v>1</v>
      </c>
      <c r="E266" s="21" t="s">
        <v>98</v>
      </c>
      <c r="F266" s="43" t="s">
        <v>179</v>
      </c>
      <c r="G266" s="68" t="n">
        <v>0.97</v>
      </c>
      <c r="H266" s="22" t="s">
        <v>141</v>
      </c>
    </row>
    <row r="267" customFormat="false" ht="15" hidden="false" customHeight="false" outlineLevel="0" collapsed="false">
      <c r="A267" s="21" t="s">
        <v>133</v>
      </c>
      <c r="B267" s="43" t="s">
        <v>705</v>
      </c>
      <c r="C267" s="22"/>
      <c r="D267" s="22" t="n">
        <v>1</v>
      </c>
      <c r="E267" s="21" t="s">
        <v>100</v>
      </c>
      <c r="F267" s="43" t="s">
        <v>261</v>
      </c>
      <c r="G267" s="68" t="n">
        <v>0.97</v>
      </c>
      <c r="H267" s="22" t="s">
        <v>141</v>
      </c>
    </row>
    <row r="268" customFormat="false" ht="15" hidden="false" customHeight="false" outlineLevel="0" collapsed="false">
      <c r="A268" s="21" t="s">
        <v>47</v>
      </c>
      <c r="B268" s="43" t="s">
        <v>706</v>
      </c>
      <c r="C268" s="22"/>
      <c r="D268" s="22" t="n">
        <v>1</v>
      </c>
      <c r="E268" s="21" t="s">
        <v>47</v>
      </c>
      <c r="F268" s="43" t="s">
        <v>299</v>
      </c>
      <c r="G268" s="68" t="n">
        <v>0.97</v>
      </c>
      <c r="H268" s="22" t="s">
        <v>141</v>
      </c>
    </row>
    <row r="269" customFormat="false" ht="15" hidden="false" customHeight="false" outlineLevel="0" collapsed="false">
      <c r="A269" s="21" t="s">
        <v>131</v>
      </c>
      <c r="B269" s="43" t="s">
        <v>707</v>
      </c>
      <c r="C269" s="22"/>
      <c r="D269" s="22" t="n">
        <v>1</v>
      </c>
      <c r="E269" s="21" t="s">
        <v>99</v>
      </c>
      <c r="F269" s="43" t="s">
        <v>212</v>
      </c>
      <c r="G269" s="68" t="n">
        <v>0.97</v>
      </c>
      <c r="H269" s="22" t="s">
        <v>141</v>
      </c>
    </row>
    <row r="270" customFormat="false" ht="15" hidden="false" customHeight="false" outlineLevel="0" collapsed="false">
      <c r="A270" s="21" t="s">
        <v>30</v>
      </c>
      <c r="B270" s="43" t="s">
        <v>708</v>
      </c>
      <c r="C270" s="22"/>
      <c r="D270" s="22" t="n">
        <v>1</v>
      </c>
      <c r="E270" s="21" t="s">
        <v>100</v>
      </c>
      <c r="F270" s="43" t="s">
        <v>245</v>
      </c>
      <c r="G270" s="68" t="n">
        <v>0.97</v>
      </c>
      <c r="H270" s="22" t="s">
        <v>141</v>
      </c>
    </row>
    <row r="271" customFormat="false" ht="15" hidden="false" customHeight="false" outlineLevel="0" collapsed="false">
      <c r="A271" s="21" t="s">
        <v>30</v>
      </c>
      <c r="B271" s="43" t="s">
        <v>709</v>
      </c>
      <c r="C271" s="22"/>
      <c r="D271" s="22" t="n">
        <v>1</v>
      </c>
      <c r="E271" s="21" t="s">
        <v>100</v>
      </c>
      <c r="F271" s="43" t="s">
        <v>245</v>
      </c>
      <c r="G271" s="68" t="n">
        <v>0.97</v>
      </c>
      <c r="H271" s="22" t="s">
        <v>141</v>
      </c>
    </row>
    <row r="272" customFormat="false" ht="15" hidden="false" customHeight="false" outlineLevel="0" collapsed="false">
      <c r="A272" s="21" t="s">
        <v>30</v>
      </c>
      <c r="B272" s="43" t="s">
        <v>710</v>
      </c>
      <c r="C272" s="22"/>
      <c r="D272" s="22" t="n">
        <v>1</v>
      </c>
      <c r="E272" s="21" t="s">
        <v>100</v>
      </c>
      <c r="F272" s="43" t="s">
        <v>246</v>
      </c>
      <c r="G272" s="68" t="n">
        <v>0.97</v>
      </c>
      <c r="H272" s="22" t="s">
        <v>141</v>
      </c>
    </row>
    <row r="273" customFormat="false" ht="15" hidden="false" customHeight="false" outlineLevel="0" collapsed="false">
      <c r="A273" s="21" t="s">
        <v>30</v>
      </c>
      <c r="B273" s="43" t="s">
        <v>711</v>
      </c>
      <c r="C273" s="22"/>
      <c r="D273" s="22" t="n">
        <v>1</v>
      </c>
      <c r="E273" s="21" t="s">
        <v>100</v>
      </c>
      <c r="F273" s="43" t="s">
        <v>246</v>
      </c>
      <c r="G273" s="68" t="n">
        <v>0.97</v>
      </c>
      <c r="H273" s="22" t="s">
        <v>141</v>
      </c>
    </row>
    <row r="274" customFormat="false" ht="15" hidden="false" customHeight="false" outlineLevel="0" collapsed="false">
      <c r="A274" s="21" t="s">
        <v>131</v>
      </c>
      <c r="B274" s="43" t="s">
        <v>712</v>
      </c>
      <c r="C274" s="22"/>
      <c r="D274" s="22" t="n">
        <v>1</v>
      </c>
      <c r="E274" s="21" t="s">
        <v>99</v>
      </c>
      <c r="F274" s="43" t="s">
        <v>234</v>
      </c>
      <c r="G274" s="68" t="n">
        <v>0.97</v>
      </c>
      <c r="H274" s="22" t="s">
        <v>141</v>
      </c>
    </row>
    <row r="275" customFormat="false" ht="15" hidden="false" customHeight="false" outlineLevel="0" collapsed="false">
      <c r="A275" s="21" t="s">
        <v>131</v>
      </c>
      <c r="B275" s="43" t="s">
        <v>713</v>
      </c>
      <c r="C275" s="22"/>
      <c r="D275" s="22" t="n">
        <v>1</v>
      </c>
      <c r="E275" s="21" t="s">
        <v>99</v>
      </c>
      <c r="F275" s="43" t="s">
        <v>205</v>
      </c>
      <c r="G275" s="68" t="n">
        <v>0.97</v>
      </c>
      <c r="H275" s="22" t="s">
        <v>141</v>
      </c>
    </row>
    <row r="276" customFormat="false" ht="15" hidden="false" customHeight="false" outlineLevel="0" collapsed="false">
      <c r="A276" s="21" t="s">
        <v>131</v>
      </c>
      <c r="B276" s="43" t="s">
        <v>714</v>
      </c>
      <c r="C276" s="22"/>
      <c r="D276" s="22" t="n">
        <v>1</v>
      </c>
      <c r="E276" s="21" t="s">
        <v>99</v>
      </c>
      <c r="F276" s="43" t="s">
        <v>205</v>
      </c>
      <c r="G276" s="68" t="n">
        <v>0.97</v>
      </c>
      <c r="H276" s="22" t="s">
        <v>141</v>
      </c>
    </row>
    <row r="277" customFormat="false" ht="15" hidden="false" customHeight="false" outlineLevel="0" collapsed="false">
      <c r="A277" s="21" t="s">
        <v>47</v>
      </c>
      <c r="B277" s="43" t="s">
        <v>715</v>
      </c>
      <c r="C277" s="22"/>
      <c r="D277" s="22" t="n">
        <v>1</v>
      </c>
      <c r="E277" s="21" t="s">
        <v>47</v>
      </c>
      <c r="F277" s="43" t="s">
        <v>299</v>
      </c>
      <c r="G277" s="68" t="n">
        <v>0.97</v>
      </c>
      <c r="H277" s="22" t="s">
        <v>141</v>
      </c>
    </row>
    <row r="278" customFormat="false" ht="15" hidden="false" customHeight="false" outlineLevel="0" collapsed="false">
      <c r="A278" s="21" t="s">
        <v>47</v>
      </c>
      <c r="B278" s="43" t="s">
        <v>716</v>
      </c>
      <c r="C278" s="22"/>
      <c r="D278" s="22" t="n">
        <v>1</v>
      </c>
      <c r="E278" s="21" t="s">
        <v>47</v>
      </c>
      <c r="F278" s="43" t="s">
        <v>299</v>
      </c>
      <c r="G278" s="68" t="n">
        <v>0.97</v>
      </c>
      <c r="H278" s="22" t="s">
        <v>141</v>
      </c>
    </row>
    <row r="279" customFormat="false" ht="15" hidden="false" customHeight="false" outlineLevel="0" collapsed="false">
      <c r="A279" s="21" t="s">
        <v>47</v>
      </c>
      <c r="B279" s="43" t="s">
        <v>717</v>
      </c>
      <c r="C279" s="22"/>
      <c r="D279" s="22" t="n">
        <v>1</v>
      </c>
      <c r="E279" s="21" t="s">
        <v>47</v>
      </c>
      <c r="F279" s="43" t="s">
        <v>301</v>
      </c>
      <c r="G279" s="68" t="n">
        <v>0.97</v>
      </c>
      <c r="H279" s="22" t="s">
        <v>141</v>
      </c>
    </row>
    <row r="280" customFormat="false" ht="15" hidden="false" customHeight="false" outlineLevel="0" collapsed="false">
      <c r="A280" s="21" t="s">
        <v>131</v>
      </c>
      <c r="B280" s="43" t="s">
        <v>718</v>
      </c>
      <c r="C280" s="22"/>
      <c r="D280" s="22" t="n">
        <v>1</v>
      </c>
      <c r="E280" s="21" t="s">
        <v>99</v>
      </c>
      <c r="F280" s="43" t="s">
        <v>213</v>
      </c>
      <c r="G280" s="68" t="n">
        <v>0.97</v>
      </c>
      <c r="H280" s="22" t="s">
        <v>141</v>
      </c>
    </row>
    <row r="281" customFormat="false" ht="15" hidden="false" customHeight="false" outlineLevel="0" collapsed="false">
      <c r="A281" s="21" t="s">
        <v>30</v>
      </c>
      <c r="B281" s="43" t="s">
        <v>719</v>
      </c>
      <c r="C281" s="22"/>
      <c r="D281" s="22" t="n">
        <v>1</v>
      </c>
      <c r="E281" s="21" t="s">
        <v>99</v>
      </c>
      <c r="F281" s="43" t="s">
        <v>222</v>
      </c>
      <c r="G281" s="68" t="n">
        <v>0.97</v>
      </c>
      <c r="H281" s="22" t="s">
        <v>141</v>
      </c>
    </row>
    <row r="282" customFormat="false" ht="15" hidden="false" customHeight="false" outlineLevel="0" collapsed="false">
      <c r="A282" s="21" t="s">
        <v>35</v>
      </c>
      <c r="B282" s="43" t="s">
        <v>720</v>
      </c>
      <c r="C282" s="22"/>
      <c r="D282" s="22" t="n">
        <v>1</v>
      </c>
      <c r="E282" s="21" t="s">
        <v>47</v>
      </c>
      <c r="F282" s="43" t="s">
        <v>293</v>
      </c>
      <c r="G282" s="68" t="n">
        <v>0.97</v>
      </c>
      <c r="H282" s="22" t="s">
        <v>141</v>
      </c>
    </row>
    <row r="283" customFormat="false" ht="15" hidden="false" customHeight="false" outlineLevel="0" collapsed="false">
      <c r="A283" s="21" t="s">
        <v>35</v>
      </c>
      <c r="B283" s="43" t="s">
        <v>721</v>
      </c>
      <c r="C283" s="22"/>
      <c r="D283" s="22" t="n">
        <v>1</v>
      </c>
      <c r="E283" s="21" t="s">
        <v>99</v>
      </c>
      <c r="F283" s="43" t="s">
        <v>214</v>
      </c>
      <c r="G283" s="68" t="n">
        <v>0.97</v>
      </c>
      <c r="H283" s="22" t="s">
        <v>141</v>
      </c>
    </row>
    <row r="284" customFormat="false" ht="15" hidden="false" customHeight="false" outlineLevel="0" collapsed="false">
      <c r="A284" s="21" t="s">
        <v>30</v>
      </c>
      <c r="B284" s="43" t="s">
        <v>722</v>
      </c>
      <c r="C284" s="22"/>
      <c r="D284" s="22" t="n">
        <v>1</v>
      </c>
      <c r="E284" s="21" t="s">
        <v>100</v>
      </c>
      <c r="F284" s="43" t="s">
        <v>252</v>
      </c>
      <c r="G284" s="68" t="n">
        <v>0.97</v>
      </c>
      <c r="H284" s="22" t="s">
        <v>141</v>
      </c>
    </row>
    <row r="285" customFormat="false" ht="15" hidden="false" customHeight="false" outlineLevel="0" collapsed="false">
      <c r="A285" s="21" t="s">
        <v>30</v>
      </c>
      <c r="B285" s="43" t="s">
        <v>723</v>
      </c>
      <c r="C285" s="22"/>
      <c r="D285" s="22" t="n">
        <v>1</v>
      </c>
      <c r="E285" s="21" t="s">
        <v>100</v>
      </c>
      <c r="F285" s="43" t="s">
        <v>252</v>
      </c>
      <c r="G285" s="68" t="n">
        <v>0.97</v>
      </c>
      <c r="H285" s="22" t="s">
        <v>141</v>
      </c>
    </row>
    <row r="286" customFormat="false" ht="15" hidden="false" customHeight="false" outlineLevel="0" collapsed="false">
      <c r="A286" s="21" t="s">
        <v>43</v>
      </c>
      <c r="B286" s="43" t="s">
        <v>724</v>
      </c>
      <c r="C286" s="22" t="s">
        <v>601</v>
      </c>
      <c r="D286" s="22" t="n">
        <v>1</v>
      </c>
      <c r="E286" s="21" t="s">
        <v>43</v>
      </c>
      <c r="F286" s="43" t="s">
        <v>353</v>
      </c>
      <c r="G286" s="68" t="n">
        <v>0.97</v>
      </c>
      <c r="H286" s="22" t="s">
        <v>141</v>
      </c>
    </row>
    <row r="287" customFormat="false" ht="15" hidden="false" customHeight="false" outlineLevel="0" collapsed="false">
      <c r="A287" s="21" t="s">
        <v>43</v>
      </c>
      <c r="B287" s="43" t="s">
        <v>725</v>
      </c>
      <c r="C287" s="22" t="s">
        <v>601</v>
      </c>
      <c r="D287" s="22" t="n">
        <v>1</v>
      </c>
      <c r="E287" s="21" t="s">
        <v>43</v>
      </c>
      <c r="F287" s="43" t="s">
        <v>353</v>
      </c>
      <c r="G287" s="68" t="n">
        <v>0.97</v>
      </c>
      <c r="H287" s="22" t="s">
        <v>141</v>
      </c>
    </row>
    <row r="288" customFormat="false" ht="15" hidden="false" customHeight="false" outlineLevel="0" collapsed="false">
      <c r="A288" s="21" t="s">
        <v>43</v>
      </c>
      <c r="B288" s="43" t="s">
        <v>726</v>
      </c>
      <c r="C288" s="22" t="s">
        <v>601</v>
      </c>
      <c r="D288" s="22" t="n">
        <v>1</v>
      </c>
      <c r="E288" s="21" t="s">
        <v>43</v>
      </c>
      <c r="F288" s="43" t="s">
        <v>350</v>
      </c>
      <c r="G288" s="68" t="n">
        <v>0.97</v>
      </c>
      <c r="H288" s="22" t="s">
        <v>141</v>
      </c>
    </row>
    <row r="289" customFormat="false" ht="15" hidden="false" customHeight="false" outlineLevel="0" collapsed="false">
      <c r="A289" s="21" t="s">
        <v>43</v>
      </c>
      <c r="B289" s="43" t="s">
        <v>727</v>
      </c>
      <c r="C289" s="22" t="s">
        <v>601</v>
      </c>
      <c r="D289" s="22" t="n">
        <v>1</v>
      </c>
      <c r="E289" s="21" t="s">
        <v>43</v>
      </c>
      <c r="F289" s="43" t="s">
        <v>350</v>
      </c>
      <c r="G289" s="68" t="n">
        <v>0.97</v>
      </c>
      <c r="H289" s="22" t="s">
        <v>141</v>
      </c>
    </row>
    <row r="290" customFormat="false" ht="15" hidden="false" customHeight="false" outlineLevel="0" collapsed="false">
      <c r="A290" s="21" t="s">
        <v>131</v>
      </c>
      <c r="B290" s="43" t="s">
        <v>728</v>
      </c>
      <c r="C290" s="22"/>
      <c r="D290" s="22" t="n">
        <v>1</v>
      </c>
      <c r="E290" s="21" t="s">
        <v>99</v>
      </c>
      <c r="F290" s="43" t="s">
        <v>204</v>
      </c>
      <c r="G290" s="68" t="n">
        <v>0.97</v>
      </c>
      <c r="H290" s="22" t="s">
        <v>141</v>
      </c>
    </row>
    <row r="291" customFormat="false" ht="15" hidden="false" customHeight="false" outlineLevel="0" collapsed="false">
      <c r="A291" s="21" t="s">
        <v>38</v>
      </c>
      <c r="B291" s="43" t="s">
        <v>729</v>
      </c>
      <c r="C291" s="22"/>
      <c r="D291" s="22" t="n">
        <v>1</v>
      </c>
      <c r="E291" s="21" t="s">
        <v>43</v>
      </c>
      <c r="F291" s="43" t="s">
        <v>350</v>
      </c>
      <c r="G291" s="68" t="n">
        <v>0.97</v>
      </c>
      <c r="H291" s="22" t="s">
        <v>141</v>
      </c>
    </row>
    <row r="292" customFormat="false" ht="15" hidden="false" customHeight="false" outlineLevel="0" collapsed="false">
      <c r="A292" s="21" t="s">
        <v>47</v>
      </c>
      <c r="B292" s="43" t="s">
        <v>730</v>
      </c>
      <c r="C292" s="22"/>
      <c r="D292" s="22" t="n">
        <v>1</v>
      </c>
      <c r="E292" s="21" t="s">
        <v>47</v>
      </c>
      <c r="F292" s="43" t="s">
        <v>320</v>
      </c>
      <c r="G292" s="68" t="n">
        <v>0.97</v>
      </c>
      <c r="H292" s="22" t="s">
        <v>141</v>
      </c>
    </row>
    <row r="293" customFormat="false" ht="15" hidden="false" customHeight="false" outlineLevel="0" collapsed="false">
      <c r="A293" s="21" t="s">
        <v>49</v>
      </c>
      <c r="B293" s="43" t="s">
        <v>731</v>
      </c>
      <c r="C293" s="22"/>
      <c r="D293" s="22" t="n">
        <v>1</v>
      </c>
      <c r="E293" s="21" t="s">
        <v>49</v>
      </c>
      <c r="F293" s="43" t="s">
        <v>347</v>
      </c>
      <c r="G293" s="68" t="n">
        <v>0.97</v>
      </c>
      <c r="H293" s="22" t="s">
        <v>141</v>
      </c>
    </row>
    <row r="294" customFormat="false" ht="15" hidden="false" customHeight="false" outlineLevel="0" collapsed="false">
      <c r="A294" s="21" t="s">
        <v>133</v>
      </c>
      <c r="B294" s="43" t="s">
        <v>732</v>
      </c>
      <c r="C294" s="22"/>
      <c r="D294" s="22" t="n">
        <v>1</v>
      </c>
      <c r="E294" s="21" t="s">
        <v>99</v>
      </c>
      <c r="F294" s="43" t="s">
        <v>231</v>
      </c>
      <c r="G294" s="68" t="n">
        <v>0.97</v>
      </c>
      <c r="H294" s="22" t="s">
        <v>141</v>
      </c>
    </row>
    <row r="295" customFormat="false" ht="15" hidden="false" customHeight="false" outlineLevel="0" collapsed="false">
      <c r="A295" s="21" t="s">
        <v>133</v>
      </c>
      <c r="B295" s="43" t="s">
        <v>733</v>
      </c>
      <c r="C295" s="22"/>
      <c r="D295" s="22" t="n">
        <v>1</v>
      </c>
      <c r="E295" s="21" t="s">
        <v>98</v>
      </c>
      <c r="F295" s="43" t="s">
        <v>193</v>
      </c>
      <c r="G295" s="68" t="n">
        <v>0.97</v>
      </c>
      <c r="H295" s="22" t="s">
        <v>141</v>
      </c>
    </row>
    <row r="296" customFormat="false" ht="15" hidden="false" customHeight="false" outlineLevel="0" collapsed="false">
      <c r="A296" s="21" t="s">
        <v>133</v>
      </c>
      <c r="B296" s="43" t="s">
        <v>734</v>
      </c>
      <c r="C296" s="22"/>
      <c r="D296" s="22" t="n">
        <v>1</v>
      </c>
      <c r="E296" s="21" t="s">
        <v>98</v>
      </c>
      <c r="F296" s="43" t="s">
        <v>194</v>
      </c>
      <c r="G296" s="68" t="n">
        <v>0.97</v>
      </c>
      <c r="H296" s="22" t="s">
        <v>141</v>
      </c>
    </row>
    <row r="297" customFormat="false" ht="15" hidden="false" customHeight="false" outlineLevel="0" collapsed="false">
      <c r="A297" s="21" t="s">
        <v>133</v>
      </c>
      <c r="B297" s="43" t="s">
        <v>735</v>
      </c>
      <c r="C297" s="22"/>
      <c r="D297" s="22" t="n">
        <v>1</v>
      </c>
      <c r="E297" s="21" t="s">
        <v>98</v>
      </c>
      <c r="F297" s="43" t="s">
        <v>200</v>
      </c>
      <c r="G297" s="68" t="n">
        <v>0.97</v>
      </c>
      <c r="H297" s="22" t="s">
        <v>141</v>
      </c>
    </row>
    <row r="298" customFormat="false" ht="15" hidden="false" customHeight="false" outlineLevel="0" collapsed="false">
      <c r="A298" s="21" t="s">
        <v>133</v>
      </c>
      <c r="B298" s="43" t="s">
        <v>736</v>
      </c>
      <c r="C298" s="22"/>
      <c r="D298" s="22" t="n">
        <v>1</v>
      </c>
      <c r="E298" s="21" t="s">
        <v>98</v>
      </c>
      <c r="F298" s="43" t="s">
        <v>201</v>
      </c>
      <c r="G298" s="68" t="n">
        <v>0.97</v>
      </c>
      <c r="H298" s="22" t="s">
        <v>141</v>
      </c>
    </row>
    <row r="299" customFormat="false" ht="15" hidden="false" customHeight="false" outlineLevel="0" collapsed="false">
      <c r="A299" s="21" t="s">
        <v>133</v>
      </c>
      <c r="B299" s="43" t="s">
        <v>737</v>
      </c>
      <c r="C299" s="22"/>
      <c r="D299" s="22" t="n">
        <v>1</v>
      </c>
      <c r="E299" s="21" t="s">
        <v>98</v>
      </c>
      <c r="F299" s="43" t="s">
        <v>195</v>
      </c>
      <c r="G299" s="68" t="n">
        <v>0.97</v>
      </c>
      <c r="H299" s="22" t="s">
        <v>141</v>
      </c>
    </row>
    <row r="300" customFormat="false" ht="15" hidden="false" customHeight="false" outlineLevel="0" collapsed="false">
      <c r="A300" s="21" t="s">
        <v>30</v>
      </c>
      <c r="B300" s="43" t="s">
        <v>738</v>
      </c>
      <c r="C300" s="22"/>
      <c r="D300" s="22" t="n">
        <v>1</v>
      </c>
      <c r="E300" s="21" t="s">
        <v>100</v>
      </c>
      <c r="F300" s="43" t="s">
        <v>258</v>
      </c>
      <c r="G300" s="68" t="n">
        <v>0.97</v>
      </c>
      <c r="H300" s="22" t="s">
        <v>141</v>
      </c>
    </row>
    <row r="301" customFormat="false" ht="15" hidden="false" customHeight="false" outlineLevel="0" collapsed="false">
      <c r="A301" s="21" t="s">
        <v>30</v>
      </c>
      <c r="B301" s="43" t="s">
        <v>739</v>
      </c>
      <c r="C301" s="22"/>
      <c r="D301" s="22" t="n">
        <v>1</v>
      </c>
      <c r="E301" s="21" t="s">
        <v>100</v>
      </c>
      <c r="F301" s="43" t="s">
        <v>258</v>
      </c>
      <c r="G301" s="68" t="n">
        <v>0.97</v>
      </c>
      <c r="H301" s="22" t="s">
        <v>141</v>
      </c>
    </row>
    <row r="302" customFormat="false" ht="15" hidden="false" customHeight="false" outlineLevel="0" collapsed="false">
      <c r="A302" s="21" t="s">
        <v>47</v>
      </c>
      <c r="B302" s="43" t="s">
        <v>740</v>
      </c>
      <c r="C302" s="22"/>
      <c r="D302" s="22" t="n">
        <v>1</v>
      </c>
      <c r="E302" s="21" t="s">
        <v>100</v>
      </c>
      <c r="F302" s="43" t="s">
        <v>260</v>
      </c>
      <c r="G302" s="68" t="n">
        <v>0.97</v>
      </c>
      <c r="H302" s="22" t="s">
        <v>141</v>
      </c>
    </row>
    <row r="303" customFormat="false" ht="15" hidden="false" customHeight="false" outlineLevel="0" collapsed="false">
      <c r="A303" s="21" t="s">
        <v>47</v>
      </c>
      <c r="B303" s="43" t="s">
        <v>741</v>
      </c>
      <c r="C303" s="22"/>
      <c r="D303" s="22" t="n">
        <v>1</v>
      </c>
      <c r="E303" s="21" t="s">
        <v>100</v>
      </c>
      <c r="F303" s="43" t="s">
        <v>245</v>
      </c>
      <c r="G303" s="68" t="n">
        <v>0.97</v>
      </c>
      <c r="H303" s="22" t="s">
        <v>141</v>
      </c>
    </row>
    <row r="304" customFormat="false" ht="15" hidden="false" customHeight="false" outlineLevel="0" collapsed="false">
      <c r="A304" s="21" t="s">
        <v>47</v>
      </c>
      <c r="B304" s="43" t="s">
        <v>742</v>
      </c>
      <c r="C304" s="22"/>
      <c r="D304" s="22" t="n">
        <v>1</v>
      </c>
      <c r="E304" s="21" t="s">
        <v>100</v>
      </c>
      <c r="F304" s="43" t="s">
        <v>246</v>
      </c>
      <c r="G304" s="68" t="n">
        <v>0.97</v>
      </c>
      <c r="H304" s="22" t="s">
        <v>141</v>
      </c>
    </row>
    <row r="305" customFormat="false" ht="15" hidden="false" customHeight="false" outlineLevel="0" collapsed="false">
      <c r="A305" s="21" t="s">
        <v>47</v>
      </c>
      <c r="B305" s="43" t="s">
        <v>743</v>
      </c>
      <c r="C305" s="22"/>
      <c r="D305" s="22" t="n">
        <v>1</v>
      </c>
      <c r="E305" s="21" t="s">
        <v>99</v>
      </c>
      <c r="F305" s="43" t="s">
        <v>223</v>
      </c>
      <c r="G305" s="68" t="n">
        <v>0.97</v>
      </c>
      <c r="H305" s="22" t="s">
        <v>141</v>
      </c>
    </row>
    <row r="306" customFormat="false" ht="15" hidden="false" customHeight="false" outlineLevel="0" collapsed="false">
      <c r="A306" s="21" t="s">
        <v>47</v>
      </c>
      <c r="B306" s="43" t="s">
        <v>744</v>
      </c>
      <c r="C306" s="22"/>
      <c r="D306" s="22" t="n">
        <v>1</v>
      </c>
      <c r="E306" s="21" t="s">
        <v>47</v>
      </c>
      <c r="F306" s="43" t="s">
        <v>329</v>
      </c>
      <c r="G306" s="68" t="n">
        <v>0.97</v>
      </c>
      <c r="H306" s="22" t="s">
        <v>141</v>
      </c>
    </row>
    <row r="307" customFormat="false" ht="15" hidden="false" customHeight="false" outlineLevel="0" collapsed="false">
      <c r="A307" s="21" t="s">
        <v>30</v>
      </c>
      <c r="B307" s="43" t="s">
        <v>745</v>
      </c>
      <c r="C307" s="22"/>
      <c r="D307" s="22" t="n">
        <v>1</v>
      </c>
      <c r="E307" s="21" t="s">
        <v>100</v>
      </c>
      <c r="F307" s="43" t="s">
        <v>259</v>
      </c>
      <c r="G307" s="68" t="n">
        <v>0.97</v>
      </c>
      <c r="H307" s="22" t="s">
        <v>141</v>
      </c>
    </row>
    <row r="308" customFormat="false" ht="15" hidden="false" customHeight="false" outlineLevel="0" collapsed="false">
      <c r="A308" s="21" t="s">
        <v>30</v>
      </c>
      <c r="B308" s="43" t="s">
        <v>746</v>
      </c>
      <c r="C308" s="22"/>
      <c r="D308" s="22" t="n">
        <v>1</v>
      </c>
      <c r="E308" s="21" t="s">
        <v>100</v>
      </c>
      <c r="F308" s="43" t="s">
        <v>259</v>
      </c>
      <c r="G308" s="68" t="n">
        <v>0.97</v>
      </c>
      <c r="H308" s="22" t="s">
        <v>141</v>
      </c>
    </row>
    <row r="309" customFormat="false" ht="15" hidden="false" customHeight="false" outlineLevel="0" collapsed="false">
      <c r="A309" s="21" t="s">
        <v>43</v>
      </c>
      <c r="B309" s="43" t="s">
        <v>747</v>
      </c>
      <c r="C309" s="22" t="s">
        <v>748</v>
      </c>
      <c r="D309" s="22" t="n">
        <v>1</v>
      </c>
      <c r="E309" s="21" t="s">
        <v>43</v>
      </c>
      <c r="F309" s="43" t="s">
        <v>357</v>
      </c>
      <c r="G309" s="68" t="n">
        <v>0.97</v>
      </c>
      <c r="H309" s="22" t="s">
        <v>141</v>
      </c>
    </row>
    <row r="310" customFormat="false" ht="15" hidden="false" customHeight="false" outlineLevel="0" collapsed="false">
      <c r="A310" s="21" t="s">
        <v>43</v>
      </c>
      <c r="B310" s="43" t="s">
        <v>749</v>
      </c>
      <c r="C310" s="22" t="s">
        <v>601</v>
      </c>
      <c r="D310" s="22" t="n">
        <v>1</v>
      </c>
      <c r="E310" s="21" t="s">
        <v>43</v>
      </c>
      <c r="F310" s="43" t="s">
        <v>357</v>
      </c>
      <c r="G310" s="68" t="n">
        <v>0.97</v>
      </c>
      <c r="H310" s="22" t="s">
        <v>141</v>
      </c>
    </row>
    <row r="311" customFormat="false" ht="15" hidden="false" customHeight="false" outlineLevel="0" collapsed="false">
      <c r="A311" s="21" t="s">
        <v>131</v>
      </c>
      <c r="B311" s="43" t="s">
        <v>750</v>
      </c>
      <c r="C311" s="22"/>
      <c r="D311" s="22" t="n">
        <v>1</v>
      </c>
      <c r="E311" s="21" t="s">
        <v>99</v>
      </c>
      <c r="F311" s="43" t="s">
        <v>236</v>
      </c>
      <c r="G311" s="68" t="n">
        <v>0.962962962962963</v>
      </c>
      <c r="H311" s="22" t="s">
        <v>141</v>
      </c>
    </row>
    <row r="312" customFormat="false" ht="15" hidden="false" customHeight="false" outlineLevel="0" collapsed="false">
      <c r="A312" s="21" t="s">
        <v>131</v>
      </c>
      <c r="B312" s="43" t="s">
        <v>751</v>
      </c>
      <c r="C312" s="22"/>
      <c r="D312" s="22" t="n">
        <v>1</v>
      </c>
      <c r="E312" s="21" t="s">
        <v>99</v>
      </c>
      <c r="F312" s="43" t="s">
        <v>214</v>
      </c>
      <c r="G312" s="68" t="n">
        <v>0.95</v>
      </c>
      <c r="H312" s="22" t="s">
        <v>141</v>
      </c>
    </row>
    <row r="313" customFormat="false" ht="15" hidden="false" customHeight="false" outlineLevel="0" collapsed="false">
      <c r="A313" s="21" t="s">
        <v>137</v>
      </c>
      <c r="B313" s="43" t="s">
        <v>752</v>
      </c>
      <c r="C313" s="22"/>
      <c r="D313" s="22" t="n">
        <v>1</v>
      </c>
      <c r="E313" s="21" t="s">
        <v>100</v>
      </c>
      <c r="F313" s="43" t="s">
        <v>253</v>
      </c>
      <c r="G313" s="68" t="n">
        <v>0.95</v>
      </c>
      <c r="H313" s="22" t="s">
        <v>141</v>
      </c>
    </row>
    <row r="314" customFormat="false" ht="15" hidden="false" customHeight="false" outlineLevel="0" collapsed="false">
      <c r="A314" s="21" t="s">
        <v>137</v>
      </c>
      <c r="B314" s="43" t="s">
        <v>753</v>
      </c>
      <c r="C314" s="22"/>
      <c r="D314" s="22" t="n">
        <v>1</v>
      </c>
      <c r="E314" s="21" t="s">
        <v>100</v>
      </c>
      <c r="F314" s="43" t="s">
        <v>253</v>
      </c>
      <c r="G314" s="68" t="n">
        <v>0.95</v>
      </c>
      <c r="H314" s="22" t="s">
        <v>141</v>
      </c>
    </row>
    <row r="315" customFormat="false" ht="15" hidden="false" customHeight="false" outlineLevel="0" collapsed="false">
      <c r="A315" s="21" t="s">
        <v>49</v>
      </c>
      <c r="B315" s="43" t="s">
        <v>754</v>
      </c>
      <c r="C315" s="22"/>
      <c r="D315" s="22" t="n">
        <v>1</v>
      </c>
      <c r="E315" s="21" t="s">
        <v>49</v>
      </c>
      <c r="F315" s="43" t="s">
        <v>281</v>
      </c>
      <c r="G315" s="68" t="n">
        <v>0.95</v>
      </c>
      <c r="H315" s="22" t="s">
        <v>141</v>
      </c>
    </row>
    <row r="316" customFormat="false" ht="15" hidden="false" customHeight="false" outlineLevel="0" collapsed="false">
      <c r="A316" s="21" t="s">
        <v>47</v>
      </c>
      <c r="B316" s="43" t="s">
        <v>755</v>
      </c>
      <c r="C316" s="22"/>
      <c r="D316" s="22" t="n">
        <v>1</v>
      </c>
      <c r="E316" s="21" t="s">
        <v>47</v>
      </c>
      <c r="F316" s="43" t="s">
        <v>329</v>
      </c>
      <c r="G316" s="68" t="n">
        <v>0.95</v>
      </c>
      <c r="H316" s="22" t="s">
        <v>141</v>
      </c>
    </row>
    <row r="317" customFormat="false" ht="15" hidden="false" customHeight="false" outlineLevel="0" collapsed="false">
      <c r="A317" s="21" t="s">
        <v>47</v>
      </c>
      <c r="B317" s="43" t="s">
        <v>756</v>
      </c>
      <c r="C317" s="22"/>
      <c r="D317" s="22" t="n">
        <v>1</v>
      </c>
      <c r="E317" s="21" t="s">
        <v>47</v>
      </c>
      <c r="F317" s="43" t="s">
        <v>308</v>
      </c>
      <c r="G317" s="68" t="n">
        <v>0.9375</v>
      </c>
      <c r="H317" s="22" t="s">
        <v>141</v>
      </c>
    </row>
    <row r="318" customFormat="false" ht="15" hidden="false" customHeight="false" outlineLevel="0" collapsed="false">
      <c r="A318" s="21" t="s">
        <v>30</v>
      </c>
      <c r="B318" s="43" t="s">
        <v>757</v>
      </c>
      <c r="C318" s="22"/>
      <c r="D318" s="22" t="n">
        <v>1</v>
      </c>
      <c r="E318" s="21" t="s">
        <v>100</v>
      </c>
      <c r="F318" s="43" t="s">
        <v>242</v>
      </c>
      <c r="G318" s="68" t="n">
        <v>0.923076923076923</v>
      </c>
      <c r="H318" s="22" t="s">
        <v>141</v>
      </c>
    </row>
  </sheetData>
  <conditionalFormatting sqref="H2:H318">
    <cfRule type="expression" priority="2" aboveAverage="0" equalAverage="0" bottom="0" percent="0" rank="0" text="" dxfId="14">
      <formula>$H2="Nouveau — ajouté au catalogue"</formula>
    </cfRule>
    <cfRule type="expression" priority="3" aboveAverage="0" equalAverage="0" bottom="0" percent="0" rank="0" text="" dxfId="13">
      <formula>$H2="À vérifier"</formula>
    </cfRule>
    <cfRule type="expression" priority="4" aboveAverage="0" equalAverage="0" bottom="0" percent="0" rank="0" text="" dxfId="15">
      <formula>$H2="Canal alternatif (MaxIt)"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4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758</v>
      </c>
    </row>
    <row r="2" customFormat="false" ht="15" hidden="false" customHeight="false" outlineLevel="0" collapsed="false">
      <c r="A2" s="10" t="s">
        <v>759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20" t="s">
        <v>62</v>
      </c>
      <c r="B4" s="20" t="s">
        <v>760</v>
      </c>
      <c r="C4" s="20" t="s">
        <v>761</v>
      </c>
      <c r="D4" s="20" t="s">
        <v>762</v>
      </c>
      <c r="E4" s="20" t="s">
        <v>763</v>
      </c>
    </row>
    <row r="5" customFormat="false" ht="15" hidden="false" customHeight="false" outlineLevel="0" collapsed="false">
      <c r="A5" s="43" t="s">
        <v>350</v>
      </c>
      <c r="B5" s="22" t="s">
        <v>102</v>
      </c>
      <c r="C5" s="22" t="s">
        <v>43</v>
      </c>
      <c r="D5" s="43" t="s">
        <v>726</v>
      </c>
      <c r="E5" s="68" t="n">
        <v>0.97</v>
      </c>
    </row>
    <row r="6" customFormat="false" ht="15" hidden="false" customHeight="false" outlineLevel="0" collapsed="false">
      <c r="A6" s="43" t="s">
        <v>353</v>
      </c>
      <c r="B6" s="22" t="s">
        <v>102</v>
      </c>
      <c r="C6" s="22" t="s">
        <v>43</v>
      </c>
      <c r="D6" s="43" t="s">
        <v>724</v>
      </c>
      <c r="E6" s="68" t="n">
        <v>0.97</v>
      </c>
    </row>
    <row r="7" customFormat="false" ht="15" hidden="false" customHeight="false" outlineLevel="0" collapsed="false">
      <c r="A7" s="43" t="s">
        <v>357</v>
      </c>
      <c r="B7" s="22" t="s">
        <v>102</v>
      </c>
      <c r="C7" s="22" t="s">
        <v>43</v>
      </c>
      <c r="D7" s="43" t="s">
        <v>747</v>
      </c>
      <c r="E7" s="68" t="n">
        <v>0.97</v>
      </c>
    </row>
    <row r="8" customFormat="false" ht="15" hidden="false" customHeight="false" outlineLevel="0" collapsed="false">
      <c r="A8" s="43" t="s">
        <v>341</v>
      </c>
      <c r="B8" s="22" t="s">
        <v>102</v>
      </c>
      <c r="C8" s="22" t="s">
        <v>43</v>
      </c>
      <c r="D8" s="43" t="s">
        <v>638</v>
      </c>
      <c r="E8" s="68" t="n">
        <v>0.608695652173913</v>
      </c>
    </row>
    <row r="9" customFormat="false" ht="15" hidden="false" customHeight="false" outlineLevel="0" collapsed="false">
      <c r="A9" s="43" t="s">
        <v>347</v>
      </c>
      <c r="B9" s="22" t="s">
        <v>102</v>
      </c>
      <c r="C9" s="22" t="s">
        <v>49</v>
      </c>
      <c r="D9" s="43" t="s">
        <v>731</v>
      </c>
      <c r="E9" s="68" t="n">
        <v>0.97</v>
      </c>
    </row>
    <row r="10" customFormat="false" ht="15" hidden="false" customHeight="false" outlineLevel="0" collapsed="false">
      <c r="A10" s="43" t="s">
        <v>281</v>
      </c>
      <c r="B10" s="22" t="s">
        <v>102</v>
      </c>
      <c r="C10" s="22" t="s">
        <v>49</v>
      </c>
      <c r="D10" s="43" t="s">
        <v>754</v>
      </c>
      <c r="E10" s="68" t="n">
        <v>0.95</v>
      </c>
    </row>
    <row r="11" customFormat="false" ht="15" hidden="false" customHeight="false" outlineLevel="0" collapsed="false">
      <c r="A11" s="43" t="s">
        <v>273</v>
      </c>
      <c r="B11" s="22" t="s">
        <v>102</v>
      </c>
      <c r="C11" s="22" t="s">
        <v>47</v>
      </c>
      <c r="D11" s="43" t="s">
        <v>676</v>
      </c>
      <c r="E11" s="68" t="n">
        <v>1</v>
      </c>
    </row>
    <row r="12" customFormat="false" ht="15" hidden="false" customHeight="false" outlineLevel="0" collapsed="false">
      <c r="A12" s="43" t="s">
        <v>276</v>
      </c>
      <c r="B12" s="22" t="s">
        <v>102</v>
      </c>
      <c r="C12" s="22" t="s">
        <v>47</v>
      </c>
      <c r="D12" s="43" t="s">
        <v>276</v>
      </c>
      <c r="E12" s="68" t="n">
        <v>1</v>
      </c>
    </row>
    <row r="13" customFormat="false" ht="15" hidden="false" customHeight="false" outlineLevel="0" collapsed="false">
      <c r="A13" s="43" t="s">
        <v>278</v>
      </c>
      <c r="B13" s="22" t="s">
        <v>102</v>
      </c>
      <c r="C13" s="22" t="s">
        <v>47</v>
      </c>
      <c r="D13" s="43" t="s">
        <v>677</v>
      </c>
      <c r="E13" s="68" t="n">
        <v>1</v>
      </c>
    </row>
    <row r="14" customFormat="false" ht="15" hidden="false" customHeight="false" outlineLevel="0" collapsed="false">
      <c r="A14" s="43" t="s">
        <v>290</v>
      </c>
      <c r="B14" s="22" t="s">
        <v>102</v>
      </c>
      <c r="C14" s="22" t="s">
        <v>47</v>
      </c>
      <c r="D14" s="43" t="s">
        <v>290</v>
      </c>
      <c r="E14" s="68" t="n">
        <v>1</v>
      </c>
    </row>
    <row r="15" customFormat="false" ht="15" hidden="false" customHeight="false" outlineLevel="0" collapsed="false">
      <c r="A15" s="43" t="s">
        <v>293</v>
      </c>
      <c r="B15" s="22" t="s">
        <v>102</v>
      </c>
      <c r="C15" s="22" t="s">
        <v>47</v>
      </c>
      <c r="D15" s="43" t="s">
        <v>683</v>
      </c>
      <c r="E15" s="68" t="n">
        <v>1</v>
      </c>
    </row>
    <row r="16" customFormat="false" ht="15" hidden="false" customHeight="false" outlineLevel="0" collapsed="false">
      <c r="A16" s="43" t="s">
        <v>304</v>
      </c>
      <c r="B16" s="22" t="s">
        <v>102</v>
      </c>
      <c r="C16" s="22" t="s">
        <v>47</v>
      </c>
      <c r="D16" s="43" t="s">
        <v>304</v>
      </c>
      <c r="E16" s="68" t="n">
        <v>1</v>
      </c>
    </row>
    <row r="17" customFormat="false" ht="15" hidden="false" customHeight="false" outlineLevel="0" collapsed="false">
      <c r="A17" s="43" t="s">
        <v>306</v>
      </c>
      <c r="B17" s="22" t="s">
        <v>102</v>
      </c>
      <c r="C17" s="22" t="s">
        <v>47</v>
      </c>
      <c r="D17" s="43" t="s">
        <v>306</v>
      </c>
      <c r="E17" s="68" t="n">
        <v>1</v>
      </c>
    </row>
    <row r="18" customFormat="false" ht="15" hidden="false" customHeight="false" outlineLevel="0" collapsed="false">
      <c r="A18" s="43" t="s">
        <v>312</v>
      </c>
      <c r="B18" s="22" t="s">
        <v>102</v>
      </c>
      <c r="C18" s="22" t="s">
        <v>47</v>
      </c>
      <c r="D18" s="43" t="s">
        <v>312</v>
      </c>
      <c r="E18" s="68" t="n">
        <v>1</v>
      </c>
    </row>
    <row r="19" customFormat="false" ht="15" hidden="false" customHeight="false" outlineLevel="0" collapsed="false">
      <c r="A19" s="43" t="s">
        <v>315</v>
      </c>
      <c r="B19" s="22" t="s">
        <v>102</v>
      </c>
      <c r="C19" s="22" t="s">
        <v>47</v>
      </c>
      <c r="D19" s="43" t="s">
        <v>315</v>
      </c>
      <c r="E19" s="68" t="n">
        <v>1</v>
      </c>
    </row>
    <row r="20" customFormat="false" ht="15" hidden="false" customHeight="false" outlineLevel="0" collapsed="false">
      <c r="A20" s="43" t="s">
        <v>318</v>
      </c>
      <c r="B20" s="22" t="s">
        <v>102</v>
      </c>
      <c r="C20" s="22" t="s">
        <v>47</v>
      </c>
      <c r="D20" s="43" t="s">
        <v>318</v>
      </c>
      <c r="E20" s="68" t="n">
        <v>1</v>
      </c>
    </row>
    <row r="21" customFormat="false" ht="15" hidden="false" customHeight="false" outlineLevel="0" collapsed="false">
      <c r="A21" s="43" t="s">
        <v>324</v>
      </c>
      <c r="B21" s="22" t="s">
        <v>102</v>
      </c>
      <c r="C21" s="22" t="s">
        <v>47</v>
      </c>
      <c r="D21" s="43" t="s">
        <v>324</v>
      </c>
      <c r="E21" s="68" t="n">
        <v>1</v>
      </c>
    </row>
    <row r="22" customFormat="false" ht="15" hidden="false" customHeight="false" outlineLevel="0" collapsed="false">
      <c r="A22" s="43" t="s">
        <v>331</v>
      </c>
      <c r="B22" s="22" t="s">
        <v>102</v>
      </c>
      <c r="C22" s="22" t="s">
        <v>47</v>
      </c>
      <c r="D22" s="43" t="s">
        <v>331</v>
      </c>
      <c r="E22" s="68" t="n">
        <v>1</v>
      </c>
    </row>
    <row r="23" customFormat="false" ht="15" hidden="false" customHeight="false" outlineLevel="0" collapsed="false">
      <c r="A23" s="43" t="s">
        <v>333</v>
      </c>
      <c r="B23" s="22" t="s">
        <v>102</v>
      </c>
      <c r="C23" s="22" t="s">
        <v>47</v>
      </c>
      <c r="D23" s="43" t="s">
        <v>333</v>
      </c>
      <c r="E23" s="68" t="n">
        <v>1</v>
      </c>
    </row>
    <row r="24" customFormat="false" ht="15" hidden="false" customHeight="false" outlineLevel="0" collapsed="false">
      <c r="A24" s="43" t="s">
        <v>337</v>
      </c>
      <c r="B24" s="22" t="s">
        <v>102</v>
      </c>
      <c r="C24" s="22" t="s">
        <v>47</v>
      </c>
      <c r="D24" s="43" t="s">
        <v>682</v>
      </c>
      <c r="E24" s="68" t="n">
        <v>1</v>
      </c>
    </row>
    <row r="25" customFormat="false" ht="15" hidden="false" customHeight="false" outlineLevel="0" collapsed="false">
      <c r="A25" s="43" t="s">
        <v>339</v>
      </c>
      <c r="B25" s="22" t="s">
        <v>102</v>
      </c>
      <c r="C25" s="22" t="s">
        <v>47</v>
      </c>
      <c r="D25" s="43" t="s">
        <v>339</v>
      </c>
      <c r="E25" s="68" t="n">
        <v>1</v>
      </c>
    </row>
    <row r="26" customFormat="false" ht="15" hidden="false" customHeight="false" outlineLevel="0" collapsed="false">
      <c r="A26" s="43" t="s">
        <v>287</v>
      </c>
      <c r="B26" s="22" t="s">
        <v>102</v>
      </c>
      <c r="C26" s="22" t="s">
        <v>47</v>
      </c>
      <c r="D26" s="43" t="s">
        <v>701</v>
      </c>
      <c r="E26" s="68" t="n">
        <v>0.97</v>
      </c>
    </row>
    <row r="27" customFormat="false" ht="15" hidden="false" customHeight="false" outlineLevel="0" collapsed="false">
      <c r="A27" s="43" t="s">
        <v>299</v>
      </c>
      <c r="B27" s="22" t="s">
        <v>102</v>
      </c>
      <c r="C27" s="22" t="s">
        <v>47</v>
      </c>
      <c r="D27" s="43" t="s">
        <v>706</v>
      </c>
      <c r="E27" s="68" t="n">
        <v>0.97</v>
      </c>
    </row>
    <row r="28" customFormat="false" ht="15" hidden="false" customHeight="false" outlineLevel="0" collapsed="false">
      <c r="A28" s="43" t="s">
        <v>301</v>
      </c>
      <c r="B28" s="22" t="s">
        <v>102</v>
      </c>
      <c r="C28" s="22" t="s">
        <v>47</v>
      </c>
      <c r="D28" s="43" t="s">
        <v>717</v>
      </c>
      <c r="E28" s="68" t="n">
        <v>0.97</v>
      </c>
    </row>
    <row r="29" customFormat="false" ht="15" hidden="false" customHeight="false" outlineLevel="0" collapsed="false">
      <c r="A29" s="43" t="s">
        <v>320</v>
      </c>
      <c r="B29" s="22" t="s">
        <v>102</v>
      </c>
      <c r="C29" s="22" t="s">
        <v>47</v>
      </c>
      <c r="D29" s="43" t="s">
        <v>730</v>
      </c>
      <c r="E29" s="68" t="n">
        <v>0.97</v>
      </c>
    </row>
    <row r="30" customFormat="false" ht="15" hidden="false" customHeight="false" outlineLevel="0" collapsed="false">
      <c r="A30" s="43" t="s">
        <v>329</v>
      </c>
      <c r="B30" s="22" t="s">
        <v>102</v>
      </c>
      <c r="C30" s="22" t="s">
        <v>47</v>
      </c>
      <c r="D30" s="43" t="s">
        <v>744</v>
      </c>
      <c r="E30" s="68" t="n">
        <v>0.97</v>
      </c>
    </row>
    <row r="31" customFormat="false" ht="15" hidden="false" customHeight="false" outlineLevel="0" collapsed="false">
      <c r="A31" s="43" t="s">
        <v>308</v>
      </c>
      <c r="B31" s="22" t="s">
        <v>102</v>
      </c>
      <c r="C31" s="22" t="s">
        <v>47</v>
      </c>
      <c r="D31" s="43" t="s">
        <v>756</v>
      </c>
      <c r="E31" s="68" t="n">
        <v>0.9375</v>
      </c>
    </row>
    <row r="32" customFormat="false" ht="15" hidden="false" customHeight="false" outlineLevel="0" collapsed="false">
      <c r="A32" s="43" t="s">
        <v>326</v>
      </c>
      <c r="B32" s="22" t="s">
        <v>102</v>
      </c>
      <c r="C32" s="22" t="s">
        <v>47</v>
      </c>
      <c r="D32" s="43" t="s">
        <v>626</v>
      </c>
      <c r="E32" s="68" t="n">
        <v>0.666666666666667</v>
      </c>
    </row>
  </sheetData>
  <mergeCells count="1">
    <mergeCell ref="A2:F2"/>
  </mergeCells>
  <conditionalFormatting sqref="C5:C32">
    <cfRule type="expression" priority="2" aboveAverage="0" equalAverage="0" bottom="0" percent="0" rank="0" text="" dxfId="14">
      <formula>$C5="SVA USSD"</formula>
    </cfRule>
    <cfRule type="expression" priority="3" aboveAverage="0" equalAverage="0" bottom="0" percent="0" rank="0" text="" dxfId="15">
      <formula>$C5="SVA SMS"</formula>
    </cfRule>
    <cfRule type="expression" priority="4" aboveAverage="0" equalAverage="0" bottom="0" percent="0" rank="0" text="" dxfId="16">
      <formula>$C5="SVA Data"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764</v>
      </c>
    </row>
    <row r="2" customFormat="false" ht="15" hidden="false" customHeight="false" outlineLevel="0" collapsed="false">
      <c r="A2" s="10" t="s">
        <v>765</v>
      </c>
      <c r="B2" s="10"/>
      <c r="C2" s="10"/>
      <c r="D2" s="10"/>
      <c r="E2" s="10"/>
      <c r="F2" s="10"/>
      <c r="G2" s="10"/>
    </row>
    <row r="4" customFormat="false" ht="30" hidden="false" customHeight="true" outlineLevel="0" collapsed="false">
      <c r="A4" s="20" t="s">
        <v>766</v>
      </c>
      <c r="B4" s="20" t="s">
        <v>596</v>
      </c>
      <c r="C4" s="20" t="s">
        <v>597</v>
      </c>
      <c r="D4" s="20" t="s">
        <v>763</v>
      </c>
      <c r="E4" s="20" t="s">
        <v>767</v>
      </c>
      <c r="F4" s="20" t="s">
        <v>768</v>
      </c>
      <c r="G4" s="20" t="s">
        <v>769</v>
      </c>
    </row>
    <row r="5" customFormat="false" ht="21.75" hidden="false" customHeight="true" outlineLevel="0" collapsed="false">
      <c r="A5" s="69" t="s">
        <v>641</v>
      </c>
      <c r="B5" s="69" t="s">
        <v>47</v>
      </c>
      <c r="C5" s="69" t="s">
        <v>273</v>
      </c>
      <c r="D5" s="70" t="n">
        <v>0.97</v>
      </c>
      <c r="E5" s="71" t="s">
        <v>150</v>
      </c>
      <c r="F5" s="72"/>
      <c r="G5" s="73"/>
    </row>
    <row r="6" customFormat="false" ht="21.75" hidden="false" customHeight="true" outlineLevel="0" collapsed="false">
      <c r="A6" s="69" t="s">
        <v>643</v>
      </c>
      <c r="B6" s="69" t="s">
        <v>98</v>
      </c>
      <c r="C6" s="69" t="s">
        <v>189</v>
      </c>
      <c r="D6" s="70" t="n">
        <v>0.97</v>
      </c>
      <c r="E6" s="71" t="s">
        <v>150</v>
      </c>
      <c r="F6" s="72"/>
      <c r="G6" s="73"/>
    </row>
    <row r="7" customFormat="false" ht="21.75" hidden="false" customHeight="true" outlineLevel="0" collapsed="false">
      <c r="A7" s="69" t="s">
        <v>644</v>
      </c>
      <c r="B7" s="69" t="s">
        <v>47</v>
      </c>
      <c r="C7" s="69" t="s">
        <v>273</v>
      </c>
      <c r="D7" s="70" t="n">
        <v>0.97</v>
      </c>
      <c r="E7" s="71" t="s">
        <v>150</v>
      </c>
      <c r="F7" s="72"/>
      <c r="G7" s="73"/>
    </row>
    <row r="8" customFormat="false" ht="21.75" hidden="false" customHeight="true" outlineLevel="0" collapsed="false">
      <c r="A8" s="69" t="s">
        <v>645</v>
      </c>
      <c r="B8" s="69" t="s">
        <v>47</v>
      </c>
      <c r="C8" s="69" t="s">
        <v>299</v>
      </c>
      <c r="D8" s="70" t="n">
        <v>0.97</v>
      </c>
      <c r="E8" s="71" t="s">
        <v>150</v>
      </c>
      <c r="F8" s="72"/>
      <c r="G8" s="73"/>
    </row>
    <row r="9" customFormat="false" ht="21.75" hidden="false" customHeight="true" outlineLevel="0" collapsed="false">
      <c r="A9" s="69" t="s">
        <v>646</v>
      </c>
      <c r="B9" s="69" t="s">
        <v>43</v>
      </c>
      <c r="C9" s="69" t="s">
        <v>353</v>
      </c>
      <c r="D9" s="70" t="n">
        <v>0.97</v>
      </c>
      <c r="E9" s="71" t="s">
        <v>150</v>
      </c>
      <c r="F9" s="72"/>
      <c r="G9" s="73"/>
    </row>
    <row r="10" customFormat="false" ht="21.75" hidden="false" customHeight="true" outlineLevel="0" collapsed="false">
      <c r="A10" s="69" t="s">
        <v>647</v>
      </c>
      <c r="B10" s="69" t="s">
        <v>43</v>
      </c>
      <c r="C10" s="69" t="s">
        <v>350</v>
      </c>
      <c r="D10" s="70" t="n">
        <v>0.97</v>
      </c>
      <c r="E10" s="71" t="s">
        <v>150</v>
      </c>
      <c r="F10" s="72"/>
      <c r="G10" s="73"/>
    </row>
    <row r="11" customFormat="false" ht="21.75" hidden="false" customHeight="true" outlineLevel="0" collapsed="false">
      <c r="A11" s="69" t="s">
        <v>648</v>
      </c>
      <c r="B11" s="69" t="s">
        <v>43</v>
      </c>
      <c r="C11" s="69" t="s">
        <v>357</v>
      </c>
      <c r="D11" s="70" t="n">
        <v>0.97</v>
      </c>
      <c r="E11" s="71" t="s">
        <v>150</v>
      </c>
      <c r="F11" s="72"/>
      <c r="G11" s="73"/>
    </row>
    <row r="12" customFormat="false" ht="21.75" hidden="false" customHeight="true" outlineLevel="0" collapsed="false">
      <c r="A12" s="69" t="s">
        <v>649</v>
      </c>
      <c r="B12" s="69" t="s">
        <v>47</v>
      </c>
      <c r="C12" s="69" t="s">
        <v>273</v>
      </c>
      <c r="D12" s="70" t="n">
        <v>0.97</v>
      </c>
      <c r="E12" s="71" t="s">
        <v>150</v>
      </c>
      <c r="F12" s="72"/>
      <c r="G12" s="73"/>
    </row>
    <row r="13" customFormat="false" ht="21.75" hidden="false" customHeight="true" outlineLevel="0" collapsed="false">
      <c r="A13" s="69" t="s">
        <v>650</v>
      </c>
      <c r="B13" s="69" t="s">
        <v>47</v>
      </c>
      <c r="C13" s="69" t="s">
        <v>299</v>
      </c>
      <c r="D13" s="70" t="n">
        <v>0.97</v>
      </c>
      <c r="E13" s="71" t="s">
        <v>150</v>
      </c>
      <c r="F13" s="72"/>
      <c r="G13" s="73"/>
    </row>
    <row r="14" customFormat="false" ht="21.75" hidden="false" customHeight="true" outlineLevel="0" collapsed="false">
      <c r="A14" s="69" t="s">
        <v>651</v>
      </c>
      <c r="B14" s="69" t="s">
        <v>102</v>
      </c>
      <c r="C14" s="69" t="s">
        <v>356</v>
      </c>
      <c r="D14" s="70" t="n">
        <v>0.740740740740741</v>
      </c>
      <c r="E14" s="71" t="s">
        <v>150</v>
      </c>
      <c r="F14" s="72"/>
      <c r="G14" s="73"/>
    </row>
    <row r="15" customFormat="false" ht="21.75" hidden="false" customHeight="true" outlineLevel="0" collapsed="false">
      <c r="A15" s="69" t="s">
        <v>652</v>
      </c>
      <c r="B15" s="69" t="s">
        <v>100</v>
      </c>
      <c r="C15" s="69" t="s">
        <v>256</v>
      </c>
      <c r="D15" s="70" t="n">
        <v>0.695652173913044</v>
      </c>
      <c r="E15" s="71" t="s">
        <v>150</v>
      </c>
      <c r="F15" s="72"/>
      <c r="G15" s="73"/>
    </row>
    <row r="16" customFormat="false" ht="21.75" hidden="false" customHeight="true" outlineLevel="0" collapsed="false">
      <c r="A16" s="69" t="s">
        <v>653</v>
      </c>
      <c r="B16" s="69" t="s">
        <v>98</v>
      </c>
      <c r="C16" s="69" t="s">
        <v>191</v>
      </c>
      <c r="D16" s="70" t="n">
        <v>0.677966101694915</v>
      </c>
      <c r="E16" s="71" t="s">
        <v>150</v>
      </c>
      <c r="F16" s="72"/>
      <c r="G16" s="73"/>
    </row>
    <row r="17" customFormat="false" ht="21.75" hidden="false" customHeight="true" outlineLevel="0" collapsed="false">
      <c r="A17" s="69" t="s">
        <v>654</v>
      </c>
      <c r="B17" s="69" t="s">
        <v>47</v>
      </c>
      <c r="C17" s="69" t="s">
        <v>326</v>
      </c>
      <c r="D17" s="70" t="n">
        <v>0.666666666666667</v>
      </c>
      <c r="E17" s="71" t="s">
        <v>150</v>
      </c>
      <c r="F17" s="72"/>
      <c r="G17" s="73"/>
    </row>
    <row r="18" customFormat="false" ht="21.75" hidden="false" customHeight="true" outlineLevel="0" collapsed="false">
      <c r="A18" s="69" t="s">
        <v>655</v>
      </c>
      <c r="B18" s="69" t="s">
        <v>98</v>
      </c>
      <c r="C18" s="69" t="s">
        <v>191</v>
      </c>
      <c r="D18" s="70" t="n">
        <v>0.653846153846154</v>
      </c>
      <c r="E18" s="71" t="s">
        <v>150</v>
      </c>
      <c r="F18" s="72"/>
      <c r="G18" s="73"/>
    </row>
    <row r="19" customFormat="false" ht="21.75" hidden="false" customHeight="true" outlineLevel="0" collapsed="false">
      <c r="A19" s="69" t="s">
        <v>656</v>
      </c>
      <c r="B19" s="69" t="s">
        <v>47</v>
      </c>
      <c r="C19" s="69" t="s">
        <v>293</v>
      </c>
      <c r="D19" s="70" t="n">
        <v>0.65</v>
      </c>
      <c r="E19" s="71" t="s">
        <v>150</v>
      </c>
      <c r="F19" s="72"/>
      <c r="G19" s="73"/>
    </row>
    <row r="20" customFormat="false" ht="21.75" hidden="false" customHeight="true" outlineLevel="0" collapsed="false">
      <c r="A20" s="69" t="s">
        <v>657</v>
      </c>
      <c r="B20" s="69" t="s">
        <v>98</v>
      </c>
      <c r="C20" s="69" t="s">
        <v>198</v>
      </c>
      <c r="D20" s="70" t="n">
        <v>0.644067796610169</v>
      </c>
      <c r="E20" s="71" t="s">
        <v>150</v>
      </c>
      <c r="F20" s="72"/>
      <c r="G20" s="73"/>
    </row>
    <row r="21" customFormat="false" ht="21.75" hidden="false" customHeight="true" outlineLevel="0" collapsed="false">
      <c r="A21" s="69" t="s">
        <v>658</v>
      </c>
      <c r="B21" s="69" t="s">
        <v>100</v>
      </c>
      <c r="C21" s="69" t="s">
        <v>248</v>
      </c>
      <c r="D21" s="70" t="n">
        <v>0.620689655172414</v>
      </c>
      <c r="E21" s="71" t="s">
        <v>150</v>
      </c>
      <c r="F21" s="72"/>
      <c r="G21" s="73"/>
    </row>
    <row r="22" customFormat="false" ht="21.75" hidden="false" customHeight="true" outlineLevel="0" collapsed="false">
      <c r="A22" s="69" t="s">
        <v>659</v>
      </c>
      <c r="B22" s="69" t="s">
        <v>100</v>
      </c>
      <c r="C22" s="69" t="s">
        <v>248</v>
      </c>
      <c r="D22" s="70" t="n">
        <v>0.620689655172414</v>
      </c>
      <c r="E22" s="71" t="s">
        <v>150</v>
      </c>
      <c r="F22" s="72"/>
      <c r="G22" s="73"/>
    </row>
    <row r="23" customFormat="false" ht="21.75" hidden="false" customHeight="true" outlineLevel="0" collapsed="false">
      <c r="A23" s="69" t="s">
        <v>660</v>
      </c>
      <c r="B23" s="69" t="s">
        <v>47</v>
      </c>
      <c r="C23" s="69" t="s">
        <v>326</v>
      </c>
      <c r="D23" s="70" t="n">
        <v>0.619047619047619</v>
      </c>
      <c r="E23" s="71" t="s">
        <v>150</v>
      </c>
      <c r="F23" s="72"/>
      <c r="G23" s="73"/>
    </row>
    <row r="24" customFormat="false" ht="21.75" hidden="false" customHeight="true" outlineLevel="0" collapsed="false">
      <c r="A24" s="69" t="s">
        <v>661</v>
      </c>
      <c r="B24" s="69" t="s">
        <v>98</v>
      </c>
      <c r="C24" s="69" t="s">
        <v>191</v>
      </c>
      <c r="D24" s="70" t="n">
        <v>0.612903225806452</v>
      </c>
      <c r="E24" s="71" t="s">
        <v>150</v>
      </c>
      <c r="F24" s="72"/>
      <c r="G24" s="73"/>
    </row>
    <row r="25" customFormat="false" ht="21.75" hidden="false" customHeight="true" outlineLevel="0" collapsed="false">
      <c r="A25" s="69" t="s">
        <v>662</v>
      </c>
      <c r="B25" s="69" t="s">
        <v>47</v>
      </c>
      <c r="C25" s="69" t="s">
        <v>293</v>
      </c>
      <c r="D25" s="70" t="n">
        <v>0.604651162790698</v>
      </c>
      <c r="E25" s="71" t="s">
        <v>150</v>
      </c>
      <c r="F25" s="72"/>
      <c r="G25" s="73"/>
    </row>
    <row r="26" customFormat="false" ht="21.75" hidden="false" customHeight="true" outlineLevel="0" collapsed="false">
      <c r="A26" s="69" t="s">
        <v>663</v>
      </c>
      <c r="B26" s="69" t="s">
        <v>102</v>
      </c>
      <c r="C26" s="69" t="s">
        <v>322</v>
      </c>
      <c r="D26" s="70" t="n">
        <v>0.580645161290323</v>
      </c>
      <c r="E26" s="74" t="s">
        <v>155</v>
      </c>
      <c r="F26" s="72"/>
      <c r="G26" s="73"/>
    </row>
    <row r="27" customFormat="false" ht="21.75" hidden="false" customHeight="true" outlineLevel="0" collapsed="false">
      <c r="A27" s="69" t="s">
        <v>664</v>
      </c>
      <c r="B27" s="69" t="s">
        <v>102</v>
      </c>
      <c r="C27" s="69" t="s">
        <v>284</v>
      </c>
      <c r="D27" s="70" t="n">
        <v>0.578947368421053</v>
      </c>
      <c r="E27" s="74" t="s">
        <v>155</v>
      </c>
      <c r="F27" s="72"/>
      <c r="G27" s="73"/>
    </row>
    <row r="28" customFormat="false" ht="21.75" hidden="false" customHeight="true" outlineLevel="0" collapsed="false">
      <c r="A28" s="69" t="s">
        <v>665</v>
      </c>
      <c r="B28" s="69" t="s">
        <v>100</v>
      </c>
      <c r="C28" s="69" t="s">
        <v>250</v>
      </c>
      <c r="D28" s="70" t="n">
        <v>0.571428571428571</v>
      </c>
      <c r="E28" s="74" t="s">
        <v>155</v>
      </c>
      <c r="F28" s="72"/>
      <c r="G28" s="73"/>
    </row>
    <row r="29" customFormat="false" ht="21.75" hidden="false" customHeight="true" outlineLevel="0" collapsed="false">
      <c r="A29" s="69" t="s">
        <v>666</v>
      </c>
      <c r="B29" s="69" t="s">
        <v>47</v>
      </c>
      <c r="C29" s="69" t="s">
        <v>299</v>
      </c>
      <c r="D29" s="70" t="n">
        <v>0.533333333333333</v>
      </c>
      <c r="E29" s="74" t="s">
        <v>155</v>
      </c>
      <c r="F29" s="72"/>
      <c r="G29" s="73"/>
    </row>
    <row r="30" customFormat="false" ht="21.75" hidden="false" customHeight="true" outlineLevel="0" collapsed="false">
      <c r="A30" s="69" t="s">
        <v>667</v>
      </c>
      <c r="B30" s="69" t="s">
        <v>47</v>
      </c>
      <c r="C30" s="69" t="s">
        <v>333</v>
      </c>
      <c r="D30" s="70" t="n">
        <v>0.530612244897959</v>
      </c>
      <c r="E30" s="74" t="s">
        <v>155</v>
      </c>
      <c r="F30" s="72"/>
      <c r="G30" s="73"/>
    </row>
    <row r="31" customFormat="false" ht="21.75" hidden="false" customHeight="true" outlineLevel="0" collapsed="false">
      <c r="A31" s="69" t="s">
        <v>668</v>
      </c>
      <c r="B31" s="69" t="s">
        <v>98</v>
      </c>
      <c r="C31" s="69" t="s">
        <v>191</v>
      </c>
      <c r="D31" s="70" t="n">
        <v>0.526315789473684</v>
      </c>
      <c r="E31" s="74" t="s">
        <v>155</v>
      </c>
      <c r="F31" s="72"/>
      <c r="G31" s="73"/>
    </row>
    <row r="32" customFormat="false" ht="21.75" hidden="false" customHeight="true" outlineLevel="0" collapsed="false">
      <c r="A32" s="69" t="s">
        <v>669</v>
      </c>
      <c r="B32" s="69" t="s">
        <v>99</v>
      </c>
      <c r="C32" s="69" t="s">
        <v>206</v>
      </c>
      <c r="D32" s="70" t="n">
        <v>0.481481481481482</v>
      </c>
      <c r="E32" s="74" t="s">
        <v>155</v>
      </c>
      <c r="F32" s="72"/>
      <c r="G32" s="73"/>
    </row>
    <row r="33" customFormat="false" ht="21.75" hidden="false" customHeight="true" outlineLevel="0" collapsed="false">
      <c r="A33" s="69" t="s">
        <v>670</v>
      </c>
      <c r="B33" s="69" t="s">
        <v>99</v>
      </c>
      <c r="C33" s="69" t="s">
        <v>202</v>
      </c>
      <c r="D33" s="70" t="n">
        <v>0.475</v>
      </c>
      <c r="E33" s="74" t="s">
        <v>155</v>
      </c>
      <c r="F33" s="72"/>
      <c r="G33" s="73"/>
    </row>
    <row r="34" customFormat="false" ht="21.75" hidden="false" customHeight="true" outlineLevel="0" collapsed="false">
      <c r="A34" s="69" t="s">
        <v>671</v>
      </c>
      <c r="B34" s="69" t="s">
        <v>47</v>
      </c>
      <c r="C34" s="69" t="s">
        <v>315</v>
      </c>
      <c r="D34" s="70" t="n">
        <v>0.457142857142857</v>
      </c>
      <c r="E34" s="74" t="s">
        <v>155</v>
      </c>
      <c r="F34" s="72"/>
      <c r="G34" s="73"/>
    </row>
    <row r="35" customFormat="false" ht="21.75" hidden="false" customHeight="true" outlineLevel="0" collapsed="false">
      <c r="A35" s="69" t="s">
        <v>672</v>
      </c>
      <c r="B35" s="69" t="s">
        <v>43</v>
      </c>
      <c r="C35" s="69" t="s">
        <v>341</v>
      </c>
      <c r="D35" s="70" t="n">
        <v>0.454545454545455</v>
      </c>
      <c r="E35" s="74" t="s">
        <v>155</v>
      </c>
      <c r="F35" s="72"/>
      <c r="G35" s="73"/>
    </row>
    <row r="36" customFormat="false" ht="21.75" hidden="false" customHeight="true" outlineLevel="0" collapsed="false">
      <c r="A36" s="69" t="s">
        <v>673</v>
      </c>
      <c r="B36" s="69" t="s">
        <v>99</v>
      </c>
      <c r="C36" s="69" t="s">
        <v>234</v>
      </c>
      <c r="D36" s="70" t="n">
        <v>0.444444444444444</v>
      </c>
      <c r="E36" s="74" t="s">
        <v>155</v>
      </c>
      <c r="F36" s="72"/>
      <c r="G36" s="73"/>
    </row>
    <row r="37" customFormat="false" ht="21.75" hidden="false" customHeight="true" outlineLevel="0" collapsed="false">
      <c r="A37" s="69" t="s">
        <v>674</v>
      </c>
      <c r="B37" s="69" t="s">
        <v>99</v>
      </c>
      <c r="C37" s="69" t="s">
        <v>233</v>
      </c>
      <c r="D37" s="70" t="n">
        <v>0.419354838709677</v>
      </c>
      <c r="E37" s="74" t="s">
        <v>155</v>
      </c>
      <c r="F37" s="72"/>
      <c r="G37" s="73"/>
    </row>
    <row r="38" customFormat="false" ht="21.75" hidden="false" customHeight="true" outlineLevel="0" collapsed="false">
      <c r="A38" s="69" t="s">
        <v>675</v>
      </c>
      <c r="B38" s="69" t="s">
        <v>100</v>
      </c>
      <c r="C38" s="69" t="s">
        <v>263</v>
      </c>
      <c r="D38" s="70" t="n">
        <v>0.382978723404255</v>
      </c>
      <c r="E38" s="74" t="s">
        <v>155</v>
      </c>
      <c r="F38" s="72"/>
      <c r="G38" s="73"/>
    </row>
  </sheetData>
  <mergeCells count="1">
    <mergeCell ref="A2:G2"/>
  </mergeCells>
  <dataValidations count="1">
    <dataValidation allowBlank="true" errorStyle="stop" operator="between" showDropDown="false" showErrorMessage="false" showInputMessage="false" sqref="F5:F38" type="list">
      <formula1>"Déjà couvert (via correspondance ci-contre),À ajouter comme nouveau service,Sans objet"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770</v>
      </c>
    </row>
    <row r="2" customFormat="false" ht="15" hidden="false" customHeight="false" outlineLevel="0" collapsed="false">
      <c r="A2" s="12" t="s">
        <v>771</v>
      </c>
    </row>
    <row r="4" customFormat="false" ht="27.75" hidden="false" customHeight="true" outlineLevel="0" collapsed="false">
      <c r="A4" s="20" t="s">
        <v>129</v>
      </c>
      <c r="B4" s="20" t="s">
        <v>593</v>
      </c>
      <c r="C4" s="20" t="s">
        <v>772</v>
      </c>
      <c r="D4" s="20" t="s">
        <v>773</v>
      </c>
      <c r="E4" s="20" t="s">
        <v>763</v>
      </c>
      <c r="F4" s="20" t="s">
        <v>774</v>
      </c>
      <c r="G4" s="20" t="s">
        <v>769</v>
      </c>
    </row>
    <row r="5" customFormat="false" ht="24" hidden="false" customHeight="true" outlineLevel="0" collapsed="false">
      <c r="A5" s="71" t="s">
        <v>133</v>
      </c>
      <c r="B5" s="69" t="s">
        <v>605</v>
      </c>
      <c r="C5" s="69" t="s">
        <v>98</v>
      </c>
      <c r="D5" s="69" t="s">
        <v>191</v>
      </c>
      <c r="E5" s="70" t="n">
        <v>0.865671641791045</v>
      </c>
      <c r="F5" s="72"/>
      <c r="G5" s="73"/>
    </row>
    <row r="6" customFormat="false" ht="24" hidden="false" customHeight="true" outlineLevel="0" collapsed="false">
      <c r="A6" s="71" t="s">
        <v>30</v>
      </c>
      <c r="B6" s="69" t="s">
        <v>606</v>
      </c>
      <c r="C6" s="69" t="s">
        <v>100</v>
      </c>
      <c r="D6" s="69" t="s">
        <v>239</v>
      </c>
      <c r="E6" s="70" t="n">
        <v>0.857142857142857</v>
      </c>
      <c r="F6" s="72"/>
      <c r="G6" s="73"/>
    </row>
    <row r="7" customFormat="false" ht="24" hidden="false" customHeight="true" outlineLevel="0" collapsed="false">
      <c r="A7" s="71" t="s">
        <v>137</v>
      </c>
      <c r="B7" s="69" t="s">
        <v>607</v>
      </c>
      <c r="C7" s="69" t="s">
        <v>100</v>
      </c>
      <c r="D7" s="69" t="s">
        <v>263</v>
      </c>
      <c r="E7" s="70" t="n">
        <v>0.848484848484849</v>
      </c>
      <c r="F7" s="72"/>
      <c r="G7" s="73"/>
    </row>
    <row r="8" customFormat="false" ht="24" hidden="false" customHeight="true" outlineLevel="0" collapsed="false">
      <c r="A8" s="71" t="s">
        <v>49</v>
      </c>
      <c r="B8" s="69" t="s">
        <v>608</v>
      </c>
      <c r="C8" s="69" t="s">
        <v>47</v>
      </c>
      <c r="D8" s="69" t="s">
        <v>290</v>
      </c>
      <c r="E8" s="70" t="n">
        <v>0.782608695652174</v>
      </c>
      <c r="F8" s="72"/>
      <c r="G8" s="73"/>
    </row>
    <row r="9" customFormat="false" ht="24" hidden="false" customHeight="true" outlineLevel="0" collapsed="false">
      <c r="A9" s="71" t="s">
        <v>135</v>
      </c>
      <c r="B9" s="69" t="s">
        <v>609</v>
      </c>
      <c r="C9" s="69" t="s">
        <v>97</v>
      </c>
      <c r="D9" s="69" t="s">
        <v>157</v>
      </c>
      <c r="E9" s="70" t="n">
        <v>0.769230769230769</v>
      </c>
      <c r="F9" s="72"/>
      <c r="G9" s="73"/>
    </row>
    <row r="10" customFormat="false" ht="24" hidden="false" customHeight="true" outlineLevel="0" collapsed="false">
      <c r="A10" s="71" t="s">
        <v>133</v>
      </c>
      <c r="B10" s="69" t="s">
        <v>610</v>
      </c>
      <c r="C10" s="69" t="s">
        <v>99</v>
      </c>
      <c r="D10" s="69" t="s">
        <v>233</v>
      </c>
      <c r="E10" s="70" t="n">
        <v>0.75</v>
      </c>
      <c r="F10" s="72"/>
      <c r="G10" s="73"/>
    </row>
    <row r="11" customFormat="false" ht="24" hidden="false" customHeight="true" outlineLevel="0" collapsed="false">
      <c r="A11" s="71" t="s">
        <v>611</v>
      </c>
      <c r="B11" s="69" t="s">
        <v>612</v>
      </c>
      <c r="C11" s="69" t="s">
        <v>99</v>
      </c>
      <c r="D11" s="69" t="s">
        <v>214</v>
      </c>
      <c r="E11" s="70" t="n">
        <v>0.723404255319149</v>
      </c>
      <c r="F11" s="72"/>
      <c r="G11" s="73"/>
    </row>
    <row r="12" customFormat="false" ht="24" hidden="false" customHeight="true" outlineLevel="0" collapsed="false">
      <c r="A12" s="71" t="s">
        <v>133</v>
      </c>
      <c r="B12" s="69" t="s">
        <v>613</v>
      </c>
      <c r="C12" s="69" t="s">
        <v>98</v>
      </c>
      <c r="D12" s="69" t="s">
        <v>184</v>
      </c>
      <c r="E12" s="70" t="n">
        <v>0.71875</v>
      </c>
      <c r="F12" s="72"/>
      <c r="G12" s="73"/>
    </row>
    <row r="13" customFormat="false" ht="24" hidden="false" customHeight="true" outlineLevel="0" collapsed="false">
      <c r="A13" s="71" t="s">
        <v>131</v>
      </c>
      <c r="B13" s="69" t="s">
        <v>614</v>
      </c>
      <c r="C13" s="69" t="s">
        <v>98</v>
      </c>
      <c r="D13" s="69" t="s">
        <v>189</v>
      </c>
      <c r="E13" s="70" t="n">
        <v>0.717948717948718</v>
      </c>
      <c r="F13" s="72"/>
      <c r="G13" s="73"/>
    </row>
    <row r="14" customFormat="false" ht="24" hidden="false" customHeight="true" outlineLevel="0" collapsed="false">
      <c r="A14" s="71" t="s">
        <v>131</v>
      </c>
      <c r="B14" s="69" t="s">
        <v>615</v>
      </c>
      <c r="C14" s="69" t="s">
        <v>99</v>
      </c>
      <c r="D14" s="69" t="s">
        <v>216</v>
      </c>
      <c r="E14" s="70" t="n">
        <v>0.709677419354839</v>
      </c>
      <c r="F14" s="72"/>
      <c r="G14" s="73"/>
    </row>
    <row r="15" customFormat="false" ht="24" hidden="false" customHeight="true" outlineLevel="0" collapsed="false">
      <c r="A15" s="71" t="s">
        <v>30</v>
      </c>
      <c r="B15" s="69" t="s">
        <v>616</v>
      </c>
      <c r="C15" s="69" t="s">
        <v>100</v>
      </c>
      <c r="D15" s="69" t="s">
        <v>245</v>
      </c>
      <c r="E15" s="70" t="n">
        <v>0.705882352941177</v>
      </c>
      <c r="F15" s="72"/>
      <c r="G15" s="73"/>
    </row>
    <row r="16" customFormat="false" ht="24" hidden="false" customHeight="true" outlineLevel="0" collapsed="false">
      <c r="A16" s="71" t="s">
        <v>30</v>
      </c>
      <c r="B16" s="69" t="s">
        <v>617</v>
      </c>
      <c r="C16" s="69" t="s">
        <v>100</v>
      </c>
      <c r="D16" s="69" t="s">
        <v>242</v>
      </c>
      <c r="E16" s="70" t="n">
        <v>0.705882352941177</v>
      </c>
      <c r="F16" s="72"/>
      <c r="G16" s="73"/>
    </row>
    <row r="17" customFormat="false" ht="24" hidden="false" customHeight="true" outlineLevel="0" collapsed="false">
      <c r="A17" s="71" t="s">
        <v>30</v>
      </c>
      <c r="B17" s="69" t="s">
        <v>618</v>
      </c>
      <c r="C17" s="69" t="s">
        <v>100</v>
      </c>
      <c r="D17" s="69" t="s">
        <v>242</v>
      </c>
      <c r="E17" s="70" t="n">
        <v>0.705882352941177</v>
      </c>
      <c r="F17" s="72"/>
      <c r="G17" s="73"/>
    </row>
    <row r="18" customFormat="false" ht="24" hidden="false" customHeight="true" outlineLevel="0" collapsed="false">
      <c r="A18" s="71" t="s">
        <v>133</v>
      </c>
      <c r="B18" s="69" t="s">
        <v>619</v>
      </c>
      <c r="C18" s="69" t="s">
        <v>98</v>
      </c>
      <c r="D18" s="69" t="s">
        <v>185</v>
      </c>
      <c r="E18" s="70" t="n">
        <v>0.704225352112676</v>
      </c>
      <c r="F18" s="72"/>
      <c r="G18" s="73"/>
    </row>
    <row r="19" customFormat="false" ht="24" hidden="false" customHeight="true" outlineLevel="0" collapsed="false">
      <c r="A19" s="71" t="s">
        <v>135</v>
      </c>
      <c r="B19" s="69" t="s">
        <v>625</v>
      </c>
      <c r="C19" s="69" t="s">
        <v>97</v>
      </c>
      <c r="D19" s="69" t="s">
        <v>157</v>
      </c>
      <c r="E19" s="70" t="n">
        <v>0.666666666666667</v>
      </c>
      <c r="F19" s="72"/>
      <c r="G19" s="73"/>
    </row>
    <row r="20" customFormat="false" ht="24" hidden="false" customHeight="true" outlineLevel="0" collapsed="false">
      <c r="A20" s="71" t="s">
        <v>131</v>
      </c>
      <c r="B20" s="69" t="s">
        <v>622</v>
      </c>
      <c r="C20" s="69" t="s">
        <v>47</v>
      </c>
      <c r="D20" s="69" t="s">
        <v>326</v>
      </c>
      <c r="E20" s="70" t="n">
        <v>0.666666666666667</v>
      </c>
      <c r="F20" s="72"/>
      <c r="G20" s="73"/>
    </row>
    <row r="21" customFormat="false" ht="24" hidden="false" customHeight="true" outlineLevel="0" collapsed="false">
      <c r="A21" s="71" t="s">
        <v>30</v>
      </c>
      <c r="B21" s="69" t="s">
        <v>620</v>
      </c>
      <c r="C21" s="69" t="s">
        <v>100</v>
      </c>
      <c r="D21" s="69" t="s">
        <v>246</v>
      </c>
      <c r="E21" s="70" t="n">
        <v>0.666666666666667</v>
      </c>
      <c r="F21" s="72"/>
      <c r="G21" s="73"/>
    </row>
    <row r="22" customFormat="false" ht="24" hidden="false" customHeight="true" outlineLevel="0" collapsed="false">
      <c r="A22" s="71" t="s">
        <v>30</v>
      </c>
      <c r="B22" s="69" t="s">
        <v>621</v>
      </c>
      <c r="C22" s="69" t="s">
        <v>100</v>
      </c>
      <c r="D22" s="69" t="s">
        <v>239</v>
      </c>
      <c r="E22" s="70" t="n">
        <v>0.666666666666667</v>
      </c>
      <c r="F22" s="72"/>
      <c r="G22" s="73"/>
    </row>
    <row r="23" customFormat="false" ht="24" hidden="false" customHeight="true" outlineLevel="0" collapsed="false">
      <c r="A23" s="71" t="s">
        <v>30</v>
      </c>
      <c r="B23" s="69" t="s">
        <v>623</v>
      </c>
      <c r="C23" s="69" t="s">
        <v>100</v>
      </c>
      <c r="D23" s="69" t="s">
        <v>239</v>
      </c>
      <c r="E23" s="70" t="n">
        <v>0.666666666666667</v>
      </c>
      <c r="F23" s="72"/>
      <c r="G23" s="73"/>
    </row>
    <row r="24" customFormat="false" ht="24" hidden="false" customHeight="true" outlineLevel="0" collapsed="false">
      <c r="A24" s="71" t="s">
        <v>30</v>
      </c>
      <c r="B24" s="69" t="s">
        <v>624</v>
      </c>
      <c r="C24" s="69" t="s">
        <v>100</v>
      </c>
      <c r="D24" s="69" t="s">
        <v>259</v>
      </c>
      <c r="E24" s="70" t="n">
        <v>0.666666666666667</v>
      </c>
      <c r="F24" s="72"/>
      <c r="G24" s="73"/>
    </row>
    <row r="25" customFormat="false" ht="24" hidden="false" customHeight="true" outlineLevel="0" collapsed="false">
      <c r="A25" s="71" t="s">
        <v>47</v>
      </c>
      <c r="B25" s="69" t="s">
        <v>626</v>
      </c>
      <c r="C25" s="69" t="s">
        <v>47</v>
      </c>
      <c r="D25" s="69" t="s">
        <v>326</v>
      </c>
      <c r="E25" s="70" t="n">
        <v>0.666666666666667</v>
      </c>
      <c r="F25" s="72"/>
      <c r="G25" s="73"/>
    </row>
    <row r="26" customFormat="false" ht="24" hidden="false" customHeight="true" outlineLevel="0" collapsed="false">
      <c r="A26" s="71" t="s">
        <v>43</v>
      </c>
      <c r="B26" s="69" t="s">
        <v>627</v>
      </c>
      <c r="C26" s="69" t="s">
        <v>102</v>
      </c>
      <c r="D26" s="69" t="s">
        <v>344</v>
      </c>
      <c r="E26" s="70" t="n">
        <v>0.645161290322581</v>
      </c>
      <c r="F26" s="72"/>
      <c r="G26" s="73"/>
    </row>
    <row r="27" customFormat="false" ht="24" hidden="false" customHeight="true" outlineLevel="0" collapsed="false">
      <c r="A27" s="71" t="s">
        <v>135</v>
      </c>
      <c r="B27" s="69" t="s">
        <v>628</v>
      </c>
      <c r="C27" s="69" t="s">
        <v>97</v>
      </c>
      <c r="D27" s="69" t="s">
        <v>157</v>
      </c>
      <c r="E27" s="70" t="n">
        <v>0.64</v>
      </c>
      <c r="F27" s="72"/>
      <c r="G27" s="73"/>
    </row>
    <row r="28" customFormat="false" ht="24" hidden="false" customHeight="true" outlineLevel="0" collapsed="false">
      <c r="A28" s="71" t="s">
        <v>133</v>
      </c>
      <c r="B28" s="69" t="s">
        <v>631</v>
      </c>
      <c r="C28" s="69" t="s">
        <v>98</v>
      </c>
      <c r="D28" s="69" t="s">
        <v>178</v>
      </c>
      <c r="E28" s="70" t="n">
        <v>0.633333333333333</v>
      </c>
      <c r="F28" s="72"/>
      <c r="G28" s="73"/>
    </row>
    <row r="29" customFormat="false" ht="24" hidden="false" customHeight="true" outlineLevel="0" collapsed="false">
      <c r="A29" s="71" t="s">
        <v>134</v>
      </c>
      <c r="B29" s="69" t="s">
        <v>629</v>
      </c>
      <c r="C29" s="69" t="s">
        <v>97</v>
      </c>
      <c r="D29" s="69" t="s">
        <v>165</v>
      </c>
      <c r="E29" s="70" t="n">
        <v>0.633333333333333</v>
      </c>
      <c r="F29" s="72"/>
      <c r="G29" s="73"/>
    </row>
    <row r="30" customFormat="false" ht="24" hidden="false" customHeight="true" outlineLevel="0" collapsed="false">
      <c r="A30" s="71" t="s">
        <v>134</v>
      </c>
      <c r="B30" s="69" t="s">
        <v>630</v>
      </c>
      <c r="C30" s="69" t="s">
        <v>97</v>
      </c>
      <c r="D30" s="69" t="s">
        <v>165</v>
      </c>
      <c r="E30" s="70" t="n">
        <v>0.633333333333333</v>
      </c>
      <c r="F30" s="72"/>
      <c r="G30" s="73"/>
    </row>
    <row r="31" customFormat="false" ht="24" hidden="false" customHeight="true" outlineLevel="0" collapsed="false">
      <c r="A31" s="71" t="s">
        <v>131</v>
      </c>
      <c r="B31" s="69" t="s">
        <v>632</v>
      </c>
      <c r="C31" s="69" t="s">
        <v>47</v>
      </c>
      <c r="D31" s="69" t="s">
        <v>337</v>
      </c>
      <c r="E31" s="70" t="n">
        <v>0.628571428571429</v>
      </c>
      <c r="F31" s="72"/>
      <c r="G31" s="73"/>
    </row>
    <row r="32" customFormat="false" ht="24" hidden="false" customHeight="true" outlineLevel="0" collapsed="false">
      <c r="A32" s="71" t="s">
        <v>600</v>
      </c>
      <c r="B32" s="69" t="s">
        <v>633</v>
      </c>
      <c r="C32" s="69" t="s">
        <v>99</v>
      </c>
      <c r="D32" s="69" t="s">
        <v>202</v>
      </c>
      <c r="E32" s="70" t="n">
        <v>0.625</v>
      </c>
      <c r="F32" s="72"/>
      <c r="G32" s="73"/>
    </row>
    <row r="33" customFormat="false" ht="24" hidden="false" customHeight="true" outlineLevel="0" collapsed="false">
      <c r="A33" s="71" t="s">
        <v>600</v>
      </c>
      <c r="B33" s="69" t="s">
        <v>636</v>
      </c>
      <c r="C33" s="69" t="s">
        <v>43</v>
      </c>
      <c r="D33" s="69" t="s">
        <v>357</v>
      </c>
      <c r="E33" s="70" t="n">
        <v>0.625</v>
      </c>
      <c r="F33" s="72"/>
      <c r="G33" s="73"/>
    </row>
    <row r="34" customFormat="false" ht="24" hidden="false" customHeight="true" outlineLevel="0" collapsed="false">
      <c r="A34" s="71" t="s">
        <v>137</v>
      </c>
      <c r="B34" s="69" t="s">
        <v>635</v>
      </c>
      <c r="C34" s="69" t="s">
        <v>100</v>
      </c>
      <c r="D34" s="69" t="s">
        <v>261</v>
      </c>
      <c r="E34" s="70" t="n">
        <v>0.625</v>
      </c>
      <c r="F34" s="72"/>
      <c r="G34" s="73"/>
    </row>
    <row r="35" customFormat="false" ht="24" hidden="false" customHeight="true" outlineLevel="0" collapsed="false">
      <c r="A35" s="71" t="s">
        <v>30</v>
      </c>
      <c r="B35" s="69" t="s">
        <v>634</v>
      </c>
      <c r="C35" s="69" t="s">
        <v>100</v>
      </c>
      <c r="D35" s="69" t="s">
        <v>259</v>
      </c>
      <c r="E35" s="70" t="n">
        <v>0.625</v>
      </c>
      <c r="F35" s="72"/>
      <c r="G35" s="73"/>
    </row>
    <row r="36" customFormat="false" ht="24" hidden="false" customHeight="true" outlineLevel="0" collapsed="false">
      <c r="A36" s="71" t="s">
        <v>47</v>
      </c>
      <c r="B36" s="69" t="s">
        <v>637</v>
      </c>
      <c r="C36" s="69" t="s">
        <v>99</v>
      </c>
      <c r="D36" s="69" t="s">
        <v>219</v>
      </c>
      <c r="E36" s="70" t="n">
        <v>0.615384615384615</v>
      </c>
      <c r="F36" s="72"/>
      <c r="G36" s="73"/>
    </row>
    <row r="37" customFormat="false" ht="24" hidden="false" customHeight="true" outlineLevel="0" collapsed="false">
      <c r="A37" s="71" t="s">
        <v>133</v>
      </c>
      <c r="B37" s="69" t="s">
        <v>639</v>
      </c>
      <c r="C37" s="69" t="s">
        <v>99</v>
      </c>
      <c r="D37" s="69" t="s">
        <v>214</v>
      </c>
      <c r="E37" s="70" t="n">
        <v>0.608695652173913</v>
      </c>
      <c r="F37" s="72"/>
      <c r="G37" s="73"/>
    </row>
    <row r="38" customFormat="false" ht="24" hidden="false" customHeight="true" outlineLevel="0" collapsed="false">
      <c r="A38" s="71" t="s">
        <v>43</v>
      </c>
      <c r="B38" s="69" t="s">
        <v>638</v>
      </c>
      <c r="C38" s="69" t="s">
        <v>43</v>
      </c>
      <c r="D38" s="69" t="s">
        <v>341</v>
      </c>
      <c r="E38" s="70" t="n">
        <v>0.608695652173913</v>
      </c>
      <c r="F38" s="72"/>
      <c r="G38" s="73"/>
    </row>
    <row r="39" customFormat="false" ht="24" hidden="false" customHeight="true" outlineLevel="0" collapsed="false">
      <c r="A39" s="71" t="s">
        <v>47</v>
      </c>
      <c r="B39" s="69" t="s">
        <v>640</v>
      </c>
      <c r="C39" s="69" t="s">
        <v>47</v>
      </c>
      <c r="D39" s="69" t="s">
        <v>312</v>
      </c>
      <c r="E39" s="70" t="n">
        <v>0.6</v>
      </c>
      <c r="F39" s="72"/>
      <c r="G39" s="73"/>
    </row>
  </sheetData>
  <dataValidations count="1">
    <dataValidation allowBlank="true" errorStyle="stop" operator="between" showDropDown="false" showErrorMessage="false" showInputMessage="false" sqref="F5:F39" type="list">
      <formula1>"Même service (fusionner),Service distinct (à ajouter),Sans objet"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4" min="3" style="0" width="34"/>
  </cols>
  <sheetData>
    <row r="1" customFormat="false" ht="17.35" hidden="false" customHeight="false" outlineLevel="0" collapsed="false">
      <c r="A1" s="1" t="s">
        <v>775</v>
      </c>
    </row>
    <row r="2" customFormat="false" ht="15" hidden="false" customHeight="false" outlineLevel="0" collapsed="false">
      <c r="A2" s="12" t="s">
        <v>776</v>
      </c>
    </row>
    <row r="4" customFormat="false" ht="23.85" hidden="false" customHeight="false" outlineLevel="0" collapsed="false">
      <c r="A4" s="20" t="s">
        <v>62</v>
      </c>
      <c r="B4" s="20" t="s">
        <v>777</v>
      </c>
      <c r="C4" s="20" t="s">
        <v>778</v>
      </c>
      <c r="D4" s="20" t="s">
        <v>779</v>
      </c>
    </row>
    <row r="5" customFormat="false" ht="15" hidden="false" customHeight="false" outlineLevel="0" collapsed="false">
      <c r="A5" s="43" t="s">
        <v>413</v>
      </c>
      <c r="B5" s="75" t="n">
        <v>2</v>
      </c>
      <c r="C5" s="43" t="s">
        <v>780</v>
      </c>
      <c r="D5" s="43" t="s">
        <v>781</v>
      </c>
    </row>
    <row r="6" customFormat="false" ht="15" hidden="false" customHeight="false" outlineLevel="0" collapsed="false">
      <c r="A6" s="43" t="s">
        <v>415</v>
      </c>
      <c r="B6" s="75" t="n">
        <v>2</v>
      </c>
      <c r="C6" s="43" t="s">
        <v>780</v>
      </c>
      <c r="D6" s="43" t="s">
        <v>781</v>
      </c>
    </row>
    <row r="7" customFormat="false" ht="15" hidden="false" customHeight="false" outlineLevel="0" collapsed="false">
      <c r="A7" s="43" t="s">
        <v>416</v>
      </c>
      <c r="B7" s="75" t="n">
        <v>2</v>
      </c>
      <c r="C7" s="43" t="s">
        <v>780</v>
      </c>
      <c r="D7" s="43" t="s">
        <v>781</v>
      </c>
    </row>
    <row r="8" customFormat="false" ht="15" hidden="false" customHeight="false" outlineLevel="0" collapsed="false">
      <c r="A8" s="43" t="s">
        <v>418</v>
      </c>
      <c r="B8" s="75" t="n">
        <v>2</v>
      </c>
      <c r="C8" s="43" t="s">
        <v>780</v>
      </c>
      <c r="D8" s="43" t="s">
        <v>781</v>
      </c>
    </row>
    <row r="9" customFormat="false" ht="15" hidden="false" customHeight="false" outlineLevel="0" collapsed="false">
      <c r="A9" s="43" t="s">
        <v>420</v>
      </c>
      <c r="B9" s="75" t="n">
        <v>2</v>
      </c>
      <c r="C9" s="43" t="s">
        <v>780</v>
      </c>
      <c r="D9" s="43" t="s">
        <v>781</v>
      </c>
    </row>
    <row r="10" customFormat="false" ht="15" hidden="false" customHeight="false" outlineLevel="0" collapsed="false">
      <c r="A10" s="43" t="s">
        <v>422</v>
      </c>
      <c r="B10" s="75" t="n">
        <v>2</v>
      </c>
      <c r="C10" s="43" t="s">
        <v>780</v>
      </c>
      <c r="D10" s="43" t="s">
        <v>781</v>
      </c>
    </row>
    <row r="11" customFormat="false" ht="15" hidden="false" customHeight="false" outlineLevel="0" collapsed="false">
      <c r="A11" s="43" t="s">
        <v>424</v>
      </c>
      <c r="B11" s="75" t="n">
        <v>2</v>
      </c>
      <c r="C11" s="43" t="s">
        <v>780</v>
      </c>
      <c r="D11" s="43" t="s">
        <v>781</v>
      </c>
    </row>
    <row r="12" customFormat="false" ht="15" hidden="false" customHeight="false" outlineLevel="0" collapsed="false">
      <c r="A12" s="43" t="s">
        <v>426</v>
      </c>
      <c r="B12" s="75" t="n">
        <v>2</v>
      </c>
      <c r="C12" s="43" t="s">
        <v>782</v>
      </c>
      <c r="D12" s="43" t="s">
        <v>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784</v>
      </c>
    </row>
    <row r="2" customFormat="false" ht="15" hidden="false" customHeight="false" outlineLevel="0" collapsed="false">
      <c r="A2" s="12" t="s">
        <v>785</v>
      </c>
    </row>
    <row r="4" customFormat="false" ht="25.5" hidden="false" customHeight="true" outlineLevel="0" collapsed="false">
      <c r="A4" s="20" t="s">
        <v>786</v>
      </c>
      <c r="B4" s="20" t="s">
        <v>787</v>
      </c>
      <c r="C4" s="20" t="s">
        <v>788</v>
      </c>
      <c r="D4" s="20" t="s">
        <v>789</v>
      </c>
      <c r="E4" s="20" t="s">
        <v>790</v>
      </c>
      <c r="F4" s="20" t="s">
        <v>140</v>
      </c>
    </row>
    <row r="5" customFormat="false" ht="42" hidden="false" customHeight="true" outlineLevel="0" collapsed="false">
      <c r="A5" s="71" t="n">
        <v>1</v>
      </c>
      <c r="B5" s="69" t="s">
        <v>791</v>
      </c>
      <c r="C5" s="69" t="s">
        <v>792</v>
      </c>
      <c r="D5" s="69" t="s">
        <v>793</v>
      </c>
      <c r="E5" s="69" t="s">
        <v>794</v>
      </c>
      <c r="F5" s="71" t="s">
        <v>794</v>
      </c>
    </row>
    <row r="6" customFormat="false" ht="42" hidden="false" customHeight="true" outlineLevel="0" collapsed="false">
      <c r="A6" s="71" t="n">
        <v>2</v>
      </c>
      <c r="B6" s="69" t="s">
        <v>795</v>
      </c>
      <c r="C6" s="69" t="s">
        <v>796</v>
      </c>
      <c r="D6" s="69" t="s">
        <v>797</v>
      </c>
      <c r="E6" s="76"/>
      <c r="F6" s="74"/>
    </row>
    <row r="7" customFormat="false" ht="42" hidden="false" customHeight="true" outlineLevel="0" collapsed="false">
      <c r="A7" s="71" t="n">
        <v>3</v>
      </c>
      <c r="B7" s="69" t="s">
        <v>798</v>
      </c>
      <c r="C7" s="69" t="s">
        <v>799</v>
      </c>
      <c r="D7" s="69" t="s">
        <v>800</v>
      </c>
      <c r="E7" s="76"/>
      <c r="F7" s="74"/>
    </row>
    <row r="8" customFormat="false" ht="42" hidden="false" customHeight="true" outlineLevel="0" collapsed="false">
      <c r="A8" s="71" t="n">
        <v>4</v>
      </c>
      <c r="B8" s="69" t="s">
        <v>801</v>
      </c>
      <c r="C8" s="69" t="s">
        <v>260</v>
      </c>
      <c r="D8" s="69" t="s">
        <v>802</v>
      </c>
      <c r="E8" s="76"/>
      <c r="F8" s="74"/>
    </row>
    <row r="9" customFormat="false" ht="42" hidden="false" customHeight="true" outlineLevel="0" collapsed="false">
      <c r="A9" s="71" t="n">
        <v>5</v>
      </c>
      <c r="B9" s="69" t="s">
        <v>803</v>
      </c>
      <c r="C9" s="69" t="s">
        <v>229</v>
      </c>
      <c r="D9" s="69" t="s">
        <v>804</v>
      </c>
      <c r="E9" s="69" t="s">
        <v>805</v>
      </c>
      <c r="F9" s="71" t="s">
        <v>794</v>
      </c>
    </row>
    <row r="10" customFormat="false" ht="42" hidden="false" customHeight="true" outlineLevel="0" collapsed="false">
      <c r="A10" s="71" t="n">
        <v>6</v>
      </c>
      <c r="B10" s="69" t="s">
        <v>791</v>
      </c>
      <c r="C10" s="69" t="s">
        <v>806</v>
      </c>
      <c r="D10" s="69" t="s">
        <v>807</v>
      </c>
      <c r="E10" s="69" t="s">
        <v>794</v>
      </c>
      <c r="F10" s="71" t="s">
        <v>794</v>
      </c>
    </row>
    <row r="11" customFormat="false" ht="42" hidden="false" customHeight="true" outlineLevel="0" collapsed="false">
      <c r="A11" s="71" t="n">
        <v>7</v>
      </c>
      <c r="B11" s="69" t="s">
        <v>791</v>
      </c>
      <c r="C11" s="69" t="s">
        <v>808</v>
      </c>
      <c r="D11" s="69" t="s">
        <v>809</v>
      </c>
      <c r="E11" s="69" t="s">
        <v>794</v>
      </c>
      <c r="F11" s="71" t="s">
        <v>794</v>
      </c>
    </row>
    <row r="12" customFormat="false" ht="42" hidden="false" customHeight="true" outlineLevel="0" collapsed="false">
      <c r="A12" s="71" t="n">
        <v>8</v>
      </c>
      <c r="B12" s="69" t="s">
        <v>791</v>
      </c>
      <c r="C12" s="69" t="s">
        <v>810</v>
      </c>
      <c r="D12" s="69" t="s">
        <v>811</v>
      </c>
      <c r="E12" s="69" t="s">
        <v>794</v>
      </c>
      <c r="F12" s="71" t="s">
        <v>794</v>
      </c>
    </row>
    <row r="13" customFormat="false" ht="42" hidden="false" customHeight="true" outlineLevel="0" collapsed="false">
      <c r="A13" s="71" t="n">
        <v>9</v>
      </c>
      <c r="B13" s="69" t="s">
        <v>812</v>
      </c>
      <c r="C13" s="69" t="s">
        <v>813</v>
      </c>
      <c r="D13" s="69" t="s">
        <v>814</v>
      </c>
      <c r="E13" s="76"/>
      <c r="F13" s="74"/>
    </row>
    <row r="14" customFormat="false" ht="42" hidden="false" customHeight="true" outlineLevel="0" collapsed="false">
      <c r="A14" s="71" t="n">
        <v>10</v>
      </c>
      <c r="B14" s="69" t="s">
        <v>795</v>
      </c>
      <c r="C14" s="69" t="s">
        <v>815</v>
      </c>
      <c r="D14" s="69" t="s">
        <v>816</v>
      </c>
      <c r="E14" s="76"/>
      <c r="F14" s="74"/>
    </row>
    <row r="15" customFormat="false" ht="42" hidden="false" customHeight="true" outlineLevel="0" collapsed="false">
      <c r="A15" s="71" t="n">
        <v>11</v>
      </c>
      <c r="B15" s="69" t="s">
        <v>817</v>
      </c>
      <c r="C15" s="69" t="s">
        <v>165</v>
      </c>
      <c r="D15" s="69" t="s">
        <v>818</v>
      </c>
      <c r="E15" s="76"/>
      <c r="F15" s="74"/>
    </row>
    <row r="16" customFormat="false" ht="42" hidden="false" customHeight="true" outlineLevel="0" collapsed="false">
      <c r="A16" s="71" t="n">
        <v>12</v>
      </c>
      <c r="B16" s="69" t="s">
        <v>817</v>
      </c>
      <c r="C16" s="69" t="s">
        <v>272</v>
      </c>
      <c r="D16" s="69" t="s">
        <v>819</v>
      </c>
      <c r="E16" s="76"/>
      <c r="F16" s="74"/>
    </row>
  </sheetData>
  <conditionalFormatting sqref="A5:F16">
    <cfRule type="expression" priority="2" aboveAverage="0" equalAverage="0" bottom="0" percent="0" rank="0" text="" dxfId="0">
      <formula>OR($B5="Couverture",$B5="Bonne nouvelle à confirmer")</formula>
    </cfRule>
  </conditionalFormatting>
  <dataValidations count="1">
    <dataValidation allowBlank="true" errorStyle="stop" operator="between" showDropDown="false" showErrorMessage="false" showInputMessage="false" sqref="F5:F16" type="list">
      <formula1>"À traiter,En cours,Traité,Sans objet"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2026-08-10T20:37:34Z</dcterms:created>
  <dc:creator>openpyxl</dc:creator>
  <dc:description/>
  <dc:language>en-US</dc:language>
  <cp:lastModifiedBy/>
  <dcterms:modified xsi:type="dcterms:W3CDTF">2026-08-10T20:37:52Z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