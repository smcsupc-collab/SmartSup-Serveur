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24226"/>
  <mc:AlternateContent xmlns:mc="http://schemas.openxmlformats.org/markup-compatibility/2006">
    <mc:Choice Requires="x15">
      <x15ac:absPath xmlns:x15ac="http://schemas.microsoft.com/office/spreadsheetml/2010/11/ac" url="C:\Users\incident_smc\OneDrive - Orange Sonatel\Bureau\Sane\Smart Sup\"/>
    </mc:Choice>
  </mc:AlternateContent>
  <xr:revisionPtr revIDLastSave="0" documentId="13_ncr:1_{1F82F4BF-931A-4B76-8D43-591DC11E6592}" xr6:coauthVersionLast="47" xr6:coauthVersionMax="47" xr10:uidLastSave="{00000000-0000-0000-0000-000000000000}"/>
  <bookViews>
    <workbookView xWindow="-103" yWindow="-103" windowWidth="33120" windowHeight="18000" tabRatio="765" firstSheet="3" activeTab="3" xr2:uid="{00000000-000D-0000-FFFF-FFFF00000000}"/>
  </bookViews>
  <sheets>
    <sheet name="Plan d'action" sheetId="48" state="hidden" r:id="rId1"/>
    <sheet name="Suivi Perfomances" sheetId="45" state="hidden" r:id="rId2"/>
    <sheet name="Objectifs_2022" sheetId="44" state="hidden" r:id="rId3"/>
    <sheet name="JANVIER_2026" sheetId="32" r:id="rId4"/>
    <sheet name="Synthese_2018" sheetId="13" state="hidden" r:id="rId5"/>
    <sheet name="objectifs_Semestre_2_2018" sheetId="14" state="hidden" r:id="rId6"/>
    <sheet name="Janvier_2018" sheetId="1" state="hidden" r:id="rId7"/>
    <sheet name="Février_2018" sheetId="2" state="hidden" r:id="rId8"/>
    <sheet name="Mars_2018" sheetId="3" state="hidden" r:id="rId9"/>
    <sheet name="Avril_2018" sheetId="5" state="hidden" r:id="rId10"/>
    <sheet name="Mai_2018" sheetId="6" state="hidden" r:id="rId11"/>
    <sheet name="Juin_2018" sheetId="7" state="hidden" r:id="rId12"/>
    <sheet name="Juillet_2018" sheetId="8" state="hidden" r:id="rId13"/>
    <sheet name="Aout_2018" sheetId="11" state="hidden" r:id="rId14"/>
    <sheet name="Septembre_2018" sheetId="15" state="hidden" r:id="rId15"/>
    <sheet name="Octobre_2018" sheetId="16" state="hidden" r:id="rId16"/>
    <sheet name="Novembre_2018" sheetId="17" state="hidden" r:id="rId17"/>
    <sheet name="Decembre_2018" sheetId="18" state="hidden" r:id="rId18"/>
    <sheet name="Janvier_2019" sheetId="19" state="hidden" r:id="rId19"/>
    <sheet name="Février_2019" sheetId="20" state="hidden" r:id="rId20"/>
    <sheet name="Mars_2019" sheetId="22" state="hidden" r:id="rId21"/>
    <sheet name="Avril_2019" sheetId="23" state="hidden" r:id="rId22"/>
    <sheet name="MAI_2019" sheetId="24" state="hidden" r:id="rId23"/>
    <sheet name="JUIN_2019" sheetId="25" state="hidden" r:id="rId24"/>
    <sheet name="JUILLET_2019" sheetId="26" state="hidden" r:id="rId25"/>
    <sheet name="AOUT_2019" sheetId="27" state="hidden" r:id="rId26"/>
    <sheet name="SEPTEMBRE_2019" sheetId="28" state="hidden" r:id="rId27"/>
    <sheet name="OCTOBRE_2019" sheetId="29" state="hidden" r:id="rId28"/>
    <sheet name="NOVEMBRE_2019" sheetId="30" state="hidden" r:id="rId29"/>
    <sheet name="DECEMBRE_2019" sheetId="31" state="hidden" r:id="rId30"/>
    <sheet name="FEVRIER_2026" sheetId="33" r:id="rId31"/>
    <sheet name="MARS_2026" sheetId="34" r:id="rId32"/>
    <sheet name="AVRIL_2026" sheetId="35" r:id="rId33"/>
    <sheet name="MAI_2026" sheetId="36" r:id="rId34"/>
    <sheet name="JUIN_2026" sheetId="37" r:id="rId35"/>
    <sheet name="JUILLET_2026" sheetId="38" r:id="rId36"/>
    <sheet name="AOUT_2026" sheetId="39" r:id="rId37"/>
    <sheet name="SEPTEMBRE_2025" sheetId="40" r:id="rId38"/>
    <sheet name="OCTOBRE_2025" sheetId="41" r:id="rId39"/>
    <sheet name="NOVEMBRE_2025" sheetId="42" r:id="rId40"/>
    <sheet name="DECEMBRE_2025" sheetId="43" r:id="rId41"/>
  </sheets>
  <definedNames>
    <definedName name="_xlnm._FilterDatabase" localSheetId="13" hidden="1">Aout_2018!$A$1:$O$23</definedName>
    <definedName name="_xlnm._FilterDatabase" localSheetId="25" hidden="1">AOUT_2019!$A$1:$O$39</definedName>
    <definedName name="_xlnm._FilterDatabase" localSheetId="36" hidden="1">AOUT_2026!$A$1:$U$137</definedName>
    <definedName name="_xlnm._FilterDatabase" localSheetId="9" hidden="1">Avril_2018!$A$1:$N$44</definedName>
    <definedName name="_xlnm._FilterDatabase" localSheetId="21" hidden="1">Avril_2019!$A$1:$O$44</definedName>
    <definedName name="_xlnm._FilterDatabase" localSheetId="32" hidden="1">AVRIL_2026!$A$1:$U$99</definedName>
    <definedName name="_xlnm._FilterDatabase" localSheetId="17" hidden="1">Decembre_2018!$A$1:$O$54</definedName>
    <definedName name="_xlnm._FilterDatabase" localSheetId="29" hidden="1">DECEMBRE_2019!$A$1:$O$43</definedName>
    <definedName name="_xlnm._FilterDatabase" localSheetId="40" hidden="1">DECEMBRE_2025!$A$1:$U$142</definedName>
    <definedName name="_xlnm._FilterDatabase" localSheetId="7" hidden="1">Février_2018!$A$1:$N$29</definedName>
    <definedName name="_xlnm._FilterDatabase" localSheetId="19" hidden="1">Février_2019!$A$1:$O$37</definedName>
    <definedName name="_xlnm._FilterDatabase" localSheetId="30" hidden="1">FEVRIER_2026!$A$1:$U$120</definedName>
    <definedName name="_xlnm._FilterDatabase" localSheetId="6" hidden="1">Janvier_2018!$A$1:$O$32</definedName>
    <definedName name="_xlnm._FilterDatabase" localSheetId="18" hidden="1">Janvier_2019!$A$1:$O$44</definedName>
    <definedName name="_xlnm._FilterDatabase" localSheetId="3" hidden="1">JANVIER_2026!$A$1:$U$132</definedName>
    <definedName name="_xlnm._FilterDatabase" localSheetId="12" hidden="1">Juillet_2018!$A$1:$O$17</definedName>
    <definedName name="_xlnm._FilterDatabase" localSheetId="24" hidden="1">JUILLET_2019!$A$1:$O$50</definedName>
    <definedName name="_xlnm._FilterDatabase" localSheetId="35" hidden="1">JUILLET_2026!$A$1:$U$102</definedName>
    <definedName name="_xlnm._FilterDatabase" localSheetId="11" hidden="1">Juin_2018!$A$1:$N$45</definedName>
    <definedName name="_xlnm._FilterDatabase" localSheetId="23" hidden="1">JUIN_2019!$A$1:$O$60</definedName>
    <definedName name="_xlnm._FilterDatabase" localSheetId="34" hidden="1">JUIN_2026!$A$1:$U$108</definedName>
    <definedName name="_xlnm._FilterDatabase" localSheetId="10" hidden="1">Mai_2018!$A$1:$N$30</definedName>
    <definedName name="_xlnm._FilterDatabase" localSheetId="22" hidden="1">MAI_2019!$A$1:$O$58</definedName>
    <definedName name="_xlnm._FilterDatabase" localSheetId="33" hidden="1">MAI_2026!$A$1:$U$107</definedName>
    <definedName name="_xlnm._FilterDatabase" localSheetId="8" hidden="1">Mars_2018!$A$1:$N$41</definedName>
    <definedName name="_xlnm._FilterDatabase" localSheetId="20" hidden="1">Mars_2019!$A$1:$O$56</definedName>
    <definedName name="_xlnm._FilterDatabase" localSheetId="31" hidden="1">MARS_2026!$A$1:$U$135</definedName>
    <definedName name="_xlnm._FilterDatabase" localSheetId="16" hidden="1">Novembre_2018!$A$1:$O$48</definedName>
    <definedName name="_xlnm._FilterDatabase" localSheetId="28" hidden="1">NOVEMBRE_2019!$A$1:$O$43</definedName>
    <definedName name="_xlnm._FilterDatabase" localSheetId="39" hidden="1">NOVEMBRE_2025!$A$1:$U$140</definedName>
    <definedName name="_xlnm._FilterDatabase" localSheetId="15" hidden="1">Octobre_2018!$A$1:$O$41</definedName>
    <definedName name="_xlnm._FilterDatabase" localSheetId="27" hidden="1">OCTOBRE_2019!$A$1:$O$42</definedName>
    <definedName name="_xlnm._FilterDatabase" localSheetId="38" hidden="1">OCTOBRE_2025!$A$1:$U$143</definedName>
    <definedName name="_xlnm._FilterDatabase" localSheetId="14" hidden="1">Septembre_2018!$A$1:$O$16</definedName>
    <definedName name="_xlnm._FilterDatabase" localSheetId="26" hidden="1">SEPTEMBRE_2019!$A$1:$O$38</definedName>
    <definedName name="_xlnm._FilterDatabase" localSheetId="37" hidden="1">SEPTEMBRE_2025!$A$1:$U$136</definedName>
    <definedName name="cat">#REF!</definedName>
    <definedName name="d">#REF!</definedName>
    <definedName name="g">#REF!</definedName>
    <definedName name="ORIGINE">#REF!</definedName>
    <definedName name="porteur">#REF!</definedName>
    <definedName name="prio">#REF!</definedName>
    <definedName name="Réinitialiser_Zone_Impression">OFFSET(#REF!,0,0,COUNTA(#REF!)+5)</definedName>
    <definedName name="s">#REF!</definedName>
    <definedName name="stat">#REF!</definedName>
    <definedName name="SurlignageTâchesÀFaire">#REF!</definedName>
    <definedName name="SurlignerActivités">#REF!</definedName>
    <definedName name="valHDébut">#REF!</definedName>
    <definedName name="valHF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6" i="35" l="1"/>
  <c r="T136" i="35" s="1"/>
  <c r="S137" i="35"/>
  <c r="T137" i="35" s="1"/>
  <c r="S138" i="35"/>
  <c r="T138" i="35" s="1"/>
  <c r="I136" i="35"/>
  <c r="J136" i="35"/>
  <c r="K136" i="35"/>
  <c r="L136" i="35"/>
  <c r="I137" i="35"/>
  <c r="J137" i="35"/>
  <c r="K137" i="35"/>
  <c r="L137" i="35"/>
  <c r="I138" i="35"/>
  <c r="J138" i="35"/>
  <c r="K138" i="35"/>
  <c r="L138" i="35"/>
  <c r="S3" i="35"/>
  <c r="S4" i="35"/>
  <c r="S5" i="35"/>
  <c r="S6" i="35"/>
  <c r="S7" i="35"/>
  <c r="S8" i="35"/>
  <c r="S9" i="35"/>
  <c r="S10" i="35"/>
  <c r="S11" i="35"/>
  <c r="S12" i="35"/>
  <c r="S13" i="35"/>
  <c r="S14" i="35"/>
  <c r="S15" i="35"/>
  <c r="S16" i="35"/>
  <c r="S17" i="35"/>
  <c r="S18" i="35"/>
  <c r="S19" i="35"/>
  <c r="S20" i="35"/>
  <c r="S21" i="35"/>
  <c r="S22" i="35"/>
  <c r="S23" i="35"/>
  <c r="S24" i="35"/>
  <c r="S25" i="35"/>
  <c r="S26" i="35"/>
  <c r="S27" i="35"/>
  <c r="S28" i="35"/>
  <c r="S29" i="35"/>
  <c r="S30" i="35"/>
  <c r="S31" i="35"/>
  <c r="S32" i="35"/>
  <c r="S33" i="35"/>
  <c r="S34" i="35"/>
  <c r="S35" i="35"/>
  <c r="S36" i="35"/>
  <c r="S37" i="35"/>
  <c r="S38" i="35"/>
  <c r="S39" i="35"/>
  <c r="S40" i="35"/>
  <c r="S41" i="35"/>
  <c r="S42" i="35"/>
  <c r="S43" i="35"/>
  <c r="S44" i="35"/>
  <c r="S45" i="35"/>
  <c r="S46" i="35"/>
  <c r="S47" i="35"/>
  <c r="S48" i="35"/>
  <c r="S49" i="35"/>
  <c r="S50" i="35"/>
  <c r="S51" i="35"/>
  <c r="S52" i="35"/>
  <c r="S53" i="35"/>
  <c r="S54" i="35"/>
  <c r="S55" i="35"/>
  <c r="S56" i="35"/>
  <c r="S57" i="35"/>
  <c r="S58" i="35"/>
  <c r="S59" i="35"/>
  <c r="S60" i="35"/>
  <c r="S61" i="35"/>
  <c r="S62" i="35"/>
  <c r="S63" i="35"/>
  <c r="S64" i="35"/>
  <c r="S65" i="35"/>
  <c r="S66" i="35"/>
  <c r="S67" i="35"/>
  <c r="S68" i="35"/>
  <c r="S69" i="35"/>
  <c r="S70" i="35"/>
  <c r="S71" i="35"/>
  <c r="S72" i="35"/>
  <c r="S73" i="35"/>
  <c r="T73" i="35" s="1"/>
  <c r="S74" i="35"/>
  <c r="S75" i="35"/>
  <c r="S76" i="35"/>
  <c r="S77" i="35"/>
  <c r="S78" i="35"/>
  <c r="S79" i="35"/>
  <c r="S80" i="35"/>
  <c r="S81" i="35"/>
  <c r="S82" i="35"/>
  <c r="S83" i="35"/>
  <c r="S84" i="35"/>
  <c r="S85" i="35"/>
  <c r="S86" i="35"/>
  <c r="S87" i="35"/>
  <c r="S88" i="35"/>
  <c r="S89" i="35"/>
  <c r="S90" i="35"/>
  <c r="S91" i="35"/>
  <c r="S92" i="35"/>
  <c r="S93" i="35"/>
  <c r="S94" i="35"/>
  <c r="S95" i="35"/>
  <c r="S96" i="35"/>
  <c r="S97" i="35"/>
  <c r="S98" i="35"/>
  <c r="S99" i="35"/>
  <c r="S100" i="35"/>
  <c r="S101" i="35"/>
  <c r="S102" i="35"/>
  <c r="S103" i="35"/>
  <c r="S104" i="35"/>
  <c r="S105" i="35"/>
  <c r="S106" i="35"/>
  <c r="S107" i="35"/>
  <c r="S108" i="35"/>
  <c r="S109" i="35"/>
  <c r="S110" i="35"/>
  <c r="S111" i="35"/>
  <c r="S112" i="35"/>
  <c r="S113" i="35"/>
  <c r="T113" i="35" s="1"/>
  <c r="S114" i="35"/>
  <c r="S115" i="35"/>
  <c r="S116" i="35"/>
  <c r="S117" i="35"/>
  <c r="S118" i="35"/>
  <c r="S119" i="35"/>
  <c r="S120" i="35"/>
  <c r="S121" i="35"/>
  <c r="S122" i="35"/>
  <c r="S123" i="35"/>
  <c r="S124" i="35"/>
  <c r="S125" i="35"/>
  <c r="S126" i="35"/>
  <c r="S127" i="35"/>
  <c r="S128" i="35"/>
  <c r="S129" i="35"/>
  <c r="S130" i="35"/>
  <c r="S131" i="35"/>
  <c r="S132" i="35"/>
  <c r="S133" i="35"/>
  <c r="S134" i="35"/>
  <c r="S135" i="35"/>
  <c r="K135" i="35"/>
  <c r="L135" i="35" s="1"/>
  <c r="I135" i="35"/>
  <c r="J135" i="35" s="1"/>
  <c r="T135" i="35" s="1"/>
  <c r="K134" i="35"/>
  <c r="L134" i="35" s="1"/>
  <c r="I134" i="35"/>
  <c r="J134" i="35" s="1"/>
  <c r="T134" i="35" s="1"/>
  <c r="K133" i="35"/>
  <c r="L133" i="35" s="1"/>
  <c r="I133" i="35"/>
  <c r="J133" i="35" s="1"/>
  <c r="T133" i="35" s="1"/>
  <c r="K132" i="35"/>
  <c r="L132" i="35" s="1"/>
  <c r="I132" i="35"/>
  <c r="J132" i="35" s="1"/>
  <c r="T131" i="35"/>
  <c r="K131" i="35"/>
  <c r="L131" i="35" s="1"/>
  <c r="I131" i="35"/>
  <c r="J131" i="35" s="1"/>
  <c r="L130" i="35"/>
  <c r="K130" i="35"/>
  <c r="I130" i="35"/>
  <c r="J130" i="35" s="1"/>
  <c r="T130" i="35" s="1"/>
  <c r="K129" i="35"/>
  <c r="L129" i="35" s="1"/>
  <c r="J129" i="35"/>
  <c r="I129" i="35"/>
  <c r="K128" i="35"/>
  <c r="L128" i="35" s="1"/>
  <c r="I128" i="35"/>
  <c r="J128" i="35" s="1"/>
  <c r="K127" i="35"/>
  <c r="L127" i="35" s="1"/>
  <c r="I127" i="35"/>
  <c r="J127" i="35" s="1"/>
  <c r="T127" i="35" s="1"/>
  <c r="K126" i="35"/>
  <c r="L126" i="35" s="1"/>
  <c r="I126" i="35"/>
  <c r="J126" i="35" s="1"/>
  <c r="T126" i="35" s="1"/>
  <c r="K125" i="35"/>
  <c r="L125" i="35" s="1"/>
  <c r="I125" i="35"/>
  <c r="J125" i="35" s="1"/>
  <c r="T125" i="35" s="1"/>
  <c r="K124" i="35"/>
  <c r="L124" i="35" s="1"/>
  <c r="I124" i="35"/>
  <c r="J124" i="35" s="1"/>
  <c r="T124" i="35" s="1"/>
  <c r="K123" i="35"/>
  <c r="L123" i="35" s="1"/>
  <c r="I123" i="35"/>
  <c r="J123" i="35" s="1"/>
  <c r="T123" i="35" s="1"/>
  <c r="K122" i="35"/>
  <c r="L122" i="35" s="1"/>
  <c r="I122" i="35"/>
  <c r="J122" i="35" s="1"/>
  <c r="T122" i="35" s="1"/>
  <c r="K121" i="35"/>
  <c r="L121" i="35" s="1"/>
  <c r="I121" i="35"/>
  <c r="J121" i="35" s="1"/>
  <c r="K120" i="35"/>
  <c r="L120" i="35" s="1"/>
  <c r="J120" i="35"/>
  <c r="T120" i="35" s="1"/>
  <c r="I120" i="35"/>
  <c r="L119" i="35"/>
  <c r="K119" i="35"/>
  <c r="I119" i="35"/>
  <c r="J119" i="35" s="1"/>
  <c r="T119" i="35" s="1"/>
  <c r="K118" i="35"/>
  <c r="L118" i="35" s="1"/>
  <c r="I118" i="35"/>
  <c r="J118" i="35" s="1"/>
  <c r="T118" i="35" s="1"/>
  <c r="K117" i="35"/>
  <c r="L117" i="35" s="1"/>
  <c r="J117" i="35"/>
  <c r="T117" i="35" s="1"/>
  <c r="I117" i="35"/>
  <c r="K116" i="35"/>
  <c r="L116" i="35" s="1"/>
  <c r="I116" i="35"/>
  <c r="J116" i="35" s="1"/>
  <c r="T116" i="35" s="1"/>
  <c r="K115" i="35"/>
  <c r="L115" i="35" s="1"/>
  <c r="I115" i="35"/>
  <c r="J115" i="35" s="1"/>
  <c r="T115" i="35" s="1"/>
  <c r="K114" i="35"/>
  <c r="L114" i="35" s="1"/>
  <c r="I114" i="35"/>
  <c r="J114" i="35" s="1"/>
  <c r="T114" i="35" s="1"/>
  <c r="K113" i="35"/>
  <c r="L113" i="35" s="1"/>
  <c r="I113" i="35"/>
  <c r="J113" i="35" s="1"/>
  <c r="K112" i="35"/>
  <c r="L112" i="35" s="1"/>
  <c r="I112" i="35"/>
  <c r="J112" i="35" s="1"/>
  <c r="T112" i="35" s="1"/>
  <c r="K111" i="35"/>
  <c r="L111" i="35" s="1"/>
  <c r="I111" i="35"/>
  <c r="J111" i="35" s="1"/>
  <c r="T111" i="35" s="1"/>
  <c r="K110" i="35"/>
  <c r="L110" i="35" s="1"/>
  <c r="I110" i="35"/>
  <c r="J110" i="35" s="1"/>
  <c r="T110" i="35" s="1"/>
  <c r="K109" i="35"/>
  <c r="L109" i="35" s="1"/>
  <c r="I109" i="35"/>
  <c r="J109" i="35" s="1"/>
  <c r="T109" i="35" s="1"/>
  <c r="K108" i="35"/>
  <c r="L108" i="35" s="1"/>
  <c r="I108" i="35"/>
  <c r="J108" i="35" s="1"/>
  <c r="T108" i="35" s="1"/>
  <c r="L107" i="35"/>
  <c r="K107" i="35"/>
  <c r="I107" i="35"/>
  <c r="J107" i="35" s="1"/>
  <c r="T107" i="35" s="1"/>
  <c r="L106" i="35"/>
  <c r="K106" i="35"/>
  <c r="J106" i="35"/>
  <c r="T106" i="35" s="1"/>
  <c r="I106" i="35"/>
  <c r="K105" i="35"/>
  <c r="L105" i="35" s="1"/>
  <c r="I105" i="35"/>
  <c r="J105" i="35" s="1"/>
  <c r="K104" i="35"/>
  <c r="L104" i="35" s="1"/>
  <c r="I104" i="35"/>
  <c r="J104" i="35" s="1"/>
  <c r="T104" i="35" s="1"/>
  <c r="L103" i="35"/>
  <c r="K103" i="35"/>
  <c r="I103" i="35"/>
  <c r="J103" i="35" s="1"/>
  <c r="T103" i="35" s="1"/>
  <c r="K102" i="35"/>
  <c r="L102" i="35" s="1"/>
  <c r="I102" i="35"/>
  <c r="J102" i="35" s="1"/>
  <c r="T102" i="35" s="1"/>
  <c r="K101" i="35"/>
  <c r="L101" i="35" s="1"/>
  <c r="I101" i="35"/>
  <c r="J101" i="35" s="1"/>
  <c r="T101" i="35" s="1"/>
  <c r="K100" i="35"/>
  <c r="L100" i="35" s="1"/>
  <c r="I100" i="35"/>
  <c r="J100" i="35" s="1"/>
  <c r="T100" i="35" s="1"/>
  <c r="K99" i="35"/>
  <c r="L99" i="35" s="1"/>
  <c r="I99" i="35"/>
  <c r="J99" i="35" s="1"/>
  <c r="T99" i="35" s="1"/>
  <c r="K98" i="35"/>
  <c r="L98" i="35" s="1"/>
  <c r="I98" i="35"/>
  <c r="J98" i="35" s="1"/>
  <c r="T98" i="35" s="1"/>
  <c r="K97" i="35"/>
  <c r="L97" i="35" s="1"/>
  <c r="I97" i="35"/>
  <c r="J97" i="35" s="1"/>
  <c r="K96" i="35"/>
  <c r="L96" i="35" s="1"/>
  <c r="J96" i="35"/>
  <c r="T96" i="35" s="1"/>
  <c r="I96" i="35"/>
  <c r="K95" i="35"/>
  <c r="L95" i="35" s="1"/>
  <c r="I95" i="35"/>
  <c r="J95" i="35" s="1"/>
  <c r="T95" i="35" s="1"/>
  <c r="T94" i="35"/>
  <c r="K94" i="35"/>
  <c r="L94" i="35" s="1"/>
  <c r="J94" i="35"/>
  <c r="I94" i="35"/>
  <c r="K93" i="35"/>
  <c r="L93" i="35" s="1"/>
  <c r="I93" i="35"/>
  <c r="J93" i="35" s="1"/>
  <c r="T93" i="35" s="1"/>
  <c r="K92" i="35"/>
  <c r="L92" i="35" s="1"/>
  <c r="I92" i="35"/>
  <c r="J92" i="35" s="1"/>
  <c r="T92" i="35" s="1"/>
  <c r="T91" i="35"/>
  <c r="K91" i="35"/>
  <c r="L91" i="35" s="1"/>
  <c r="I91" i="35"/>
  <c r="J91" i="35" s="1"/>
  <c r="K90" i="35"/>
  <c r="L90" i="35" s="1"/>
  <c r="I90" i="35"/>
  <c r="J90" i="35" s="1"/>
  <c r="T90" i="35" s="1"/>
  <c r="K89" i="35"/>
  <c r="L89" i="35" s="1"/>
  <c r="I89" i="35"/>
  <c r="J89" i="35" s="1"/>
  <c r="K88" i="35"/>
  <c r="L88" i="35" s="1"/>
  <c r="I88" i="35"/>
  <c r="J88" i="35" s="1"/>
  <c r="T88" i="35" s="1"/>
  <c r="K87" i="35"/>
  <c r="L87" i="35" s="1"/>
  <c r="I87" i="35"/>
  <c r="J87" i="35" s="1"/>
  <c r="T87" i="35" s="1"/>
  <c r="K86" i="35"/>
  <c r="L86" i="35" s="1"/>
  <c r="I86" i="35"/>
  <c r="J86" i="35" s="1"/>
  <c r="T86" i="35" s="1"/>
  <c r="K85" i="35"/>
  <c r="L85" i="35" s="1"/>
  <c r="I85" i="35"/>
  <c r="J85" i="35" s="1"/>
  <c r="T85" i="35" s="1"/>
  <c r="K84" i="35"/>
  <c r="L84" i="35" s="1"/>
  <c r="I84" i="35"/>
  <c r="J84" i="35" s="1"/>
  <c r="T84" i="35" s="1"/>
  <c r="K83" i="35"/>
  <c r="L83" i="35" s="1"/>
  <c r="I83" i="35"/>
  <c r="J83" i="35" s="1"/>
  <c r="T83" i="35" s="1"/>
  <c r="K82" i="35"/>
  <c r="L82" i="35" s="1"/>
  <c r="I82" i="35"/>
  <c r="J82" i="35" s="1"/>
  <c r="T82" i="35" s="1"/>
  <c r="K81" i="35"/>
  <c r="L81" i="35" s="1"/>
  <c r="I81" i="35"/>
  <c r="J81" i="35" s="1"/>
  <c r="K80" i="35"/>
  <c r="L80" i="35" s="1"/>
  <c r="I80" i="35"/>
  <c r="J80" i="35" s="1"/>
  <c r="T80" i="35" s="1"/>
  <c r="K79" i="35"/>
  <c r="L79" i="35" s="1"/>
  <c r="I79" i="35"/>
  <c r="J79" i="35" s="1"/>
  <c r="T79" i="35" s="1"/>
  <c r="K78" i="35"/>
  <c r="L78" i="35" s="1"/>
  <c r="I78" i="35"/>
  <c r="J78" i="35" s="1"/>
  <c r="T78" i="35" s="1"/>
  <c r="K77" i="35"/>
  <c r="L77" i="35" s="1"/>
  <c r="I77" i="35"/>
  <c r="J77" i="35" s="1"/>
  <c r="T77" i="35" s="1"/>
  <c r="K76" i="35"/>
  <c r="L76" i="35" s="1"/>
  <c r="I76" i="35"/>
  <c r="J76" i="35" s="1"/>
  <c r="T76" i="35" s="1"/>
  <c r="K75" i="35"/>
  <c r="L75" i="35" s="1"/>
  <c r="I75" i="35"/>
  <c r="J75" i="35" s="1"/>
  <c r="T75" i="35" s="1"/>
  <c r="K74" i="35"/>
  <c r="L74" i="35" s="1"/>
  <c r="I74" i="35"/>
  <c r="J74" i="35" s="1"/>
  <c r="T74" i="35" s="1"/>
  <c r="K73" i="35"/>
  <c r="L73" i="35" s="1"/>
  <c r="J73" i="35"/>
  <c r="I73" i="35"/>
  <c r="K72" i="35"/>
  <c r="L72" i="35" s="1"/>
  <c r="I72" i="35"/>
  <c r="J72" i="35" s="1"/>
  <c r="T72" i="35" s="1"/>
  <c r="K71" i="35"/>
  <c r="L71" i="35" s="1"/>
  <c r="I71" i="35"/>
  <c r="J71" i="35" s="1"/>
  <c r="T71" i="35" s="1"/>
  <c r="K70" i="35"/>
  <c r="L70" i="35" s="1"/>
  <c r="I70" i="35"/>
  <c r="J70" i="35" s="1"/>
  <c r="T70" i="35" s="1"/>
  <c r="K69" i="35"/>
  <c r="L69" i="35" s="1"/>
  <c r="I69" i="35"/>
  <c r="J69" i="35" s="1"/>
  <c r="T69" i="35" s="1"/>
  <c r="K68" i="35"/>
  <c r="L68" i="35" s="1"/>
  <c r="I68" i="35"/>
  <c r="J68" i="35" s="1"/>
  <c r="T68" i="35" s="1"/>
  <c r="K67" i="35"/>
  <c r="L67" i="35" s="1"/>
  <c r="I67" i="35"/>
  <c r="J67" i="35" s="1"/>
  <c r="T67" i="35" s="1"/>
  <c r="K66" i="35"/>
  <c r="L66" i="35" s="1"/>
  <c r="J66" i="35"/>
  <c r="T66" i="35" s="1"/>
  <c r="I66" i="35"/>
  <c r="K65" i="35"/>
  <c r="L65" i="35" s="1"/>
  <c r="I65" i="35"/>
  <c r="J65" i="35" s="1"/>
  <c r="K64" i="35"/>
  <c r="L64" i="35" s="1"/>
  <c r="I64" i="35"/>
  <c r="J64" i="35" s="1"/>
  <c r="T64" i="35" s="1"/>
  <c r="K63" i="35"/>
  <c r="L63" i="35" s="1"/>
  <c r="J63" i="35"/>
  <c r="T63" i="35" s="1"/>
  <c r="I63" i="35"/>
  <c r="K62" i="35"/>
  <c r="L62" i="35" s="1"/>
  <c r="I62" i="35"/>
  <c r="J62" i="35" s="1"/>
  <c r="T62" i="35" s="1"/>
  <c r="K61" i="35"/>
  <c r="L61" i="35" s="1"/>
  <c r="I61" i="35"/>
  <c r="J61" i="35" s="1"/>
  <c r="T61" i="35" s="1"/>
  <c r="K60" i="35"/>
  <c r="L60" i="35" s="1"/>
  <c r="J60" i="35"/>
  <c r="T60" i="35" s="1"/>
  <c r="I60" i="35"/>
  <c r="K59" i="35"/>
  <c r="L59" i="35" s="1"/>
  <c r="I59" i="35"/>
  <c r="J59" i="35" s="1"/>
  <c r="T59" i="35" s="1"/>
  <c r="K58" i="35"/>
  <c r="L58" i="35" s="1"/>
  <c r="I58" i="35"/>
  <c r="J58" i="35" s="1"/>
  <c r="T58" i="35" s="1"/>
  <c r="K57" i="35"/>
  <c r="L57" i="35" s="1"/>
  <c r="I57" i="35"/>
  <c r="J57" i="35" s="1"/>
  <c r="T57" i="35" s="1"/>
  <c r="K56" i="35"/>
  <c r="L56" i="35" s="1"/>
  <c r="J56" i="35"/>
  <c r="T56" i="35" s="1"/>
  <c r="I56" i="35"/>
  <c r="K55" i="35"/>
  <c r="L55" i="35" s="1"/>
  <c r="I55" i="35"/>
  <c r="J55" i="35" s="1"/>
  <c r="T55" i="35" s="1"/>
  <c r="L54" i="35"/>
  <c r="K54" i="35"/>
  <c r="I54" i="35"/>
  <c r="J54" i="35" s="1"/>
  <c r="T54" i="35" s="1"/>
  <c r="K53" i="35"/>
  <c r="L53" i="35" s="1"/>
  <c r="I53" i="35"/>
  <c r="J53" i="35" s="1"/>
  <c r="T53" i="35" s="1"/>
  <c r="K52" i="35"/>
  <c r="L52" i="35" s="1"/>
  <c r="I52" i="35"/>
  <c r="J52" i="35" s="1"/>
  <c r="T52" i="35" s="1"/>
  <c r="K51" i="35"/>
  <c r="L51" i="35" s="1"/>
  <c r="I51" i="35"/>
  <c r="J51" i="35" s="1"/>
  <c r="T51" i="35" s="1"/>
  <c r="K50" i="35"/>
  <c r="L50" i="35" s="1"/>
  <c r="I50" i="35"/>
  <c r="J50" i="35" s="1"/>
  <c r="T50" i="35" s="1"/>
  <c r="K49" i="35"/>
  <c r="L49" i="35" s="1"/>
  <c r="I49" i="35"/>
  <c r="J49" i="35" s="1"/>
  <c r="L48" i="35"/>
  <c r="K48" i="35"/>
  <c r="I48" i="35"/>
  <c r="J48" i="35" s="1"/>
  <c r="T48" i="35" s="1"/>
  <c r="K47" i="35"/>
  <c r="L47" i="35" s="1"/>
  <c r="I47" i="35"/>
  <c r="J47" i="35" s="1"/>
  <c r="T47" i="35" s="1"/>
  <c r="K46" i="35"/>
  <c r="L46" i="35" s="1"/>
  <c r="I46" i="35"/>
  <c r="J46" i="35" s="1"/>
  <c r="T46" i="35" s="1"/>
  <c r="K45" i="35"/>
  <c r="L45" i="35" s="1"/>
  <c r="I45" i="35"/>
  <c r="J45" i="35" s="1"/>
  <c r="T45" i="35" s="1"/>
  <c r="K44" i="35"/>
  <c r="L44" i="35" s="1"/>
  <c r="I44" i="35"/>
  <c r="J44" i="35" s="1"/>
  <c r="T44" i="35" s="1"/>
  <c r="K43" i="35"/>
  <c r="L43" i="35" s="1"/>
  <c r="I43" i="35"/>
  <c r="J43" i="35" s="1"/>
  <c r="T43" i="35" s="1"/>
  <c r="K42" i="35"/>
  <c r="L42" i="35" s="1"/>
  <c r="I42" i="35"/>
  <c r="J42" i="35" s="1"/>
  <c r="T42" i="35" s="1"/>
  <c r="K41" i="35"/>
  <c r="L41" i="35" s="1"/>
  <c r="I41" i="35"/>
  <c r="J41" i="35" s="1"/>
  <c r="K40" i="35"/>
  <c r="L40" i="35" s="1"/>
  <c r="I40" i="35"/>
  <c r="J40" i="35" s="1"/>
  <c r="T40" i="35" s="1"/>
  <c r="K39" i="35"/>
  <c r="L39" i="35" s="1"/>
  <c r="J39" i="35"/>
  <c r="T39" i="35" s="1"/>
  <c r="I39" i="35"/>
  <c r="L38" i="35"/>
  <c r="K38" i="35"/>
  <c r="I38" i="35"/>
  <c r="J38" i="35" s="1"/>
  <c r="T38" i="35" s="1"/>
  <c r="K37" i="35"/>
  <c r="L37" i="35" s="1"/>
  <c r="J37" i="35"/>
  <c r="T37" i="35" s="1"/>
  <c r="I37" i="35"/>
  <c r="K36" i="35"/>
  <c r="L36" i="35" s="1"/>
  <c r="I36" i="35"/>
  <c r="J36" i="35" s="1"/>
  <c r="T36" i="35" s="1"/>
  <c r="K35" i="35"/>
  <c r="L35" i="35" s="1"/>
  <c r="I35" i="35"/>
  <c r="J35" i="35" s="1"/>
  <c r="T35" i="35" s="1"/>
  <c r="K34" i="35"/>
  <c r="L34" i="35" s="1"/>
  <c r="I34" i="35"/>
  <c r="J34" i="35" s="1"/>
  <c r="T34" i="35" s="1"/>
  <c r="K33" i="35"/>
  <c r="L33" i="35" s="1"/>
  <c r="I33" i="35"/>
  <c r="J33" i="35" s="1"/>
  <c r="K32" i="35"/>
  <c r="L32" i="35" s="1"/>
  <c r="I32" i="35"/>
  <c r="J32" i="35" s="1"/>
  <c r="T32" i="35" s="1"/>
  <c r="K31" i="35"/>
  <c r="L31" i="35" s="1"/>
  <c r="J31" i="35"/>
  <c r="T31" i="35" s="1"/>
  <c r="I31" i="35"/>
  <c r="K30" i="35"/>
  <c r="L30" i="35" s="1"/>
  <c r="I30" i="35"/>
  <c r="J30" i="35" s="1"/>
  <c r="T30" i="35" s="1"/>
  <c r="K29" i="35"/>
  <c r="L29" i="35" s="1"/>
  <c r="I29" i="35"/>
  <c r="J29" i="35" s="1"/>
  <c r="T29" i="35" s="1"/>
  <c r="K28" i="35"/>
  <c r="L28" i="35" s="1"/>
  <c r="I28" i="35"/>
  <c r="J28" i="35" s="1"/>
  <c r="T28" i="35" s="1"/>
  <c r="K27" i="35"/>
  <c r="L27" i="35" s="1"/>
  <c r="I27" i="35"/>
  <c r="J27" i="35" s="1"/>
  <c r="T27" i="35" s="1"/>
  <c r="K26" i="35"/>
  <c r="L26" i="35" s="1"/>
  <c r="J26" i="35"/>
  <c r="T26" i="35" s="1"/>
  <c r="I26" i="35"/>
  <c r="K25" i="35"/>
  <c r="L25" i="35" s="1"/>
  <c r="I25" i="35"/>
  <c r="J25" i="35" s="1"/>
  <c r="T25" i="35" s="1"/>
  <c r="K24" i="35"/>
  <c r="L24" i="35" s="1"/>
  <c r="I24" i="35"/>
  <c r="J24" i="35" s="1"/>
  <c r="T24" i="35" s="1"/>
  <c r="L23" i="35"/>
  <c r="K23" i="35"/>
  <c r="I23" i="35"/>
  <c r="J23" i="35" s="1"/>
  <c r="T23" i="35" s="1"/>
  <c r="K22" i="35"/>
  <c r="L22" i="35" s="1"/>
  <c r="I22" i="35"/>
  <c r="J22" i="35" s="1"/>
  <c r="T22" i="35" s="1"/>
  <c r="K21" i="35"/>
  <c r="L21" i="35" s="1"/>
  <c r="I21" i="35"/>
  <c r="J21" i="35" s="1"/>
  <c r="T21" i="35" s="1"/>
  <c r="K20" i="35"/>
  <c r="L20" i="35" s="1"/>
  <c r="I20" i="35"/>
  <c r="J20" i="35" s="1"/>
  <c r="T20" i="35" s="1"/>
  <c r="K19" i="35"/>
  <c r="L19" i="35" s="1"/>
  <c r="I19" i="35"/>
  <c r="J19" i="35" s="1"/>
  <c r="T19" i="35" s="1"/>
  <c r="K18" i="35"/>
  <c r="L18" i="35" s="1"/>
  <c r="I18" i="35"/>
  <c r="J18" i="35" s="1"/>
  <c r="T18" i="35" s="1"/>
  <c r="K17" i="35"/>
  <c r="L17" i="35" s="1"/>
  <c r="I17" i="35"/>
  <c r="J17" i="35" s="1"/>
  <c r="K16" i="35"/>
  <c r="L16" i="35" s="1"/>
  <c r="I16" i="35"/>
  <c r="J16" i="35" s="1"/>
  <c r="T16" i="35" s="1"/>
  <c r="K15" i="35"/>
  <c r="L15" i="35" s="1"/>
  <c r="I15" i="35"/>
  <c r="J15" i="35" s="1"/>
  <c r="T15" i="35" s="1"/>
  <c r="K14" i="35"/>
  <c r="L14" i="35" s="1"/>
  <c r="J14" i="35"/>
  <c r="T14" i="35" s="1"/>
  <c r="I14" i="35"/>
  <c r="K13" i="35"/>
  <c r="L13" i="35" s="1"/>
  <c r="I13" i="35"/>
  <c r="J13" i="35" s="1"/>
  <c r="T13" i="35" s="1"/>
  <c r="K12" i="35"/>
  <c r="L12" i="35" s="1"/>
  <c r="I12" i="35"/>
  <c r="J12" i="35" s="1"/>
  <c r="T12" i="35" s="1"/>
  <c r="K11" i="35"/>
  <c r="L11" i="35" s="1"/>
  <c r="I11" i="35"/>
  <c r="J11" i="35" s="1"/>
  <c r="T11" i="35" s="1"/>
  <c r="K10" i="35"/>
  <c r="L10" i="35" s="1"/>
  <c r="J10" i="35"/>
  <c r="T10" i="35" s="1"/>
  <c r="I10" i="35"/>
  <c r="L9" i="35"/>
  <c r="K9" i="35"/>
  <c r="I9" i="35"/>
  <c r="J9" i="35" s="1"/>
  <c r="K8" i="35"/>
  <c r="L8" i="35" s="1"/>
  <c r="I8" i="35"/>
  <c r="J8" i="35" s="1"/>
  <c r="T8" i="35" s="1"/>
  <c r="K7" i="35"/>
  <c r="L7" i="35" s="1"/>
  <c r="I7" i="35"/>
  <c r="J7" i="35" s="1"/>
  <c r="T7" i="35" s="1"/>
  <c r="L6" i="35"/>
  <c r="K6" i="35"/>
  <c r="J6" i="35"/>
  <c r="T6" i="35" s="1"/>
  <c r="I6" i="35"/>
  <c r="K5" i="35"/>
  <c r="L5" i="35" s="1"/>
  <c r="I5" i="35"/>
  <c r="J5" i="35" s="1"/>
  <c r="T5" i="35" s="1"/>
  <c r="K4" i="35"/>
  <c r="L4" i="35" s="1"/>
  <c r="I4" i="35"/>
  <c r="J4" i="35" s="1"/>
  <c r="T4" i="35" s="1"/>
  <c r="T3" i="35"/>
  <c r="K3" i="35"/>
  <c r="L3" i="35" s="1"/>
  <c r="I3" i="35"/>
  <c r="J3" i="35" s="1"/>
  <c r="K2" i="35"/>
  <c r="L2" i="35" s="1"/>
  <c r="I2" i="35"/>
  <c r="J2" i="35" s="1"/>
  <c r="S2" i="35" s="1"/>
  <c r="T2" i="35" s="1"/>
  <c r="I3" i="34"/>
  <c r="J3" i="34" s="1"/>
  <c r="S3" i="34" s="1"/>
  <c r="T3" i="34" s="1"/>
  <c r="K3" i="34"/>
  <c r="L3" i="34" s="1"/>
  <c r="I4" i="34"/>
  <c r="J4" i="34" s="1"/>
  <c r="S4" i="34" s="1"/>
  <c r="T4" i="34" s="1"/>
  <c r="K4" i="34"/>
  <c r="L4" i="34" s="1"/>
  <c r="I5" i="34"/>
  <c r="J5" i="34" s="1"/>
  <c r="S5" i="34" s="1"/>
  <c r="T5" i="34" s="1"/>
  <c r="K5" i="34"/>
  <c r="L5" i="34" s="1"/>
  <c r="I6" i="34"/>
  <c r="J6" i="34" s="1"/>
  <c r="S6" i="34" s="1"/>
  <c r="T6" i="34" s="1"/>
  <c r="K6" i="34"/>
  <c r="L6" i="34" s="1"/>
  <c r="I7" i="34"/>
  <c r="J7" i="34" s="1"/>
  <c r="S7" i="34" s="1"/>
  <c r="T7" i="34" s="1"/>
  <c r="K7" i="34"/>
  <c r="L7" i="34" s="1"/>
  <c r="I8" i="34"/>
  <c r="J8" i="34" s="1"/>
  <c r="S8" i="34" s="1"/>
  <c r="T8" i="34" s="1"/>
  <c r="K8" i="34"/>
  <c r="L8" i="34" s="1"/>
  <c r="I9" i="34"/>
  <c r="J9" i="34" s="1"/>
  <c r="S9" i="34" s="1"/>
  <c r="T9" i="34" s="1"/>
  <c r="K9" i="34"/>
  <c r="L9" i="34" s="1"/>
  <c r="I10" i="34"/>
  <c r="J10" i="34" s="1"/>
  <c r="S10" i="34" s="1"/>
  <c r="T10" i="34" s="1"/>
  <c r="K10" i="34"/>
  <c r="L10" i="34" s="1"/>
  <c r="I11" i="34"/>
  <c r="J11" i="34" s="1"/>
  <c r="S11" i="34" s="1"/>
  <c r="T11" i="34" s="1"/>
  <c r="K11" i="34"/>
  <c r="L11" i="34" s="1"/>
  <c r="I12" i="34"/>
  <c r="J12" i="34" s="1"/>
  <c r="S12" i="34" s="1"/>
  <c r="T12" i="34" s="1"/>
  <c r="K12" i="34"/>
  <c r="L12" i="34" s="1"/>
  <c r="I13" i="34"/>
  <c r="J13" i="34" s="1"/>
  <c r="S13" i="34" s="1"/>
  <c r="T13" i="34" s="1"/>
  <c r="K13" i="34"/>
  <c r="L13" i="34" s="1"/>
  <c r="I14" i="34"/>
  <c r="J14" i="34" s="1"/>
  <c r="S14" i="34" s="1"/>
  <c r="T14" i="34" s="1"/>
  <c r="K14" i="34"/>
  <c r="L14" i="34" s="1"/>
  <c r="I15" i="34"/>
  <c r="J15" i="34" s="1"/>
  <c r="S15" i="34" s="1"/>
  <c r="T15" i="34" s="1"/>
  <c r="K15" i="34"/>
  <c r="L15" i="34" s="1"/>
  <c r="I16" i="34"/>
  <c r="J16" i="34" s="1"/>
  <c r="S16" i="34" s="1"/>
  <c r="T16" i="34" s="1"/>
  <c r="K16" i="34"/>
  <c r="L16" i="34" s="1"/>
  <c r="I17" i="34"/>
  <c r="J17" i="34" s="1"/>
  <c r="S17" i="34" s="1"/>
  <c r="T17" i="34" s="1"/>
  <c r="K17" i="34"/>
  <c r="L17" i="34" s="1"/>
  <c r="I18" i="34"/>
  <c r="J18" i="34" s="1"/>
  <c r="S18" i="34" s="1"/>
  <c r="T18" i="34" s="1"/>
  <c r="K18" i="34"/>
  <c r="L18" i="34" s="1"/>
  <c r="I19" i="34"/>
  <c r="J19" i="34" s="1"/>
  <c r="S19" i="34" s="1"/>
  <c r="T19" i="34" s="1"/>
  <c r="K19" i="34"/>
  <c r="L19" i="34" s="1"/>
  <c r="I20" i="34"/>
  <c r="J20" i="34" s="1"/>
  <c r="S20" i="34" s="1"/>
  <c r="T20" i="34" s="1"/>
  <c r="K20" i="34"/>
  <c r="L20" i="34" s="1"/>
  <c r="I21" i="34"/>
  <c r="J21" i="34" s="1"/>
  <c r="S21" i="34" s="1"/>
  <c r="T21" i="34" s="1"/>
  <c r="K21" i="34"/>
  <c r="L21" i="34" s="1"/>
  <c r="I22" i="34"/>
  <c r="J22" i="34" s="1"/>
  <c r="S22" i="34" s="1"/>
  <c r="T22" i="34" s="1"/>
  <c r="K22" i="34"/>
  <c r="L22" i="34" s="1"/>
  <c r="I23" i="34"/>
  <c r="J23" i="34" s="1"/>
  <c r="S23" i="34" s="1"/>
  <c r="T23" i="34" s="1"/>
  <c r="K23" i="34"/>
  <c r="L23" i="34" s="1"/>
  <c r="I24" i="34"/>
  <c r="J24" i="34" s="1"/>
  <c r="S24" i="34" s="1"/>
  <c r="T24" i="34" s="1"/>
  <c r="K24" i="34"/>
  <c r="L24" i="34" s="1"/>
  <c r="I25" i="34"/>
  <c r="J25" i="34" s="1"/>
  <c r="S25" i="34" s="1"/>
  <c r="T25" i="34" s="1"/>
  <c r="K25" i="34"/>
  <c r="L25" i="34" s="1"/>
  <c r="I26" i="34"/>
  <c r="J26" i="34" s="1"/>
  <c r="S26" i="34" s="1"/>
  <c r="T26" i="34" s="1"/>
  <c r="K26" i="34"/>
  <c r="L26" i="34" s="1"/>
  <c r="I27" i="34"/>
  <c r="J27" i="34" s="1"/>
  <c r="S27" i="34" s="1"/>
  <c r="T27" i="34" s="1"/>
  <c r="K27" i="34"/>
  <c r="L27" i="34" s="1"/>
  <c r="I28" i="34"/>
  <c r="J28" i="34" s="1"/>
  <c r="S28" i="34" s="1"/>
  <c r="T28" i="34" s="1"/>
  <c r="K28" i="34"/>
  <c r="L28" i="34" s="1"/>
  <c r="I29" i="34"/>
  <c r="J29" i="34" s="1"/>
  <c r="S29" i="34" s="1"/>
  <c r="T29" i="34" s="1"/>
  <c r="K29" i="34"/>
  <c r="L29" i="34" s="1"/>
  <c r="I30" i="34"/>
  <c r="J30" i="34" s="1"/>
  <c r="S30" i="34" s="1"/>
  <c r="T30" i="34" s="1"/>
  <c r="K30" i="34"/>
  <c r="L30" i="34" s="1"/>
  <c r="I31" i="34"/>
  <c r="J31" i="34" s="1"/>
  <c r="S31" i="34" s="1"/>
  <c r="T31" i="34" s="1"/>
  <c r="K31" i="34"/>
  <c r="L31" i="34" s="1"/>
  <c r="I32" i="34"/>
  <c r="J32" i="34" s="1"/>
  <c r="S32" i="34" s="1"/>
  <c r="T32" i="34" s="1"/>
  <c r="K32" i="34"/>
  <c r="L32" i="34" s="1"/>
  <c r="I33" i="34"/>
  <c r="J33" i="34" s="1"/>
  <c r="S33" i="34" s="1"/>
  <c r="T33" i="34" s="1"/>
  <c r="K33" i="34"/>
  <c r="L33" i="34" s="1"/>
  <c r="I34" i="34"/>
  <c r="J34" i="34" s="1"/>
  <c r="S34" i="34" s="1"/>
  <c r="T34" i="34" s="1"/>
  <c r="K34" i="34"/>
  <c r="L34" i="34" s="1"/>
  <c r="I35" i="34"/>
  <c r="J35" i="34" s="1"/>
  <c r="S35" i="34" s="1"/>
  <c r="T35" i="34" s="1"/>
  <c r="K35" i="34"/>
  <c r="L35" i="34" s="1"/>
  <c r="I36" i="34"/>
  <c r="J36" i="34" s="1"/>
  <c r="S36" i="34" s="1"/>
  <c r="T36" i="34" s="1"/>
  <c r="K36" i="34"/>
  <c r="L36" i="34" s="1"/>
  <c r="I37" i="34"/>
  <c r="J37" i="34" s="1"/>
  <c r="S37" i="34" s="1"/>
  <c r="T37" i="34" s="1"/>
  <c r="K37" i="34"/>
  <c r="L37" i="34" s="1"/>
  <c r="I38" i="34"/>
  <c r="J38" i="34" s="1"/>
  <c r="S38" i="34" s="1"/>
  <c r="T38" i="34" s="1"/>
  <c r="K38" i="34"/>
  <c r="L38" i="34" s="1"/>
  <c r="I39" i="34"/>
  <c r="J39" i="34" s="1"/>
  <c r="S39" i="34" s="1"/>
  <c r="T39" i="34" s="1"/>
  <c r="K39" i="34"/>
  <c r="L39" i="34" s="1"/>
  <c r="I40" i="34"/>
  <c r="J40" i="34" s="1"/>
  <c r="S40" i="34" s="1"/>
  <c r="T40" i="34" s="1"/>
  <c r="K40" i="34"/>
  <c r="L40" i="34" s="1"/>
  <c r="I41" i="34"/>
  <c r="J41" i="34" s="1"/>
  <c r="S41" i="34" s="1"/>
  <c r="T41" i="34" s="1"/>
  <c r="K41" i="34"/>
  <c r="L41" i="34" s="1"/>
  <c r="I42" i="34"/>
  <c r="J42" i="34" s="1"/>
  <c r="S42" i="34" s="1"/>
  <c r="T42" i="34" s="1"/>
  <c r="K42" i="34"/>
  <c r="L42" i="34" s="1"/>
  <c r="I43" i="34"/>
  <c r="J43" i="34" s="1"/>
  <c r="S43" i="34" s="1"/>
  <c r="T43" i="34" s="1"/>
  <c r="K43" i="34"/>
  <c r="L43" i="34" s="1"/>
  <c r="I44" i="34"/>
  <c r="J44" i="34" s="1"/>
  <c r="S44" i="34" s="1"/>
  <c r="T44" i="34" s="1"/>
  <c r="K44" i="34"/>
  <c r="L44" i="34" s="1"/>
  <c r="I45" i="34"/>
  <c r="J45" i="34" s="1"/>
  <c r="S45" i="34" s="1"/>
  <c r="T45" i="34" s="1"/>
  <c r="K45" i="34"/>
  <c r="L45" i="34" s="1"/>
  <c r="I46" i="34"/>
  <c r="J46" i="34" s="1"/>
  <c r="S46" i="34" s="1"/>
  <c r="T46" i="34" s="1"/>
  <c r="K46" i="34"/>
  <c r="L46" i="34" s="1"/>
  <c r="I47" i="34"/>
  <c r="J47" i="34" s="1"/>
  <c r="S47" i="34" s="1"/>
  <c r="T47" i="34" s="1"/>
  <c r="K47" i="34"/>
  <c r="L47" i="34" s="1"/>
  <c r="I48" i="34"/>
  <c r="J48" i="34" s="1"/>
  <c r="S48" i="34" s="1"/>
  <c r="T48" i="34" s="1"/>
  <c r="K48" i="34"/>
  <c r="L48" i="34" s="1"/>
  <c r="I49" i="34"/>
  <c r="J49" i="34" s="1"/>
  <c r="S49" i="34" s="1"/>
  <c r="T49" i="34" s="1"/>
  <c r="K49" i="34"/>
  <c r="L49" i="34" s="1"/>
  <c r="I50" i="34"/>
  <c r="J50" i="34" s="1"/>
  <c r="S50" i="34" s="1"/>
  <c r="T50" i="34" s="1"/>
  <c r="K50" i="34"/>
  <c r="L50" i="34" s="1"/>
  <c r="I51" i="34"/>
  <c r="J51" i="34" s="1"/>
  <c r="S51" i="34" s="1"/>
  <c r="T51" i="34" s="1"/>
  <c r="K51" i="34"/>
  <c r="L51" i="34" s="1"/>
  <c r="I52" i="34"/>
  <c r="J52" i="34" s="1"/>
  <c r="S52" i="34" s="1"/>
  <c r="T52" i="34" s="1"/>
  <c r="K52" i="34"/>
  <c r="L52" i="34" s="1"/>
  <c r="I53" i="34"/>
  <c r="J53" i="34" s="1"/>
  <c r="S53" i="34" s="1"/>
  <c r="T53" i="34" s="1"/>
  <c r="K53" i="34"/>
  <c r="L53" i="34" s="1"/>
  <c r="I54" i="34"/>
  <c r="J54" i="34" s="1"/>
  <c r="S54" i="34" s="1"/>
  <c r="T54" i="34" s="1"/>
  <c r="K54" i="34"/>
  <c r="L54" i="34" s="1"/>
  <c r="I55" i="34"/>
  <c r="J55" i="34" s="1"/>
  <c r="S55" i="34" s="1"/>
  <c r="T55" i="34" s="1"/>
  <c r="K55" i="34"/>
  <c r="L55" i="34" s="1"/>
  <c r="I56" i="34"/>
  <c r="J56" i="34" s="1"/>
  <c r="S56" i="34" s="1"/>
  <c r="T56" i="34" s="1"/>
  <c r="K56" i="34"/>
  <c r="L56" i="34" s="1"/>
  <c r="I57" i="34"/>
  <c r="J57" i="34" s="1"/>
  <c r="S57" i="34" s="1"/>
  <c r="T57" i="34" s="1"/>
  <c r="K57" i="34"/>
  <c r="L57" i="34" s="1"/>
  <c r="I58" i="34"/>
  <c r="J58" i="34" s="1"/>
  <c r="S58" i="34" s="1"/>
  <c r="T58" i="34" s="1"/>
  <c r="K58" i="34"/>
  <c r="L58" i="34" s="1"/>
  <c r="I59" i="34"/>
  <c r="J59" i="34" s="1"/>
  <c r="S59" i="34" s="1"/>
  <c r="T59" i="34" s="1"/>
  <c r="K59" i="34"/>
  <c r="L59" i="34" s="1"/>
  <c r="I60" i="34"/>
  <c r="J60" i="34" s="1"/>
  <c r="S60" i="34" s="1"/>
  <c r="T60" i="34" s="1"/>
  <c r="K60" i="34"/>
  <c r="L60" i="34" s="1"/>
  <c r="I61" i="34"/>
  <c r="J61" i="34" s="1"/>
  <c r="S61" i="34" s="1"/>
  <c r="T61" i="34" s="1"/>
  <c r="K61" i="34"/>
  <c r="L61" i="34" s="1"/>
  <c r="I62" i="34"/>
  <c r="J62" i="34" s="1"/>
  <c r="S62" i="34" s="1"/>
  <c r="T62" i="34" s="1"/>
  <c r="K62" i="34"/>
  <c r="L62" i="34" s="1"/>
  <c r="I63" i="34"/>
  <c r="J63" i="34" s="1"/>
  <c r="S63" i="34" s="1"/>
  <c r="T63" i="34" s="1"/>
  <c r="K63" i="34"/>
  <c r="L63" i="34" s="1"/>
  <c r="I64" i="34"/>
  <c r="J64" i="34" s="1"/>
  <c r="S64" i="34" s="1"/>
  <c r="T64" i="34" s="1"/>
  <c r="K64" i="34"/>
  <c r="L64" i="34" s="1"/>
  <c r="I65" i="34"/>
  <c r="J65" i="34" s="1"/>
  <c r="S65" i="34" s="1"/>
  <c r="T65" i="34" s="1"/>
  <c r="K65" i="34"/>
  <c r="L65" i="34" s="1"/>
  <c r="I66" i="34"/>
  <c r="J66" i="34" s="1"/>
  <c r="S66" i="34" s="1"/>
  <c r="T66" i="34" s="1"/>
  <c r="K66" i="34"/>
  <c r="L66" i="34" s="1"/>
  <c r="I67" i="34"/>
  <c r="J67" i="34" s="1"/>
  <c r="S67" i="34" s="1"/>
  <c r="T67" i="34" s="1"/>
  <c r="K67" i="34"/>
  <c r="L67" i="34" s="1"/>
  <c r="I68" i="34"/>
  <c r="J68" i="34" s="1"/>
  <c r="S68" i="34" s="1"/>
  <c r="T68" i="34" s="1"/>
  <c r="K68" i="34"/>
  <c r="L68" i="34" s="1"/>
  <c r="I69" i="34"/>
  <c r="J69" i="34" s="1"/>
  <c r="S69" i="34" s="1"/>
  <c r="T69" i="34" s="1"/>
  <c r="K69" i="34"/>
  <c r="L69" i="34" s="1"/>
  <c r="I70" i="34"/>
  <c r="J70" i="34" s="1"/>
  <c r="S70" i="34" s="1"/>
  <c r="T70" i="34" s="1"/>
  <c r="K70" i="34"/>
  <c r="L70" i="34" s="1"/>
  <c r="I71" i="34"/>
  <c r="J71" i="34" s="1"/>
  <c r="S71" i="34" s="1"/>
  <c r="T71" i="34" s="1"/>
  <c r="K71" i="34"/>
  <c r="L71" i="34" s="1"/>
  <c r="I72" i="34"/>
  <c r="J72" i="34" s="1"/>
  <c r="S72" i="34" s="1"/>
  <c r="T72" i="34" s="1"/>
  <c r="K72" i="34"/>
  <c r="L72" i="34" s="1"/>
  <c r="I73" i="34"/>
  <c r="J73" i="34" s="1"/>
  <c r="S73" i="34" s="1"/>
  <c r="T73" i="34" s="1"/>
  <c r="K73" i="34"/>
  <c r="L73" i="34" s="1"/>
  <c r="I74" i="34"/>
  <c r="J74" i="34" s="1"/>
  <c r="S74" i="34" s="1"/>
  <c r="T74" i="34" s="1"/>
  <c r="K74" i="34"/>
  <c r="L74" i="34" s="1"/>
  <c r="I75" i="34"/>
  <c r="J75" i="34" s="1"/>
  <c r="S75" i="34" s="1"/>
  <c r="T75" i="34" s="1"/>
  <c r="K75" i="34"/>
  <c r="L75" i="34" s="1"/>
  <c r="I76" i="34"/>
  <c r="J76" i="34" s="1"/>
  <c r="S76" i="34" s="1"/>
  <c r="T76" i="34" s="1"/>
  <c r="K76" i="34"/>
  <c r="L76" i="34" s="1"/>
  <c r="I77" i="34"/>
  <c r="J77" i="34" s="1"/>
  <c r="S77" i="34" s="1"/>
  <c r="T77" i="34" s="1"/>
  <c r="K77" i="34"/>
  <c r="L77" i="34" s="1"/>
  <c r="I78" i="34"/>
  <c r="J78" i="34" s="1"/>
  <c r="S78" i="34" s="1"/>
  <c r="T78" i="34" s="1"/>
  <c r="K78" i="34"/>
  <c r="L78" i="34" s="1"/>
  <c r="I79" i="34"/>
  <c r="J79" i="34" s="1"/>
  <c r="S79" i="34" s="1"/>
  <c r="T79" i="34" s="1"/>
  <c r="K79" i="34"/>
  <c r="L79" i="34" s="1"/>
  <c r="I80" i="34"/>
  <c r="J80" i="34" s="1"/>
  <c r="S80" i="34" s="1"/>
  <c r="T80" i="34" s="1"/>
  <c r="K80" i="34"/>
  <c r="L80" i="34" s="1"/>
  <c r="I81" i="34"/>
  <c r="J81" i="34" s="1"/>
  <c r="S81" i="34" s="1"/>
  <c r="T81" i="34" s="1"/>
  <c r="K81" i="34"/>
  <c r="L81" i="34" s="1"/>
  <c r="I82" i="34"/>
  <c r="J82" i="34" s="1"/>
  <c r="S82" i="34" s="1"/>
  <c r="T82" i="34" s="1"/>
  <c r="K82" i="34"/>
  <c r="L82" i="34" s="1"/>
  <c r="I83" i="34"/>
  <c r="J83" i="34" s="1"/>
  <c r="S83" i="34" s="1"/>
  <c r="T83" i="34" s="1"/>
  <c r="K83" i="34"/>
  <c r="L83" i="34" s="1"/>
  <c r="I84" i="34"/>
  <c r="J84" i="34" s="1"/>
  <c r="S84" i="34" s="1"/>
  <c r="T84" i="34" s="1"/>
  <c r="K84" i="34"/>
  <c r="L84" i="34" s="1"/>
  <c r="I85" i="34"/>
  <c r="J85" i="34" s="1"/>
  <c r="S85" i="34" s="1"/>
  <c r="T85" i="34" s="1"/>
  <c r="K85" i="34"/>
  <c r="L85" i="34" s="1"/>
  <c r="I86" i="34"/>
  <c r="J86" i="34" s="1"/>
  <c r="S86" i="34" s="1"/>
  <c r="T86" i="34" s="1"/>
  <c r="K86" i="34"/>
  <c r="L86" i="34" s="1"/>
  <c r="I87" i="34"/>
  <c r="J87" i="34" s="1"/>
  <c r="S87" i="34" s="1"/>
  <c r="T87" i="34" s="1"/>
  <c r="K87" i="34"/>
  <c r="L87" i="34" s="1"/>
  <c r="I88" i="34"/>
  <c r="J88" i="34" s="1"/>
  <c r="S88" i="34" s="1"/>
  <c r="T88" i="34" s="1"/>
  <c r="K88" i="34"/>
  <c r="L88" i="34" s="1"/>
  <c r="I89" i="34"/>
  <c r="J89" i="34" s="1"/>
  <c r="S89" i="34" s="1"/>
  <c r="T89" i="34" s="1"/>
  <c r="K89" i="34"/>
  <c r="L89" i="34" s="1"/>
  <c r="I90" i="34"/>
  <c r="J90" i="34" s="1"/>
  <c r="S90" i="34" s="1"/>
  <c r="T90" i="34" s="1"/>
  <c r="K90" i="34"/>
  <c r="L90" i="34" s="1"/>
  <c r="I91" i="34"/>
  <c r="J91" i="34" s="1"/>
  <c r="S91" i="34" s="1"/>
  <c r="T91" i="34" s="1"/>
  <c r="K91" i="34"/>
  <c r="L91" i="34" s="1"/>
  <c r="I92" i="34"/>
  <c r="J92" i="34" s="1"/>
  <c r="S92" i="34" s="1"/>
  <c r="T92" i="34" s="1"/>
  <c r="K92" i="34"/>
  <c r="L92" i="34" s="1"/>
  <c r="I93" i="34"/>
  <c r="J93" i="34" s="1"/>
  <c r="S93" i="34" s="1"/>
  <c r="T93" i="34" s="1"/>
  <c r="K93" i="34"/>
  <c r="L93" i="34" s="1"/>
  <c r="I94" i="34"/>
  <c r="J94" i="34" s="1"/>
  <c r="S94" i="34" s="1"/>
  <c r="T94" i="34" s="1"/>
  <c r="K94" i="34"/>
  <c r="L94" i="34" s="1"/>
  <c r="I95" i="34"/>
  <c r="J95" i="34" s="1"/>
  <c r="S95" i="34" s="1"/>
  <c r="T95" i="34" s="1"/>
  <c r="K95" i="34"/>
  <c r="L95" i="34" s="1"/>
  <c r="I96" i="34"/>
  <c r="J96" i="34" s="1"/>
  <c r="S96" i="34" s="1"/>
  <c r="T96" i="34" s="1"/>
  <c r="K96" i="34"/>
  <c r="L96" i="34" s="1"/>
  <c r="I97" i="34"/>
  <c r="J97" i="34" s="1"/>
  <c r="S97" i="34" s="1"/>
  <c r="T97" i="34" s="1"/>
  <c r="K97" i="34"/>
  <c r="L97" i="34" s="1"/>
  <c r="I98" i="34"/>
  <c r="J98" i="34" s="1"/>
  <c r="S98" i="34" s="1"/>
  <c r="T98" i="34" s="1"/>
  <c r="K98" i="34"/>
  <c r="L98" i="34" s="1"/>
  <c r="I99" i="34"/>
  <c r="J99" i="34" s="1"/>
  <c r="S99" i="34" s="1"/>
  <c r="T99" i="34" s="1"/>
  <c r="K99" i="34"/>
  <c r="L99" i="34" s="1"/>
  <c r="I100" i="34"/>
  <c r="J100" i="34" s="1"/>
  <c r="S100" i="34" s="1"/>
  <c r="T100" i="34" s="1"/>
  <c r="K100" i="34"/>
  <c r="L100" i="34" s="1"/>
  <c r="I101" i="34"/>
  <c r="J101" i="34" s="1"/>
  <c r="S101" i="34" s="1"/>
  <c r="T101" i="34" s="1"/>
  <c r="K101" i="34"/>
  <c r="L101" i="34" s="1"/>
  <c r="I102" i="34"/>
  <c r="J102" i="34" s="1"/>
  <c r="S102" i="34" s="1"/>
  <c r="T102" i="34" s="1"/>
  <c r="K102" i="34"/>
  <c r="L102" i="34" s="1"/>
  <c r="I103" i="34"/>
  <c r="J103" i="34" s="1"/>
  <c r="S103" i="34" s="1"/>
  <c r="T103" i="34" s="1"/>
  <c r="K103" i="34"/>
  <c r="L103" i="34" s="1"/>
  <c r="I104" i="34"/>
  <c r="J104" i="34" s="1"/>
  <c r="S104" i="34" s="1"/>
  <c r="T104" i="34" s="1"/>
  <c r="K104" i="34"/>
  <c r="L104" i="34" s="1"/>
  <c r="I105" i="34"/>
  <c r="J105" i="34" s="1"/>
  <c r="S105" i="34" s="1"/>
  <c r="T105" i="34" s="1"/>
  <c r="K105" i="34"/>
  <c r="L105" i="34" s="1"/>
  <c r="I106" i="34"/>
  <c r="J106" i="34" s="1"/>
  <c r="S106" i="34" s="1"/>
  <c r="T106" i="34" s="1"/>
  <c r="K106" i="34"/>
  <c r="L106" i="34" s="1"/>
  <c r="I107" i="34"/>
  <c r="J107" i="34" s="1"/>
  <c r="S107" i="34" s="1"/>
  <c r="T107" i="34" s="1"/>
  <c r="K107" i="34"/>
  <c r="L107" i="34" s="1"/>
  <c r="I108" i="34"/>
  <c r="J108" i="34" s="1"/>
  <c r="S108" i="34" s="1"/>
  <c r="T108" i="34" s="1"/>
  <c r="K108" i="34"/>
  <c r="L108" i="34" s="1"/>
  <c r="I109" i="34"/>
  <c r="J109" i="34" s="1"/>
  <c r="S109" i="34" s="1"/>
  <c r="T109" i="34" s="1"/>
  <c r="K109" i="34"/>
  <c r="L109" i="34" s="1"/>
  <c r="I110" i="34"/>
  <c r="J110" i="34" s="1"/>
  <c r="S110" i="34" s="1"/>
  <c r="T110" i="34" s="1"/>
  <c r="K110" i="34"/>
  <c r="L110" i="34" s="1"/>
  <c r="I111" i="34"/>
  <c r="J111" i="34" s="1"/>
  <c r="S111" i="34" s="1"/>
  <c r="T111" i="34" s="1"/>
  <c r="K111" i="34"/>
  <c r="L111" i="34" s="1"/>
  <c r="I112" i="34"/>
  <c r="J112" i="34" s="1"/>
  <c r="S112" i="34" s="1"/>
  <c r="T112" i="34" s="1"/>
  <c r="K112" i="34"/>
  <c r="L112" i="34" s="1"/>
  <c r="I113" i="34"/>
  <c r="J113" i="34" s="1"/>
  <c r="S113" i="34" s="1"/>
  <c r="T113" i="34" s="1"/>
  <c r="K113" i="34"/>
  <c r="L113" i="34" s="1"/>
  <c r="I114" i="34"/>
  <c r="J114" i="34" s="1"/>
  <c r="S114" i="34" s="1"/>
  <c r="T114" i="34" s="1"/>
  <c r="K114" i="34"/>
  <c r="L114" i="34" s="1"/>
  <c r="I115" i="34"/>
  <c r="J115" i="34" s="1"/>
  <c r="S115" i="34" s="1"/>
  <c r="T115" i="34" s="1"/>
  <c r="K115" i="34"/>
  <c r="L115" i="34" s="1"/>
  <c r="I116" i="34"/>
  <c r="J116" i="34" s="1"/>
  <c r="S116" i="34" s="1"/>
  <c r="T116" i="34" s="1"/>
  <c r="K116" i="34"/>
  <c r="L116" i="34" s="1"/>
  <c r="I117" i="34"/>
  <c r="J117" i="34" s="1"/>
  <c r="S117" i="34" s="1"/>
  <c r="T117" i="34" s="1"/>
  <c r="K117" i="34"/>
  <c r="L117" i="34" s="1"/>
  <c r="I118" i="34"/>
  <c r="J118" i="34" s="1"/>
  <c r="S118" i="34" s="1"/>
  <c r="T118" i="34" s="1"/>
  <c r="K118" i="34"/>
  <c r="L118" i="34" s="1"/>
  <c r="I119" i="34"/>
  <c r="J119" i="34" s="1"/>
  <c r="S119" i="34" s="1"/>
  <c r="T119" i="34" s="1"/>
  <c r="K119" i="34"/>
  <c r="L119" i="34" s="1"/>
  <c r="I120" i="34"/>
  <c r="J120" i="34" s="1"/>
  <c r="S120" i="34" s="1"/>
  <c r="T120" i="34" s="1"/>
  <c r="K120" i="34"/>
  <c r="L120" i="34" s="1"/>
  <c r="I121" i="34"/>
  <c r="J121" i="34" s="1"/>
  <c r="S121" i="34" s="1"/>
  <c r="T121" i="34" s="1"/>
  <c r="K121" i="34"/>
  <c r="L121" i="34" s="1"/>
  <c r="I122" i="34"/>
  <c r="J122" i="34" s="1"/>
  <c r="S122" i="34" s="1"/>
  <c r="T122" i="34" s="1"/>
  <c r="K122" i="34"/>
  <c r="L122" i="34" s="1"/>
  <c r="I123" i="34"/>
  <c r="J123" i="34" s="1"/>
  <c r="S123" i="34" s="1"/>
  <c r="T123" i="34" s="1"/>
  <c r="K123" i="34"/>
  <c r="L123" i="34" s="1"/>
  <c r="I124" i="34"/>
  <c r="J124" i="34" s="1"/>
  <c r="S124" i="34" s="1"/>
  <c r="T124" i="34" s="1"/>
  <c r="K124" i="34"/>
  <c r="L124" i="34" s="1"/>
  <c r="I125" i="34"/>
  <c r="J125" i="34" s="1"/>
  <c r="S125" i="34" s="1"/>
  <c r="T125" i="34" s="1"/>
  <c r="K125" i="34"/>
  <c r="L125" i="34" s="1"/>
  <c r="I126" i="34"/>
  <c r="J126" i="34" s="1"/>
  <c r="S126" i="34" s="1"/>
  <c r="T126" i="34" s="1"/>
  <c r="K126" i="34"/>
  <c r="L126" i="34" s="1"/>
  <c r="I127" i="34"/>
  <c r="J127" i="34" s="1"/>
  <c r="S127" i="34" s="1"/>
  <c r="T127" i="34" s="1"/>
  <c r="K127" i="34"/>
  <c r="L127" i="34" s="1"/>
  <c r="I128" i="34"/>
  <c r="J128" i="34" s="1"/>
  <c r="S128" i="34" s="1"/>
  <c r="T128" i="34" s="1"/>
  <c r="K128" i="34"/>
  <c r="L128" i="34" s="1"/>
  <c r="I129" i="34"/>
  <c r="J129" i="34" s="1"/>
  <c r="S129" i="34" s="1"/>
  <c r="T129" i="34" s="1"/>
  <c r="K129" i="34"/>
  <c r="L129" i="34" s="1"/>
  <c r="I130" i="34"/>
  <c r="J130" i="34" s="1"/>
  <c r="S130" i="34" s="1"/>
  <c r="T130" i="34" s="1"/>
  <c r="K130" i="34"/>
  <c r="L130" i="34" s="1"/>
  <c r="I131" i="34"/>
  <c r="J131" i="34" s="1"/>
  <c r="S131" i="34" s="1"/>
  <c r="T131" i="34" s="1"/>
  <c r="K131" i="34"/>
  <c r="L131" i="34" s="1"/>
  <c r="I132" i="34"/>
  <c r="J132" i="34" s="1"/>
  <c r="S132" i="34" s="1"/>
  <c r="T132" i="34" s="1"/>
  <c r="K132" i="34"/>
  <c r="L132" i="34" s="1"/>
  <c r="I133" i="34"/>
  <c r="J133" i="34" s="1"/>
  <c r="S133" i="34" s="1"/>
  <c r="T133" i="34" s="1"/>
  <c r="K133" i="34"/>
  <c r="L133" i="34" s="1"/>
  <c r="I134" i="34"/>
  <c r="J134" i="34" s="1"/>
  <c r="S134" i="34" s="1"/>
  <c r="T134" i="34" s="1"/>
  <c r="K134" i="34"/>
  <c r="L134" i="34" s="1"/>
  <c r="I135" i="34"/>
  <c r="J135" i="34" s="1"/>
  <c r="S135" i="34" s="1"/>
  <c r="T135" i="34" s="1"/>
  <c r="K135" i="34"/>
  <c r="L135" i="34" s="1"/>
  <c r="K2" i="34"/>
  <c r="L2" i="34" s="1"/>
  <c r="I2" i="34"/>
  <c r="J2" i="34" s="1"/>
  <c r="S2" i="34" s="1"/>
  <c r="T2" i="34" s="1"/>
  <c r="T17" i="35" l="1"/>
  <c r="T128" i="35"/>
  <c r="T97" i="35"/>
  <c r="T121" i="35"/>
  <c r="T33" i="35"/>
  <c r="T65" i="35"/>
  <c r="T105" i="35"/>
  <c r="T129" i="35"/>
  <c r="T132" i="35"/>
  <c r="T9" i="35"/>
  <c r="T41" i="35"/>
  <c r="T81" i="35"/>
  <c r="T89" i="35"/>
  <c r="T49" i="35"/>
  <c r="I5" i="33"/>
  <c r="J5" i="33" s="1"/>
  <c r="S5" i="33" s="1"/>
  <c r="T5" i="33" s="1"/>
  <c r="K5" i="33"/>
  <c r="L5" i="33" s="1"/>
  <c r="I6" i="33"/>
  <c r="J6" i="33" s="1"/>
  <c r="S6" i="33" s="1"/>
  <c r="T6" i="33" s="1"/>
  <c r="K6" i="33"/>
  <c r="L6" i="33" s="1"/>
  <c r="I7" i="33"/>
  <c r="J7" i="33" s="1"/>
  <c r="S7" i="33" s="1"/>
  <c r="T7" i="33" s="1"/>
  <c r="K7" i="33"/>
  <c r="L7" i="33" s="1"/>
  <c r="I8" i="33"/>
  <c r="J8" i="33" s="1"/>
  <c r="S8" i="33" s="1"/>
  <c r="T8" i="33" s="1"/>
  <c r="K8" i="33"/>
  <c r="L8" i="33" s="1"/>
  <c r="I9" i="33"/>
  <c r="J9" i="33" s="1"/>
  <c r="S9" i="33" s="1"/>
  <c r="T9" i="33" s="1"/>
  <c r="K9" i="33"/>
  <c r="L9" i="33" s="1"/>
  <c r="I10" i="33"/>
  <c r="J10" i="33" s="1"/>
  <c r="S10" i="33" s="1"/>
  <c r="T10" i="33" s="1"/>
  <c r="K10" i="33"/>
  <c r="L10" i="33" s="1"/>
  <c r="I3" i="33"/>
  <c r="J3" i="33" s="1"/>
  <c r="S3" i="33" s="1"/>
  <c r="T3" i="33" s="1"/>
  <c r="K3" i="33"/>
  <c r="L3" i="33" s="1"/>
  <c r="I11" i="33"/>
  <c r="J11" i="33" s="1"/>
  <c r="S11" i="33" s="1"/>
  <c r="T11" i="33" s="1"/>
  <c r="K11" i="33"/>
  <c r="L11" i="33" s="1"/>
  <c r="I12" i="33"/>
  <c r="J12" i="33" s="1"/>
  <c r="S12" i="33" s="1"/>
  <c r="T12" i="33" s="1"/>
  <c r="K12" i="33"/>
  <c r="L12" i="33" s="1"/>
  <c r="I13" i="33"/>
  <c r="J13" i="33" s="1"/>
  <c r="S13" i="33" s="1"/>
  <c r="T13" i="33" s="1"/>
  <c r="K13" i="33"/>
  <c r="L13" i="33" s="1"/>
  <c r="I14" i="33"/>
  <c r="J14" i="33" s="1"/>
  <c r="S14" i="33" s="1"/>
  <c r="T14" i="33" s="1"/>
  <c r="K14" i="33"/>
  <c r="L14" i="33" s="1"/>
  <c r="I15" i="33"/>
  <c r="J15" i="33" s="1"/>
  <c r="S15" i="33" s="1"/>
  <c r="T15" i="33" s="1"/>
  <c r="K15" i="33"/>
  <c r="L15" i="33" s="1"/>
  <c r="I2" i="33"/>
  <c r="J2" i="33" s="1"/>
  <c r="S2" i="33" s="1"/>
  <c r="T2" i="33" s="1"/>
  <c r="K2" i="33"/>
  <c r="L2" i="33" s="1"/>
  <c r="I16" i="33"/>
  <c r="J16" i="33" s="1"/>
  <c r="S16" i="33" s="1"/>
  <c r="T16" i="33" s="1"/>
  <c r="K16" i="33"/>
  <c r="L16" i="33" s="1"/>
  <c r="I17" i="33"/>
  <c r="J17" i="33" s="1"/>
  <c r="S17" i="33" s="1"/>
  <c r="T17" i="33" s="1"/>
  <c r="K17" i="33"/>
  <c r="L17" i="33" s="1"/>
  <c r="I18" i="33"/>
  <c r="J18" i="33" s="1"/>
  <c r="S18" i="33" s="1"/>
  <c r="T18" i="33" s="1"/>
  <c r="K18" i="33"/>
  <c r="L18" i="33" s="1"/>
  <c r="I19" i="33"/>
  <c r="J19" i="33" s="1"/>
  <c r="S19" i="33" s="1"/>
  <c r="T19" i="33" s="1"/>
  <c r="K19" i="33"/>
  <c r="L19" i="33" s="1"/>
  <c r="I20" i="33"/>
  <c r="J20" i="33" s="1"/>
  <c r="S20" i="33" s="1"/>
  <c r="T20" i="33" s="1"/>
  <c r="K20" i="33"/>
  <c r="L20" i="33" s="1"/>
  <c r="I21" i="33"/>
  <c r="J21" i="33" s="1"/>
  <c r="S21" i="33" s="1"/>
  <c r="T21" i="33" s="1"/>
  <c r="K21" i="33"/>
  <c r="L21" i="33" s="1"/>
  <c r="I22" i="33"/>
  <c r="J22" i="33" s="1"/>
  <c r="S22" i="33" s="1"/>
  <c r="T22" i="33" s="1"/>
  <c r="K22" i="33"/>
  <c r="L22" i="33" s="1"/>
  <c r="I23" i="33"/>
  <c r="J23" i="33" s="1"/>
  <c r="S23" i="33" s="1"/>
  <c r="T23" i="33" s="1"/>
  <c r="K23" i="33"/>
  <c r="L23" i="33" s="1"/>
  <c r="I24" i="33"/>
  <c r="J24" i="33" s="1"/>
  <c r="S24" i="33" s="1"/>
  <c r="T24" i="33" s="1"/>
  <c r="K24" i="33"/>
  <c r="L24" i="33" s="1"/>
  <c r="I26" i="33"/>
  <c r="J26" i="33" s="1"/>
  <c r="S26" i="33" s="1"/>
  <c r="T26" i="33" s="1"/>
  <c r="K26" i="33"/>
  <c r="L26" i="33" s="1"/>
  <c r="I27" i="33"/>
  <c r="J27" i="33" s="1"/>
  <c r="S27" i="33" s="1"/>
  <c r="T27" i="33" s="1"/>
  <c r="K27" i="33"/>
  <c r="L27" i="33" s="1"/>
  <c r="I28" i="33"/>
  <c r="J28" i="33" s="1"/>
  <c r="S28" i="33" s="1"/>
  <c r="T28" i="33" s="1"/>
  <c r="K28" i="33"/>
  <c r="L28" i="33" s="1"/>
  <c r="I25" i="33"/>
  <c r="J25" i="33" s="1"/>
  <c r="S25" i="33" s="1"/>
  <c r="T25" i="33" s="1"/>
  <c r="K25" i="33"/>
  <c r="L25" i="33" s="1"/>
  <c r="I29" i="33"/>
  <c r="J29" i="33" s="1"/>
  <c r="S29" i="33" s="1"/>
  <c r="T29" i="33" s="1"/>
  <c r="K29" i="33"/>
  <c r="L29" i="33" s="1"/>
  <c r="I30" i="33"/>
  <c r="J30" i="33" s="1"/>
  <c r="S30" i="33" s="1"/>
  <c r="T30" i="33" s="1"/>
  <c r="K30" i="33"/>
  <c r="L30" i="33" s="1"/>
  <c r="I31" i="33"/>
  <c r="J31" i="33" s="1"/>
  <c r="S31" i="33" s="1"/>
  <c r="T31" i="33" s="1"/>
  <c r="K31" i="33"/>
  <c r="L31" i="33" s="1"/>
  <c r="I32" i="33"/>
  <c r="J32" i="33" s="1"/>
  <c r="S32" i="33" s="1"/>
  <c r="T32" i="33" s="1"/>
  <c r="K32" i="33"/>
  <c r="L32" i="33" s="1"/>
  <c r="I33" i="33"/>
  <c r="J33" i="33" s="1"/>
  <c r="S33" i="33" s="1"/>
  <c r="T33" i="33" s="1"/>
  <c r="K33" i="33"/>
  <c r="L33" i="33" s="1"/>
  <c r="I34" i="33"/>
  <c r="J34" i="33" s="1"/>
  <c r="S34" i="33" s="1"/>
  <c r="T34" i="33" s="1"/>
  <c r="K34" i="33"/>
  <c r="L34" i="33" s="1"/>
  <c r="I35" i="33"/>
  <c r="J35" i="33" s="1"/>
  <c r="S35" i="33" s="1"/>
  <c r="T35" i="33" s="1"/>
  <c r="K35" i="33"/>
  <c r="L35" i="33" s="1"/>
  <c r="I36" i="33"/>
  <c r="J36" i="33" s="1"/>
  <c r="S36" i="33" s="1"/>
  <c r="T36" i="33" s="1"/>
  <c r="K36" i="33"/>
  <c r="L36" i="33" s="1"/>
  <c r="I37" i="33"/>
  <c r="J37" i="33" s="1"/>
  <c r="S37" i="33" s="1"/>
  <c r="T37" i="33" s="1"/>
  <c r="K37" i="33"/>
  <c r="L37" i="33" s="1"/>
  <c r="I38" i="33"/>
  <c r="J38" i="33" s="1"/>
  <c r="S38" i="33" s="1"/>
  <c r="T38" i="33" s="1"/>
  <c r="K38" i="33"/>
  <c r="L38" i="33" s="1"/>
  <c r="I39" i="33"/>
  <c r="J39" i="33" s="1"/>
  <c r="S39" i="33" s="1"/>
  <c r="T39" i="33" s="1"/>
  <c r="K39" i="33"/>
  <c r="L39" i="33" s="1"/>
  <c r="I40" i="33"/>
  <c r="J40" i="33" s="1"/>
  <c r="S40" i="33" s="1"/>
  <c r="T40" i="33" s="1"/>
  <c r="K40" i="33"/>
  <c r="L40" i="33" s="1"/>
  <c r="I41" i="33"/>
  <c r="J41" i="33" s="1"/>
  <c r="S41" i="33" s="1"/>
  <c r="T41" i="33" s="1"/>
  <c r="K41" i="33"/>
  <c r="L41" i="33" s="1"/>
  <c r="I43" i="33"/>
  <c r="J43" i="33" s="1"/>
  <c r="S43" i="33" s="1"/>
  <c r="T43" i="33" s="1"/>
  <c r="K43" i="33"/>
  <c r="L43" i="33" s="1"/>
  <c r="I42" i="33"/>
  <c r="J42" i="33" s="1"/>
  <c r="S42" i="33" s="1"/>
  <c r="T42" i="33" s="1"/>
  <c r="K42" i="33"/>
  <c r="L42" i="33" s="1"/>
  <c r="I44" i="33"/>
  <c r="J44" i="33" s="1"/>
  <c r="S44" i="33" s="1"/>
  <c r="T44" i="33" s="1"/>
  <c r="K44" i="33"/>
  <c r="L44" i="33" s="1"/>
  <c r="I45" i="33"/>
  <c r="J45" i="33" s="1"/>
  <c r="S45" i="33" s="1"/>
  <c r="T45" i="33" s="1"/>
  <c r="K45" i="33"/>
  <c r="L45" i="33" s="1"/>
  <c r="I46" i="33"/>
  <c r="J46" i="33" s="1"/>
  <c r="S46" i="33" s="1"/>
  <c r="T46" i="33" s="1"/>
  <c r="K46" i="33"/>
  <c r="L46" i="33" s="1"/>
  <c r="I47" i="33"/>
  <c r="J47" i="33" s="1"/>
  <c r="S47" i="33" s="1"/>
  <c r="T47" i="33" s="1"/>
  <c r="K47" i="33"/>
  <c r="L47" i="33" s="1"/>
  <c r="I48" i="33"/>
  <c r="J48" i="33" s="1"/>
  <c r="S48" i="33" s="1"/>
  <c r="T48" i="33" s="1"/>
  <c r="K48" i="33"/>
  <c r="L48" i="33" s="1"/>
  <c r="I49" i="33"/>
  <c r="J49" i="33" s="1"/>
  <c r="S49" i="33" s="1"/>
  <c r="T49" i="33" s="1"/>
  <c r="K49" i="33"/>
  <c r="L49" i="33" s="1"/>
  <c r="I50" i="33"/>
  <c r="J50" i="33" s="1"/>
  <c r="S50" i="33" s="1"/>
  <c r="T50" i="33" s="1"/>
  <c r="K50" i="33"/>
  <c r="L50" i="33" s="1"/>
  <c r="I51" i="33"/>
  <c r="J51" i="33" s="1"/>
  <c r="S51" i="33" s="1"/>
  <c r="T51" i="33" s="1"/>
  <c r="K51" i="33"/>
  <c r="L51" i="33" s="1"/>
  <c r="I52" i="33"/>
  <c r="J52" i="33" s="1"/>
  <c r="S52" i="33" s="1"/>
  <c r="T52" i="33" s="1"/>
  <c r="K52" i="33"/>
  <c r="L52" i="33" s="1"/>
  <c r="I53" i="33"/>
  <c r="J53" i="33" s="1"/>
  <c r="S53" i="33" s="1"/>
  <c r="T53" i="33" s="1"/>
  <c r="K53" i="33"/>
  <c r="L53" i="33" s="1"/>
  <c r="I54" i="33"/>
  <c r="J54" i="33" s="1"/>
  <c r="S54" i="33" s="1"/>
  <c r="T54" i="33" s="1"/>
  <c r="K54" i="33"/>
  <c r="L54" i="33" s="1"/>
  <c r="I55" i="33"/>
  <c r="J55" i="33" s="1"/>
  <c r="S55" i="33" s="1"/>
  <c r="T55" i="33" s="1"/>
  <c r="K55" i="33"/>
  <c r="L55" i="33" s="1"/>
  <c r="I56" i="33"/>
  <c r="J56" i="33" s="1"/>
  <c r="S56" i="33" s="1"/>
  <c r="T56" i="33" s="1"/>
  <c r="K56" i="33"/>
  <c r="L56" i="33" s="1"/>
  <c r="I57" i="33"/>
  <c r="J57" i="33" s="1"/>
  <c r="S57" i="33" s="1"/>
  <c r="T57" i="33" s="1"/>
  <c r="K57" i="33"/>
  <c r="L57" i="33" s="1"/>
  <c r="I58" i="33"/>
  <c r="J58" i="33" s="1"/>
  <c r="S58" i="33" s="1"/>
  <c r="T58" i="33" s="1"/>
  <c r="K58" i="33"/>
  <c r="L58" i="33" s="1"/>
  <c r="I59" i="33"/>
  <c r="J59" i="33" s="1"/>
  <c r="S59" i="33" s="1"/>
  <c r="T59" i="33" s="1"/>
  <c r="K59" i="33"/>
  <c r="L59" i="33" s="1"/>
  <c r="I60" i="33"/>
  <c r="J60" i="33" s="1"/>
  <c r="S60" i="33" s="1"/>
  <c r="T60" i="33" s="1"/>
  <c r="K60" i="33"/>
  <c r="L60" i="33" s="1"/>
  <c r="I61" i="33"/>
  <c r="J61" i="33" s="1"/>
  <c r="S61" i="33" s="1"/>
  <c r="T61" i="33" s="1"/>
  <c r="K61" i="33"/>
  <c r="L61" i="33" s="1"/>
  <c r="I62" i="33"/>
  <c r="J62" i="33" s="1"/>
  <c r="S62" i="33" s="1"/>
  <c r="T62" i="33" s="1"/>
  <c r="K62" i="33"/>
  <c r="L62" i="33" s="1"/>
  <c r="I63" i="33"/>
  <c r="J63" i="33" s="1"/>
  <c r="S63" i="33" s="1"/>
  <c r="T63" i="33" s="1"/>
  <c r="K63" i="33"/>
  <c r="L63" i="33" s="1"/>
  <c r="I64" i="33"/>
  <c r="J64" i="33" s="1"/>
  <c r="S64" i="33" s="1"/>
  <c r="T64" i="33" s="1"/>
  <c r="K64" i="33"/>
  <c r="L64" i="33" s="1"/>
  <c r="I65" i="33"/>
  <c r="J65" i="33" s="1"/>
  <c r="S65" i="33" s="1"/>
  <c r="T65" i="33" s="1"/>
  <c r="K65" i="33"/>
  <c r="L65" i="33" s="1"/>
  <c r="I66" i="33"/>
  <c r="J66" i="33" s="1"/>
  <c r="S66" i="33" s="1"/>
  <c r="T66" i="33" s="1"/>
  <c r="K66" i="33"/>
  <c r="L66" i="33" s="1"/>
  <c r="I67" i="33"/>
  <c r="J67" i="33" s="1"/>
  <c r="S67" i="33" s="1"/>
  <c r="T67" i="33" s="1"/>
  <c r="K67" i="33"/>
  <c r="L67" i="33" s="1"/>
  <c r="I68" i="33"/>
  <c r="J68" i="33" s="1"/>
  <c r="S68" i="33" s="1"/>
  <c r="T68" i="33" s="1"/>
  <c r="K68" i="33"/>
  <c r="L68" i="33" s="1"/>
  <c r="I69" i="33"/>
  <c r="J69" i="33" s="1"/>
  <c r="S69" i="33" s="1"/>
  <c r="T69" i="33" s="1"/>
  <c r="K69" i="33"/>
  <c r="L69" i="33" s="1"/>
  <c r="I70" i="33"/>
  <c r="J70" i="33" s="1"/>
  <c r="S70" i="33" s="1"/>
  <c r="T70" i="33" s="1"/>
  <c r="K70" i="33"/>
  <c r="L70" i="33" s="1"/>
  <c r="I71" i="33"/>
  <c r="J71" i="33" s="1"/>
  <c r="S71" i="33" s="1"/>
  <c r="T71" i="33" s="1"/>
  <c r="K71" i="33"/>
  <c r="L71" i="33" s="1"/>
  <c r="I72" i="33"/>
  <c r="J72" i="33" s="1"/>
  <c r="S72" i="33" s="1"/>
  <c r="T72" i="33" s="1"/>
  <c r="K72" i="33"/>
  <c r="L72" i="33" s="1"/>
  <c r="I73" i="33"/>
  <c r="J73" i="33" s="1"/>
  <c r="S73" i="33" s="1"/>
  <c r="T73" i="33" s="1"/>
  <c r="K73" i="33"/>
  <c r="L73" i="33" s="1"/>
  <c r="I74" i="33"/>
  <c r="J74" i="33" s="1"/>
  <c r="S74" i="33" s="1"/>
  <c r="T74" i="33" s="1"/>
  <c r="K74" i="33"/>
  <c r="L74" i="33" s="1"/>
  <c r="I75" i="33"/>
  <c r="J75" i="33" s="1"/>
  <c r="S75" i="33" s="1"/>
  <c r="T75" i="33" s="1"/>
  <c r="K75" i="33"/>
  <c r="L75" i="33" s="1"/>
  <c r="I76" i="33"/>
  <c r="J76" i="33" s="1"/>
  <c r="S76" i="33" s="1"/>
  <c r="T76" i="33" s="1"/>
  <c r="K76" i="33"/>
  <c r="L76" i="33" s="1"/>
  <c r="I77" i="33"/>
  <c r="J77" i="33" s="1"/>
  <c r="S77" i="33" s="1"/>
  <c r="T77" i="33" s="1"/>
  <c r="K77" i="33"/>
  <c r="L77" i="33" s="1"/>
  <c r="I78" i="33"/>
  <c r="J78" i="33" s="1"/>
  <c r="S78" i="33" s="1"/>
  <c r="T78" i="33" s="1"/>
  <c r="K78" i="33"/>
  <c r="L78" i="33" s="1"/>
  <c r="I79" i="33"/>
  <c r="J79" i="33" s="1"/>
  <c r="S79" i="33" s="1"/>
  <c r="T79" i="33" s="1"/>
  <c r="K79" i="33"/>
  <c r="L79" i="33" s="1"/>
  <c r="I80" i="33"/>
  <c r="J80" i="33" s="1"/>
  <c r="S80" i="33" s="1"/>
  <c r="T80" i="33" s="1"/>
  <c r="K80" i="33"/>
  <c r="L80" i="33" s="1"/>
  <c r="I81" i="33"/>
  <c r="J81" i="33" s="1"/>
  <c r="S81" i="33" s="1"/>
  <c r="T81" i="33" s="1"/>
  <c r="K81" i="33"/>
  <c r="L81" i="33" s="1"/>
  <c r="I82" i="33"/>
  <c r="J82" i="33" s="1"/>
  <c r="S82" i="33" s="1"/>
  <c r="T82" i="33" s="1"/>
  <c r="K82" i="33"/>
  <c r="L82" i="33" s="1"/>
  <c r="I83" i="33"/>
  <c r="J83" i="33" s="1"/>
  <c r="S83" i="33" s="1"/>
  <c r="T83" i="33" s="1"/>
  <c r="K83" i="33"/>
  <c r="L83" i="33" s="1"/>
  <c r="I84" i="33"/>
  <c r="J84" i="33" s="1"/>
  <c r="S84" i="33" s="1"/>
  <c r="T84" i="33" s="1"/>
  <c r="K84" i="33"/>
  <c r="L84" i="33" s="1"/>
  <c r="I85" i="33"/>
  <c r="J85" i="33" s="1"/>
  <c r="S85" i="33" s="1"/>
  <c r="T85" i="33" s="1"/>
  <c r="K85" i="33"/>
  <c r="L85" i="33" s="1"/>
  <c r="I86" i="33"/>
  <c r="J86" i="33" s="1"/>
  <c r="S86" i="33" s="1"/>
  <c r="T86" i="33" s="1"/>
  <c r="K86" i="33"/>
  <c r="L86" i="33" s="1"/>
  <c r="I87" i="33"/>
  <c r="J87" i="33" s="1"/>
  <c r="S87" i="33" s="1"/>
  <c r="T87" i="33" s="1"/>
  <c r="K87" i="33"/>
  <c r="L87" i="33" s="1"/>
  <c r="I88" i="33"/>
  <c r="J88" i="33" s="1"/>
  <c r="S88" i="33" s="1"/>
  <c r="T88" i="33" s="1"/>
  <c r="K88" i="33"/>
  <c r="L88" i="33" s="1"/>
  <c r="I89" i="33"/>
  <c r="J89" i="33" s="1"/>
  <c r="S89" i="33" s="1"/>
  <c r="T89" i="33" s="1"/>
  <c r="K89" i="33"/>
  <c r="L89" i="33" s="1"/>
  <c r="I90" i="33"/>
  <c r="J90" i="33" s="1"/>
  <c r="S90" i="33" s="1"/>
  <c r="T90" i="33" s="1"/>
  <c r="K90" i="33"/>
  <c r="L90" i="33" s="1"/>
  <c r="I91" i="33"/>
  <c r="J91" i="33" s="1"/>
  <c r="S91" i="33" s="1"/>
  <c r="T91" i="33" s="1"/>
  <c r="K91" i="33"/>
  <c r="L91" i="33" s="1"/>
  <c r="I92" i="33"/>
  <c r="J92" i="33" s="1"/>
  <c r="S92" i="33" s="1"/>
  <c r="T92" i="33" s="1"/>
  <c r="K92" i="33"/>
  <c r="L92" i="33" s="1"/>
  <c r="I93" i="33"/>
  <c r="J93" i="33" s="1"/>
  <c r="S93" i="33" s="1"/>
  <c r="T93" i="33" s="1"/>
  <c r="K93" i="33"/>
  <c r="L93" i="33" s="1"/>
  <c r="I94" i="33"/>
  <c r="J94" i="33" s="1"/>
  <c r="S94" i="33" s="1"/>
  <c r="T94" i="33" s="1"/>
  <c r="K94" i="33"/>
  <c r="L94" i="33" s="1"/>
  <c r="I95" i="33"/>
  <c r="J95" i="33" s="1"/>
  <c r="S95" i="33" s="1"/>
  <c r="T95" i="33" s="1"/>
  <c r="K95" i="33"/>
  <c r="L95" i="33" s="1"/>
  <c r="I96" i="33"/>
  <c r="J96" i="33" s="1"/>
  <c r="S96" i="33" s="1"/>
  <c r="T96" i="33" s="1"/>
  <c r="K96" i="33"/>
  <c r="L96" i="33" s="1"/>
  <c r="I97" i="33"/>
  <c r="J97" i="33" s="1"/>
  <c r="S97" i="33" s="1"/>
  <c r="T97" i="33" s="1"/>
  <c r="K97" i="33"/>
  <c r="L97" i="33" s="1"/>
  <c r="I98" i="33"/>
  <c r="J98" i="33" s="1"/>
  <c r="S98" i="33" s="1"/>
  <c r="T98" i="33" s="1"/>
  <c r="K98" i="33"/>
  <c r="L98" i="33" s="1"/>
  <c r="I99" i="33"/>
  <c r="J99" i="33" s="1"/>
  <c r="S99" i="33" s="1"/>
  <c r="T99" i="33" s="1"/>
  <c r="K99" i="33"/>
  <c r="L99" i="33" s="1"/>
  <c r="I100" i="33"/>
  <c r="J100" i="33" s="1"/>
  <c r="S100" i="33" s="1"/>
  <c r="T100" i="33" s="1"/>
  <c r="K100" i="33"/>
  <c r="L100" i="33" s="1"/>
  <c r="I101" i="33"/>
  <c r="J101" i="33" s="1"/>
  <c r="S101" i="33" s="1"/>
  <c r="T101" i="33" s="1"/>
  <c r="K101" i="33"/>
  <c r="L101" i="33" s="1"/>
  <c r="I102" i="33"/>
  <c r="J102" i="33" s="1"/>
  <c r="S102" i="33" s="1"/>
  <c r="T102" i="33" s="1"/>
  <c r="K102" i="33"/>
  <c r="L102" i="33" s="1"/>
  <c r="I103" i="33"/>
  <c r="J103" i="33" s="1"/>
  <c r="S103" i="33" s="1"/>
  <c r="T103" i="33" s="1"/>
  <c r="K103" i="33"/>
  <c r="L103" i="33" s="1"/>
  <c r="I104" i="33"/>
  <c r="J104" i="33" s="1"/>
  <c r="S104" i="33" s="1"/>
  <c r="T104" i="33" s="1"/>
  <c r="K104" i="33"/>
  <c r="L104" i="33" s="1"/>
  <c r="I105" i="33"/>
  <c r="J105" i="33" s="1"/>
  <c r="S105" i="33" s="1"/>
  <c r="T105" i="33" s="1"/>
  <c r="K105" i="33"/>
  <c r="L105" i="33" s="1"/>
  <c r="I106" i="33"/>
  <c r="J106" i="33" s="1"/>
  <c r="S106" i="33" s="1"/>
  <c r="T106" i="33" s="1"/>
  <c r="K106" i="33"/>
  <c r="L106" i="33" s="1"/>
  <c r="I107" i="33"/>
  <c r="J107" i="33" s="1"/>
  <c r="S107" i="33" s="1"/>
  <c r="T107" i="33" s="1"/>
  <c r="K107" i="33"/>
  <c r="L107" i="33" s="1"/>
  <c r="I108" i="33"/>
  <c r="J108" i="33" s="1"/>
  <c r="S108" i="33" s="1"/>
  <c r="T108" i="33" s="1"/>
  <c r="K108" i="33"/>
  <c r="L108" i="33" s="1"/>
  <c r="I109" i="33"/>
  <c r="J109" i="33" s="1"/>
  <c r="S109" i="33" s="1"/>
  <c r="T109" i="33" s="1"/>
  <c r="K109" i="33"/>
  <c r="L109" i="33" s="1"/>
  <c r="I110" i="33"/>
  <c r="J110" i="33" s="1"/>
  <c r="S110" i="33" s="1"/>
  <c r="T110" i="33" s="1"/>
  <c r="K110" i="33"/>
  <c r="L110" i="33" s="1"/>
  <c r="I111" i="33"/>
  <c r="J111" i="33" s="1"/>
  <c r="S111" i="33" s="1"/>
  <c r="T111" i="33" s="1"/>
  <c r="K111" i="33"/>
  <c r="L111" i="33" s="1"/>
  <c r="I112" i="33"/>
  <c r="J112" i="33" s="1"/>
  <c r="S112" i="33" s="1"/>
  <c r="T112" i="33" s="1"/>
  <c r="K112" i="33"/>
  <c r="L112" i="33" s="1"/>
  <c r="I113" i="33"/>
  <c r="J113" i="33" s="1"/>
  <c r="S113" i="33" s="1"/>
  <c r="T113" i="33" s="1"/>
  <c r="K113" i="33"/>
  <c r="L113" i="33" s="1"/>
  <c r="I114" i="33"/>
  <c r="J114" i="33" s="1"/>
  <c r="S114" i="33" s="1"/>
  <c r="T114" i="33" s="1"/>
  <c r="K114" i="33"/>
  <c r="L114" i="33" s="1"/>
  <c r="I115" i="33"/>
  <c r="J115" i="33" s="1"/>
  <c r="S115" i="33" s="1"/>
  <c r="T115" i="33" s="1"/>
  <c r="K115" i="33"/>
  <c r="L115" i="33" s="1"/>
  <c r="I116" i="33"/>
  <c r="J116" i="33" s="1"/>
  <c r="S116" i="33" s="1"/>
  <c r="T116" i="33" s="1"/>
  <c r="K116" i="33"/>
  <c r="L116" i="33" s="1"/>
  <c r="I117" i="33"/>
  <c r="J117" i="33" s="1"/>
  <c r="S117" i="33" s="1"/>
  <c r="T117" i="33" s="1"/>
  <c r="K117" i="33"/>
  <c r="L117" i="33" s="1"/>
  <c r="I118" i="33"/>
  <c r="J118" i="33" s="1"/>
  <c r="S118" i="33" s="1"/>
  <c r="T118" i="33" s="1"/>
  <c r="K118" i="33"/>
  <c r="L118" i="33" s="1"/>
  <c r="I119" i="33"/>
  <c r="J119" i="33" s="1"/>
  <c r="S119" i="33" s="1"/>
  <c r="T119" i="33" s="1"/>
  <c r="K119" i="33"/>
  <c r="L119" i="33" s="1"/>
  <c r="I120" i="33"/>
  <c r="J120" i="33" s="1"/>
  <c r="S120" i="33" s="1"/>
  <c r="T120" i="33" s="1"/>
  <c r="K120" i="33"/>
  <c r="L120" i="33" s="1"/>
  <c r="K4" i="33"/>
  <c r="L4" i="33" s="1"/>
  <c r="I4" i="33"/>
  <c r="J4" i="33" s="1"/>
  <c r="S4" i="33" s="1"/>
  <c r="T4" i="33" s="1"/>
  <c r="K132" i="32" l="1"/>
  <c r="L132" i="32" s="1"/>
  <c r="I132" i="32"/>
  <c r="J132" i="32" s="1"/>
  <c r="S132" i="32" s="1"/>
  <c r="T132" i="32" s="1"/>
  <c r="K131" i="32"/>
  <c r="L131" i="32" s="1"/>
  <c r="I131" i="32"/>
  <c r="J131" i="32" s="1"/>
  <c r="S131" i="32" s="1"/>
  <c r="T131" i="32" s="1"/>
  <c r="K130" i="32"/>
  <c r="L130" i="32" s="1"/>
  <c r="I130" i="32"/>
  <c r="J130" i="32" s="1"/>
  <c r="S130" i="32" s="1"/>
  <c r="T130" i="32" s="1"/>
  <c r="K129" i="32"/>
  <c r="L129" i="32" s="1"/>
  <c r="I129" i="32"/>
  <c r="J129" i="32" s="1"/>
  <c r="S129" i="32" s="1"/>
  <c r="T129" i="32" s="1"/>
  <c r="K128" i="32"/>
  <c r="L128" i="32" s="1"/>
  <c r="I128" i="32"/>
  <c r="J128" i="32" s="1"/>
  <c r="S128" i="32" s="1"/>
  <c r="T128" i="32" s="1"/>
  <c r="K127" i="32"/>
  <c r="L127" i="32" s="1"/>
  <c r="I127" i="32"/>
  <c r="J127" i="32" s="1"/>
  <c r="S127" i="32" s="1"/>
  <c r="T127" i="32" s="1"/>
  <c r="K126" i="32"/>
  <c r="L126" i="32" s="1"/>
  <c r="I126" i="32"/>
  <c r="J126" i="32" s="1"/>
  <c r="S126" i="32" s="1"/>
  <c r="T126" i="32" s="1"/>
  <c r="K125" i="32"/>
  <c r="L125" i="32" s="1"/>
  <c r="I125" i="32"/>
  <c r="J125" i="32" s="1"/>
  <c r="S125" i="32" s="1"/>
  <c r="T125" i="32" s="1"/>
  <c r="K124" i="32"/>
  <c r="L124" i="32" s="1"/>
  <c r="I124" i="32"/>
  <c r="J124" i="32" s="1"/>
  <c r="S124" i="32" s="1"/>
  <c r="T124" i="32" s="1"/>
  <c r="K123" i="32"/>
  <c r="L123" i="32" s="1"/>
  <c r="I123" i="32"/>
  <c r="J123" i="32" s="1"/>
  <c r="S123" i="32" s="1"/>
  <c r="T123" i="32" s="1"/>
  <c r="K122" i="32"/>
  <c r="L122" i="32" s="1"/>
  <c r="I122" i="32"/>
  <c r="J122" i="32" s="1"/>
  <c r="S122" i="32" s="1"/>
  <c r="T122" i="32" s="1"/>
  <c r="K121" i="32"/>
  <c r="L121" i="32" s="1"/>
  <c r="I121" i="32"/>
  <c r="J121" i="32" s="1"/>
  <c r="S121" i="32" s="1"/>
  <c r="T121" i="32" s="1"/>
  <c r="K120" i="32"/>
  <c r="L120" i="32" s="1"/>
  <c r="I120" i="32"/>
  <c r="J120" i="32" s="1"/>
  <c r="S120" i="32" s="1"/>
  <c r="T120" i="32" s="1"/>
  <c r="K119" i="32"/>
  <c r="L119" i="32" s="1"/>
  <c r="I119" i="32"/>
  <c r="J119" i="32" s="1"/>
  <c r="S119" i="32" s="1"/>
  <c r="T119" i="32" s="1"/>
  <c r="K118" i="32"/>
  <c r="L118" i="32" s="1"/>
  <c r="I118" i="32"/>
  <c r="J118" i="32" s="1"/>
  <c r="S118" i="32" s="1"/>
  <c r="T118" i="32" s="1"/>
  <c r="K117" i="32"/>
  <c r="L117" i="32" s="1"/>
  <c r="I117" i="32"/>
  <c r="J117" i="32" s="1"/>
  <c r="S117" i="32" s="1"/>
  <c r="T117" i="32" s="1"/>
  <c r="K116" i="32"/>
  <c r="L116" i="32" s="1"/>
  <c r="I116" i="32"/>
  <c r="J116" i="32" s="1"/>
  <c r="S116" i="32" s="1"/>
  <c r="T116" i="32" s="1"/>
  <c r="K115" i="32"/>
  <c r="L115" i="32" s="1"/>
  <c r="I115" i="32"/>
  <c r="J115" i="32" s="1"/>
  <c r="S115" i="32" s="1"/>
  <c r="T115" i="32" s="1"/>
  <c r="K114" i="32"/>
  <c r="L114" i="32" s="1"/>
  <c r="I114" i="32"/>
  <c r="J114" i="32" s="1"/>
  <c r="S114" i="32" s="1"/>
  <c r="T114" i="32" s="1"/>
  <c r="K113" i="32"/>
  <c r="L113" i="32" s="1"/>
  <c r="I113" i="32"/>
  <c r="J113" i="32" s="1"/>
  <c r="S113" i="32" s="1"/>
  <c r="T113" i="32" s="1"/>
  <c r="K112" i="32"/>
  <c r="L112" i="32" s="1"/>
  <c r="I112" i="32"/>
  <c r="J112" i="32" s="1"/>
  <c r="S112" i="32" s="1"/>
  <c r="T112" i="32" s="1"/>
  <c r="K111" i="32"/>
  <c r="L111" i="32" s="1"/>
  <c r="I111" i="32"/>
  <c r="J111" i="32" s="1"/>
  <c r="S111" i="32" s="1"/>
  <c r="T111" i="32" s="1"/>
  <c r="K110" i="32"/>
  <c r="L110" i="32" s="1"/>
  <c r="I110" i="32"/>
  <c r="J110" i="32" s="1"/>
  <c r="S110" i="32" s="1"/>
  <c r="T110" i="32" s="1"/>
  <c r="K109" i="32"/>
  <c r="L109" i="32" s="1"/>
  <c r="I109" i="32"/>
  <c r="J109" i="32" s="1"/>
  <c r="S109" i="32" s="1"/>
  <c r="T109" i="32" s="1"/>
  <c r="K108" i="32"/>
  <c r="L108" i="32" s="1"/>
  <c r="I108" i="32"/>
  <c r="J108" i="32" s="1"/>
  <c r="S108" i="32" s="1"/>
  <c r="T108" i="32" s="1"/>
  <c r="K107" i="32"/>
  <c r="L107" i="32" s="1"/>
  <c r="I107" i="32"/>
  <c r="J107" i="32" s="1"/>
  <c r="S107" i="32" s="1"/>
  <c r="T107" i="32" s="1"/>
  <c r="K106" i="32"/>
  <c r="L106" i="32" s="1"/>
  <c r="I106" i="32"/>
  <c r="J106" i="32" s="1"/>
  <c r="S106" i="32" s="1"/>
  <c r="T106" i="32" s="1"/>
  <c r="K105" i="32"/>
  <c r="L105" i="32" s="1"/>
  <c r="I105" i="32"/>
  <c r="J105" i="32" s="1"/>
  <c r="S105" i="32" s="1"/>
  <c r="T105" i="32" s="1"/>
  <c r="K104" i="32"/>
  <c r="L104" i="32" s="1"/>
  <c r="I104" i="32"/>
  <c r="J104" i="32" s="1"/>
  <c r="S104" i="32" s="1"/>
  <c r="T104" i="32" s="1"/>
  <c r="K103" i="32"/>
  <c r="L103" i="32" s="1"/>
  <c r="I103" i="32"/>
  <c r="J103" i="32" s="1"/>
  <c r="S103" i="32" s="1"/>
  <c r="T103" i="32" s="1"/>
  <c r="K102" i="32"/>
  <c r="L102" i="32" s="1"/>
  <c r="I102" i="32"/>
  <c r="J102" i="32" s="1"/>
  <c r="S102" i="32" s="1"/>
  <c r="T102" i="32" s="1"/>
  <c r="K101" i="32"/>
  <c r="L101" i="32" s="1"/>
  <c r="I101" i="32"/>
  <c r="J101" i="32" s="1"/>
  <c r="S101" i="32" s="1"/>
  <c r="T101" i="32" s="1"/>
  <c r="K100" i="32"/>
  <c r="L100" i="32" s="1"/>
  <c r="I100" i="32"/>
  <c r="J100" i="32" s="1"/>
  <c r="S100" i="32" s="1"/>
  <c r="T100" i="32" s="1"/>
  <c r="K99" i="32"/>
  <c r="L99" i="32" s="1"/>
  <c r="I99" i="32"/>
  <c r="J99" i="32" s="1"/>
  <c r="S99" i="32" s="1"/>
  <c r="T99" i="32" s="1"/>
  <c r="K98" i="32"/>
  <c r="L98" i="32" s="1"/>
  <c r="I98" i="32"/>
  <c r="J98" i="32" s="1"/>
  <c r="S98" i="32" s="1"/>
  <c r="T98" i="32" s="1"/>
  <c r="K97" i="32"/>
  <c r="L97" i="32" s="1"/>
  <c r="I97" i="32"/>
  <c r="J97" i="32" s="1"/>
  <c r="S97" i="32" s="1"/>
  <c r="T97" i="32" s="1"/>
  <c r="K96" i="32"/>
  <c r="L96" i="32" s="1"/>
  <c r="I96" i="32"/>
  <c r="J96" i="32" s="1"/>
  <c r="S96" i="32" s="1"/>
  <c r="T96" i="32" s="1"/>
  <c r="K95" i="32"/>
  <c r="L95" i="32" s="1"/>
  <c r="I95" i="32"/>
  <c r="J95" i="32" s="1"/>
  <c r="S95" i="32" s="1"/>
  <c r="T95" i="32" s="1"/>
  <c r="K94" i="32"/>
  <c r="L94" i="32" s="1"/>
  <c r="I94" i="32"/>
  <c r="J94" i="32" s="1"/>
  <c r="S94" i="32" s="1"/>
  <c r="T94" i="32" s="1"/>
  <c r="K93" i="32"/>
  <c r="L93" i="32" s="1"/>
  <c r="I93" i="32"/>
  <c r="J93" i="32" s="1"/>
  <c r="S93" i="32" s="1"/>
  <c r="T93" i="32" s="1"/>
  <c r="K92" i="32"/>
  <c r="L92" i="32" s="1"/>
  <c r="I92" i="32"/>
  <c r="J92" i="32" s="1"/>
  <c r="S92" i="32" s="1"/>
  <c r="T92" i="32" s="1"/>
  <c r="K91" i="32"/>
  <c r="L91" i="32" s="1"/>
  <c r="I91" i="32"/>
  <c r="J91" i="32" s="1"/>
  <c r="S91" i="32" s="1"/>
  <c r="T91" i="32" s="1"/>
  <c r="K90" i="32"/>
  <c r="L90" i="32" s="1"/>
  <c r="I90" i="32"/>
  <c r="J90" i="32" s="1"/>
  <c r="S90" i="32" s="1"/>
  <c r="T90" i="32" s="1"/>
  <c r="K89" i="32"/>
  <c r="L89" i="32" s="1"/>
  <c r="I89" i="32"/>
  <c r="J89" i="32" s="1"/>
  <c r="S89" i="32" s="1"/>
  <c r="T89" i="32" s="1"/>
  <c r="K88" i="32"/>
  <c r="L88" i="32" s="1"/>
  <c r="I88" i="32"/>
  <c r="J88" i="32" s="1"/>
  <c r="S88" i="32" s="1"/>
  <c r="T88" i="32" s="1"/>
  <c r="K87" i="32"/>
  <c r="L87" i="32" s="1"/>
  <c r="I87" i="32"/>
  <c r="J87" i="32" s="1"/>
  <c r="S87" i="32" s="1"/>
  <c r="T87" i="32" s="1"/>
  <c r="K86" i="32"/>
  <c r="L86" i="32" s="1"/>
  <c r="I86" i="32"/>
  <c r="J86" i="32" s="1"/>
  <c r="S86" i="32" s="1"/>
  <c r="T86" i="32" s="1"/>
  <c r="K85" i="32"/>
  <c r="L85" i="32" s="1"/>
  <c r="I85" i="32"/>
  <c r="J85" i="32" s="1"/>
  <c r="S85" i="32" s="1"/>
  <c r="T85" i="32" s="1"/>
  <c r="K84" i="32"/>
  <c r="L84" i="32" s="1"/>
  <c r="I84" i="32"/>
  <c r="J84" i="32" s="1"/>
  <c r="S84" i="32" s="1"/>
  <c r="T84" i="32" s="1"/>
  <c r="K83" i="32"/>
  <c r="L83" i="32" s="1"/>
  <c r="I83" i="32"/>
  <c r="J83" i="32" s="1"/>
  <c r="S83" i="32" s="1"/>
  <c r="T83" i="32" s="1"/>
  <c r="K82" i="32"/>
  <c r="L82" i="32" s="1"/>
  <c r="I82" i="32"/>
  <c r="J82" i="32" s="1"/>
  <c r="S82" i="32" s="1"/>
  <c r="T82" i="32" s="1"/>
  <c r="K81" i="32"/>
  <c r="L81" i="32" s="1"/>
  <c r="I81" i="32"/>
  <c r="J81" i="32" s="1"/>
  <c r="S81" i="32" s="1"/>
  <c r="T81" i="32" s="1"/>
  <c r="K80" i="32"/>
  <c r="L80" i="32" s="1"/>
  <c r="I80" i="32"/>
  <c r="J80" i="32" s="1"/>
  <c r="S80" i="32" s="1"/>
  <c r="T80" i="32" s="1"/>
  <c r="K79" i="32"/>
  <c r="L79" i="32" s="1"/>
  <c r="I79" i="32"/>
  <c r="J79" i="32" s="1"/>
  <c r="S79" i="32" s="1"/>
  <c r="T79" i="32" s="1"/>
  <c r="K78" i="32"/>
  <c r="L78" i="32" s="1"/>
  <c r="I78" i="32"/>
  <c r="J78" i="32" s="1"/>
  <c r="S78" i="32" s="1"/>
  <c r="T78" i="32" s="1"/>
  <c r="K77" i="32"/>
  <c r="L77" i="32" s="1"/>
  <c r="I77" i="32"/>
  <c r="J77" i="32" s="1"/>
  <c r="S77" i="32" s="1"/>
  <c r="T77" i="32" s="1"/>
  <c r="K76" i="32"/>
  <c r="L76" i="32" s="1"/>
  <c r="I76" i="32"/>
  <c r="J76" i="32" s="1"/>
  <c r="S76" i="32" s="1"/>
  <c r="T76" i="32" s="1"/>
  <c r="K75" i="32"/>
  <c r="L75" i="32" s="1"/>
  <c r="I75" i="32"/>
  <c r="J75" i="32" s="1"/>
  <c r="S75" i="32" s="1"/>
  <c r="T75" i="32" s="1"/>
  <c r="K74" i="32"/>
  <c r="L74" i="32" s="1"/>
  <c r="I74" i="32"/>
  <c r="J74" i="32" s="1"/>
  <c r="S74" i="32" s="1"/>
  <c r="T74" i="32" s="1"/>
  <c r="K73" i="32"/>
  <c r="L73" i="32" s="1"/>
  <c r="I73" i="32"/>
  <c r="J73" i="32" s="1"/>
  <c r="S73" i="32" s="1"/>
  <c r="T73" i="32" s="1"/>
  <c r="K72" i="32"/>
  <c r="L72" i="32" s="1"/>
  <c r="I72" i="32"/>
  <c r="J72" i="32" s="1"/>
  <c r="S72" i="32" s="1"/>
  <c r="T72" i="32" s="1"/>
  <c r="K71" i="32"/>
  <c r="L71" i="32" s="1"/>
  <c r="I71" i="32"/>
  <c r="J71" i="32" s="1"/>
  <c r="S71" i="32" s="1"/>
  <c r="T71" i="32" s="1"/>
  <c r="K70" i="32"/>
  <c r="L70" i="32" s="1"/>
  <c r="I70" i="32"/>
  <c r="J70" i="32" s="1"/>
  <c r="S70" i="32" s="1"/>
  <c r="T70" i="32" s="1"/>
  <c r="K69" i="32"/>
  <c r="L69" i="32" s="1"/>
  <c r="I69" i="32"/>
  <c r="J69" i="32" s="1"/>
  <c r="S69" i="32" s="1"/>
  <c r="T69" i="32" s="1"/>
  <c r="K68" i="32"/>
  <c r="L68" i="32" s="1"/>
  <c r="I68" i="32"/>
  <c r="J68" i="32" s="1"/>
  <c r="S68" i="32" s="1"/>
  <c r="T68" i="32" s="1"/>
  <c r="K67" i="32"/>
  <c r="L67" i="32" s="1"/>
  <c r="I67" i="32"/>
  <c r="J67" i="32" s="1"/>
  <c r="S67" i="32" s="1"/>
  <c r="T67" i="32" s="1"/>
  <c r="K66" i="32"/>
  <c r="L66" i="32" s="1"/>
  <c r="I66" i="32"/>
  <c r="J66" i="32" s="1"/>
  <c r="S66" i="32" s="1"/>
  <c r="T66" i="32" s="1"/>
  <c r="K65" i="32"/>
  <c r="L65" i="32" s="1"/>
  <c r="I65" i="32"/>
  <c r="J65" i="32" s="1"/>
  <c r="S65" i="32" s="1"/>
  <c r="T65" i="32" s="1"/>
  <c r="K64" i="32"/>
  <c r="L64" i="32" s="1"/>
  <c r="I64" i="32"/>
  <c r="J64" i="32" s="1"/>
  <c r="S64" i="32" s="1"/>
  <c r="T64" i="32" s="1"/>
  <c r="K63" i="32"/>
  <c r="L63" i="32" s="1"/>
  <c r="I63" i="32"/>
  <c r="J63" i="32" s="1"/>
  <c r="S63" i="32" s="1"/>
  <c r="T63" i="32" s="1"/>
  <c r="K62" i="32"/>
  <c r="L62" i="32" s="1"/>
  <c r="I62" i="32"/>
  <c r="J62" i="32" s="1"/>
  <c r="S62" i="32" s="1"/>
  <c r="T62" i="32" s="1"/>
  <c r="K61" i="32"/>
  <c r="L61" i="32" s="1"/>
  <c r="I61" i="32"/>
  <c r="J61" i="32" s="1"/>
  <c r="S61" i="32" s="1"/>
  <c r="T61" i="32" s="1"/>
  <c r="K60" i="32"/>
  <c r="L60" i="32" s="1"/>
  <c r="I60" i="32"/>
  <c r="J60" i="32" s="1"/>
  <c r="S60" i="32" s="1"/>
  <c r="T60" i="32" s="1"/>
  <c r="K59" i="32"/>
  <c r="L59" i="32" s="1"/>
  <c r="I59" i="32"/>
  <c r="J59" i="32" s="1"/>
  <c r="S59" i="32" s="1"/>
  <c r="T59" i="32" s="1"/>
  <c r="K58" i="32"/>
  <c r="L58" i="32" s="1"/>
  <c r="I58" i="32"/>
  <c r="J58" i="32" s="1"/>
  <c r="S58" i="32" s="1"/>
  <c r="T58" i="32" s="1"/>
  <c r="K57" i="32"/>
  <c r="L57" i="32" s="1"/>
  <c r="I57" i="32"/>
  <c r="J57" i="32" s="1"/>
  <c r="S57" i="32" s="1"/>
  <c r="T57" i="32" s="1"/>
  <c r="K56" i="32"/>
  <c r="L56" i="32" s="1"/>
  <c r="I56" i="32"/>
  <c r="J56" i="32" s="1"/>
  <c r="S56" i="32" s="1"/>
  <c r="T56" i="32" s="1"/>
  <c r="K55" i="32"/>
  <c r="L55" i="32" s="1"/>
  <c r="I55" i="32"/>
  <c r="J55" i="32" s="1"/>
  <c r="S55" i="32" s="1"/>
  <c r="T55" i="32" s="1"/>
  <c r="K54" i="32"/>
  <c r="L54" i="32" s="1"/>
  <c r="I54" i="32"/>
  <c r="J54" i="32" s="1"/>
  <c r="S54" i="32" s="1"/>
  <c r="T54" i="32" s="1"/>
  <c r="K53" i="32"/>
  <c r="L53" i="32" s="1"/>
  <c r="I53" i="32"/>
  <c r="J53" i="32" s="1"/>
  <c r="S53" i="32" s="1"/>
  <c r="T53" i="32" s="1"/>
  <c r="K52" i="32"/>
  <c r="L52" i="32" s="1"/>
  <c r="I52" i="32"/>
  <c r="J52" i="32" s="1"/>
  <c r="S52" i="32" s="1"/>
  <c r="T52" i="32" s="1"/>
  <c r="K51" i="32"/>
  <c r="L51" i="32" s="1"/>
  <c r="I51" i="32"/>
  <c r="J51" i="32" s="1"/>
  <c r="S51" i="32" s="1"/>
  <c r="T51" i="32" s="1"/>
  <c r="K50" i="32"/>
  <c r="L50" i="32" s="1"/>
  <c r="I50" i="32"/>
  <c r="J50" i="32" s="1"/>
  <c r="S50" i="32" s="1"/>
  <c r="T50" i="32" s="1"/>
  <c r="K49" i="32"/>
  <c r="L49" i="32" s="1"/>
  <c r="I49" i="32"/>
  <c r="J49" i="32" s="1"/>
  <c r="S49" i="32" s="1"/>
  <c r="T49" i="32" s="1"/>
  <c r="K48" i="32"/>
  <c r="L48" i="32" s="1"/>
  <c r="I48" i="32"/>
  <c r="J48" i="32" s="1"/>
  <c r="S48" i="32" s="1"/>
  <c r="T48" i="32" s="1"/>
  <c r="K47" i="32"/>
  <c r="L47" i="32" s="1"/>
  <c r="I47" i="32"/>
  <c r="J47" i="32" s="1"/>
  <c r="S47" i="32" s="1"/>
  <c r="T47" i="32" s="1"/>
  <c r="K46" i="32"/>
  <c r="L46" i="32" s="1"/>
  <c r="I46" i="32"/>
  <c r="J46" i="32" s="1"/>
  <c r="S46" i="32" s="1"/>
  <c r="T46" i="32" s="1"/>
  <c r="K45" i="32"/>
  <c r="L45" i="32" s="1"/>
  <c r="I45" i="32"/>
  <c r="J45" i="32" s="1"/>
  <c r="S45" i="32" s="1"/>
  <c r="T45" i="32" s="1"/>
  <c r="K44" i="32"/>
  <c r="L44" i="32" s="1"/>
  <c r="I44" i="32"/>
  <c r="J44" i="32" s="1"/>
  <c r="S44" i="32" s="1"/>
  <c r="T44" i="32" s="1"/>
  <c r="K43" i="32"/>
  <c r="L43" i="32" s="1"/>
  <c r="I43" i="32"/>
  <c r="J43" i="32" s="1"/>
  <c r="S43" i="32" s="1"/>
  <c r="T43" i="32" s="1"/>
  <c r="K42" i="32"/>
  <c r="L42" i="32" s="1"/>
  <c r="I42" i="32"/>
  <c r="J42" i="32" s="1"/>
  <c r="S42" i="32" s="1"/>
  <c r="T42" i="32" s="1"/>
  <c r="K41" i="32"/>
  <c r="L41" i="32" s="1"/>
  <c r="I41" i="32"/>
  <c r="J41" i="32" s="1"/>
  <c r="S41" i="32" s="1"/>
  <c r="T41" i="32" s="1"/>
  <c r="K40" i="32"/>
  <c r="L40" i="32" s="1"/>
  <c r="I40" i="32"/>
  <c r="J40" i="32" s="1"/>
  <c r="S40" i="32" s="1"/>
  <c r="T40" i="32" s="1"/>
  <c r="K39" i="32"/>
  <c r="L39" i="32" s="1"/>
  <c r="I39" i="32"/>
  <c r="J39" i="32" s="1"/>
  <c r="S39" i="32" s="1"/>
  <c r="T39" i="32" s="1"/>
  <c r="K38" i="32"/>
  <c r="L38" i="32" s="1"/>
  <c r="I38" i="32"/>
  <c r="J38" i="32" s="1"/>
  <c r="S38" i="32" s="1"/>
  <c r="T38" i="32" s="1"/>
  <c r="K37" i="32"/>
  <c r="L37" i="32" s="1"/>
  <c r="I37" i="32"/>
  <c r="J37" i="32" s="1"/>
  <c r="S37" i="32" s="1"/>
  <c r="T37" i="32" s="1"/>
  <c r="K36" i="32"/>
  <c r="L36" i="32" s="1"/>
  <c r="I36" i="32"/>
  <c r="J36" i="32" s="1"/>
  <c r="S36" i="32" s="1"/>
  <c r="T36" i="32" s="1"/>
  <c r="K35" i="32"/>
  <c r="L35" i="32" s="1"/>
  <c r="I35" i="32"/>
  <c r="J35" i="32" s="1"/>
  <c r="S35" i="32" s="1"/>
  <c r="T35" i="32" s="1"/>
  <c r="K34" i="32"/>
  <c r="L34" i="32" s="1"/>
  <c r="I34" i="32"/>
  <c r="J34" i="32" s="1"/>
  <c r="S34" i="32" s="1"/>
  <c r="T34" i="32" s="1"/>
  <c r="K33" i="32"/>
  <c r="L33" i="32" s="1"/>
  <c r="I33" i="32"/>
  <c r="J33" i="32" s="1"/>
  <c r="S33" i="32" s="1"/>
  <c r="T33" i="32" s="1"/>
  <c r="K32" i="32"/>
  <c r="L32" i="32" s="1"/>
  <c r="I32" i="32"/>
  <c r="J32" i="32" s="1"/>
  <c r="S32" i="32" s="1"/>
  <c r="T32" i="32" s="1"/>
  <c r="K31" i="32"/>
  <c r="L31" i="32" s="1"/>
  <c r="I31" i="32"/>
  <c r="J31" i="32" s="1"/>
  <c r="S31" i="32" s="1"/>
  <c r="T31" i="32" s="1"/>
  <c r="K30" i="32"/>
  <c r="L30" i="32" s="1"/>
  <c r="I30" i="32"/>
  <c r="J30" i="32" s="1"/>
  <c r="S30" i="32" s="1"/>
  <c r="T30" i="32" s="1"/>
  <c r="K29" i="32"/>
  <c r="L29" i="32" s="1"/>
  <c r="I29" i="32"/>
  <c r="J29" i="32" s="1"/>
  <c r="S29" i="32" s="1"/>
  <c r="T29" i="32" s="1"/>
  <c r="K28" i="32"/>
  <c r="L28" i="32" s="1"/>
  <c r="I28" i="32"/>
  <c r="J28" i="32" s="1"/>
  <c r="S28" i="32" s="1"/>
  <c r="T28" i="32" s="1"/>
  <c r="K27" i="32"/>
  <c r="L27" i="32" s="1"/>
  <c r="I27" i="32"/>
  <c r="J27" i="32" s="1"/>
  <c r="S27" i="32" s="1"/>
  <c r="T27" i="32" s="1"/>
  <c r="K26" i="32"/>
  <c r="L26" i="32" s="1"/>
  <c r="I26" i="32"/>
  <c r="J26" i="32" s="1"/>
  <c r="S26" i="32" s="1"/>
  <c r="T26" i="32" s="1"/>
  <c r="K25" i="32"/>
  <c r="L25" i="32" s="1"/>
  <c r="I25" i="32"/>
  <c r="J25" i="32" s="1"/>
  <c r="S25" i="32" s="1"/>
  <c r="T25" i="32" s="1"/>
  <c r="K24" i="32"/>
  <c r="L24" i="32" s="1"/>
  <c r="I24" i="32"/>
  <c r="J24" i="32" s="1"/>
  <c r="S24" i="32" s="1"/>
  <c r="T24" i="32" s="1"/>
  <c r="K23" i="32"/>
  <c r="L23" i="32" s="1"/>
  <c r="I23" i="32"/>
  <c r="J23" i="32" s="1"/>
  <c r="S23" i="32" s="1"/>
  <c r="T23" i="32" s="1"/>
  <c r="K22" i="32"/>
  <c r="L22" i="32" s="1"/>
  <c r="I22" i="32"/>
  <c r="J22" i="32" s="1"/>
  <c r="S22" i="32" s="1"/>
  <c r="T22" i="32" s="1"/>
  <c r="K21" i="32"/>
  <c r="L21" i="32" s="1"/>
  <c r="I21" i="32"/>
  <c r="J21" i="32" s="1"/>
  <c r="S21" i="32" s="1"/>
  <c r="T21" i="32" s="1"/>
  <c r="K20" i="32"/>
  <c r="L20" i="32" s="1"/>
  <c r="I20" i="32"/>
  <c r="J20" i="32" s="1"/>
  <c r="S20" i="32" s="1"/>
  <c r="T20" i="32" s="1"/>
  <c r="K19" i="32"/>
  <c r="L19" i="32" s="1"/>
  <c r="I19" i="32"/>
  <c r="J19" i="32" s="1"/>
  <c r="S19" i="32" s="1"/>
  <c r="T19" i="32" s="1"/>
  <c r="K18" i="32"/>
  <c r="L18" i="32" s="1"/>
  <c r="I18" i="32"/>
  <c r="J18" i="32" s="1"/>
  <c r="S18" i="32" s="1"/>
  <c r="T18" i="32" s="1"/>
  <c r="K17" i="32"/>
  <c r="L17" i="32" s="1"/>
  <c r="I17" i="32"/>
  <c r="J17" i="32" s="1"/>
  <c r="S17" i="32" s="1"/>
  <c r="T17" i="32" s="1"/>
  <c r="K16" i="32"/>
  <c r="L16" i="32" s="1"/>
  <c r="I16" i="32"/>
  <c r="J16" i="32" s="1"/>
  <c r="S16" i="32" s="1"/>
  <c r="T16" i="32" s="1"/>
  <c r="K15" i="32"/>
  <c r="L15" i="32" s="1"/>
  <c r="I15" i="32"/>
  <c r="J15" i="32" s="1"/>
  <c r="S15" i="32" s="1"/>
  <c r="T15" i="32" s="1"/>
  <c r="K14" i="32"/>
  <c r="L14" i="32" s="1"/>
  <c r="I14" i="32"/>
  <c r="J14" i="32" s="1"/>
  <c r="S14" i="32" s="1"/>
  <c r="T14" i="32" s="1"/>
  <c r="K13" i="32"/>
  <c r="L13" i="32" s="1"/>
  <c r="I13" i="32"/>
  <c r="J13" i="32" s="1"/>
  <c r="S13" i="32" s="1"/>
  <c r="T13" i="32" s="1"/>
  <c r="K12" i="32"/>
  <c r="L12" i="32" s="1"/>
  <c r="I12" i="32"/>
  <c r="J12" i="32" s="1"/>
  <c r="S12" i="32" s="1"/>
  <c r="T12" i="32" s="1"/>
  <c r="K11" i="32"/>
  <c r="L11" i="32" s="1"/>
  <c r="I11" i="32"/>
  <c r="J11" i="32" s="1"/>
  <c r="S11" i="32" s="1"/>
  <c r="T11" i="32" s="1"/>
  <c r="K10" i="32"/>
  <c r="L10" i="32" s="1"/>
  <c r="I10" i="32"/>
  <c r="J10" i="32" s="1"/>
  <c r="S10" i="32" s="1"/>
  <c r="T10" i="32" s="1"/>
  <c r="K9" i="32"/>
  <c r="L9" i="32" s="1"/>
  <c r="I9" i="32"/>
  <c r="J9" i="32" s="1"/>
  <c r="S9" i="32" s="1"/>
  <c r="T9" i="32" s="1"/>
  <c r="K8" i="32"/>
  <c r="L8" i="32" s="1"/>
  <c r="I8" i="32"/>
  <c r="J8" i="32" s="1"/>
  <c r="S8" i="32" s="1"/>
  <c r="T8" i="32" s="1"/>
  <c r="K7" i="32"/>
  <c r="L7" i="32" s="1"/>
  <c r="I7" i="32"/>
  <c r="J7" i="32" s="1"/>
  <c r="S7" i="32" s="1"/>
  <c r="T7" i="32" s="1"/>
  <c r="K6" i="32"/>
  <c r="L6" i="32" s="1"/>
  <c r="I6" i="32"/>
  <c r="J6" i="32" s="1"/>
  <c r="S6" i="32" s="1"/>
  <c r="T6" i="32" s="1"/>
  <c r="K5" i="32"/>
  <c r="L5" i="32" s="1"/>
  <c r="I5" i="32"/>
  <c r="J5" i="32" s="1"/>
  <c r="S5" i="32" s="1"/>
  <c r="T5" i="32" s="1"/>
  <c r="K4" i="32"/>
  <c r="L4" i="32" s="1"/>
  <c r="I4" i="32"/>
  <c r="J4" i="32" s="1"/>
  <c r="S4" i="32" s="1"/>
  <c r="T4" i="32" s="1"/>
  <c r="K3" i="32"/>
  <c r="L3" i="32" s="1"/>
  <c r="I3" i="32"/>
  <c r="J3" i="32" s="1"/>
  <c r="S3" i="32" s="1"/>
  <c r="T3" i="32" s="1"/>
  <c r="K2" i="32"/>
  <c r="L2" i="32" s="1"/>
  <c r="I2" i="32"/>
  <c r="J2" i="32" s="1"/>
  <c r="S2" i="32" s="1"/>
  <c r="T2" i="32" s="1"/>
  <c r="Q18" i="45" l="1"/>
  <c r="Q13" i="45"/>
  <c r="Q8" i="45"/>
  <c r="Q3" i="45"/>
  <c r="G2" i="48"/>
  <c r="H35" i="31" l="1"/>
  <c r="H36" i="31"/>
  <c r="H37" i="31"/>
  <c r="H38" i="31"/>
  <c r="H39" i="31"/>
  <c r="H40" i="31"/>
  <c r="H34" i="31"/>
  <c r="H41" i="31" l="1"/>
  <c r="H22" i="31" l="1"/>
  <c r="O10" i="31"/>
  <c r="H3" i="31" l="1"/>
  <c r="H4" i="31"/>
  <c r="H5" i="31"/>
  <c r="H6" i="31"/>
  <c r="H7" i="31"/>
  <c r="H8" i="31"/>
  <c r="H9" i="31"/>
  <c r="H11" i="31"/>
  <c r="H12" i="31"/>
  <c r="H13" i="31"/>
  <c r="H14" i="31"/>
  <c r="H15" i="31"/>
  <c r="H16" i="31"/>
  <c r="H17" i="31"/>
  <c r="H18" i="31"/>
  <c r="H19" i="31"/>
  <c r="H20" i="31"/>
  <c r="H21" i="31"/>
  <c r="H2" i="31"/>
  <c r="O41" i="31" l="1"/>
  <c r="O40" i="31"/>
  <c r="O39" i="31"/>
  <c r="O38" i="31"/>
  <c r="O37" i="31"/>
  <c r="O36" i="31"/>
  <c r="O35" i="31"/>
  <c r="O34" i="31"/>
  <c r="O33" i="31"/>
  <c r="O32" i="31"/>
  <c r="O31" i="31"/>
  <c r="O30" i="31"/>
  <c r="O29" i="31"/>
  <c r="O28" i="31"/>
  <c r="O27" i="31"/>
  <c r="O26" i="31"/>
  <c r="O25" i="31"/>
  <c r="O24" i="31"/>
  <c r="O23" i="31"/>
  <c r="O22" i="31"/>
  <c r="O21" i="31"/>
  <c r="O20" i="31"/>
  <c r="O19" i="31"/>
  <c r="O18" i="31"/>
  <c r="O17" i="31"/>
  <c r="O16" i="31"/>
  <c r="O15" i="31"/>
  <c r="O14" i="31"/>
  <c r="O13" i="31"/>
  <c r="O12" i="31"/>
  <c r="O11" i="31"/>
  <c r="O9" i="31"/>
  <c r="O8" i="31"/>
  <c r="O7" i="31"/>
  <c r="O6" i="31"/>
  <c r="O5" i="31"/>
  <c r="O4" i="31"/>
  <c r="O3" i="31"/>
  <c r="O2" i="31"/>
  <c r="H2" i="30" l="1"/>
  <c r="H3" i="30"/>
  <c r="H4" i="30"/>
  <c r="H6" i="30"/>
  <c r="H5" i="30"/>
  <c r="H7" i="30"/>
  <c r="H8" i="30"/>
  <c r="H9" i="30"/>
  <c r="H10" i="30"/>
  <c r="H11" i="30"/>
  <c r="H12" i="30"/>
  <c r="H13" i="30"/>
  <c r="H14" i="30"/>
  <c r="H16" i="30"/>
  <c r="H15" i="30"/>
  <c r="H17" i="30"/>
  <c r="H18" i="30"/>
  <c r="H19" i="30"/>
  <c r="H20" i="30"/>
  <c r="H21" i="30"/>
  <c r="H22" i="30"/>
  <c r="H24" i="30"/>
  <c r="H25" i="30"/>
  <c r="H26" i="30"/>
  <c r="H23" i="30"/>
  <c r="H27" i="30"/>
  <c r="H28" i="30"/>
  <c r="H29" i="30"/>
  <c r="H30" i="30"/>
  <c r="H31" i="30"/>
  <c r="H33" i="30"/>
  <c r="H32" i="30"/>
  <c r="H34" i="30"/>
  <c r="H35" i="30"/>
  <c r="H36" i="30"/>
  <c r="H37" i="30"/>
  <c r="H38" i="30"/>
  <c r="H39" i="30"/>
  <c r="H40" i="30"/>
  <c r="H41" i="30"/>
  <c r="H42" i="30"/>
  <c r="O42" i="30" l="1"/>
  <c r="O41" i="30"/>
  <c r="O40" i="30"/>
  <c r="O39" i="30"/>
  <c r="O38" i="30"/>
  <c r="O37" i="30"/>
  <c r="O36" i="30"/>
  <c r="O35" i="30"/>
  <c r="O34" i="30"/>
  <c r="O32" i="30"/>
  <c r="O21" i="30" l="1"/>
  <c r="O22" i="30"/>
  <c r="O24" i="30"/>
  <c r="O25" i="30"/>
  <c r="O26" i="30"/>
  <c r="O23" i="30"/>
  <c r="O27" i="30"/>
  <c r="O28" i="30"/>
  <c r="O29" i="30"/>
  <c r="O30" i="30"/>
  <c r="O31" i="30"/>
  <c r="O33" i="30"/>
  <c r="O20" i="30" l="1"/>
  <c r="O19" i="30"/>
  <c r="O4" i="30" l="1"/>
  <c r="O6" i="30"/>
  <c r="O5" i="30"/>
  <c r="O3" i="30"/>
  <c r="O2" i="30"/>
  <c r="O18" i="30" l="1"/>
  <c r="O17" i="30"/>
  <c r="O15" i="30"/>
  <c r="O16" i="30"/>
  <c r="O14" i="30"/>
  <c r="O13" i="30"/>
  <c r="O12" i="30"/>
  <c r="O11" i="30"/>
  <c r="O10" i="30"/>
  <c r="O9" i="30"/>
  <c r="O8" i="30"/>
  <c r="O7" i="30"/>
  <c r="H37" i="29" l="1"/>
  <c r="O37" i="29" s="1"/>
  <c r="H38" i="29"/>
  <c r="O38" i="29" s="1"/>
  <c r="H39" i="29"/>
  <c r="O39" i="29" s="1"/>
  <c r="H40" i="29"/>
  <c r="O40" i="29" s="1"/>
  <c r="H41" i="29"/>
  <c r="O41" i="29" s="1"/>
  <c r="H36" i="29" l="1"/>
  <c r="O36" i="29" s="1"/>
  <c r="H42" i="29"/>
  <c r="H35" i="29" l="1"/>
  <c r="O35" i="29" s="1"/>
  <c r="H34" i="29"/>
  <c r="O34" i="29" s="1"/>
  <c r="H33" i="29"/>
  <c r="O33" i="29" s="1"/>
  <c r="H32" i="29"/>
  <c r="O32" i="29" s="1"/>
  <c r="H31" i="29"/>
  <c r="O31" i="29" s="1"/>
  <c r="H30" i="29"/>
  <c r="O30" i="29" s="1"/>
  <c r="H19" i="29" l="1"/>
  <c r="O19" i="29" s="1"/>
  <c r="H29" i="29" l="1"/>
  <c r="O29" i="29" s="1"/>
  <c r="H28" i="29"/>
  <c r="O28" i="29" s="1"/>
  <c r="H27" i="29"/>
  <c r="O27" i="29" s="1"/>
  <c r="H26" i="29"/>
  <c r="O26" i="29" s="1"/>
  <c r="H25" i="29"/>
  <c r="O25" i="29" s="1"/>
  <c r="H24" i="29"/>
  <c r="O24" i="29" s="1"/>
  <c r="H23" i="29"/>
  <c r="O23" i="29" s="1"/>
  <c r="H22" i="29"/>
  <c r="O22" i="29" s="1"/>
  <c r="H21" i="29"/>
  <c r="O21" i="29" s="1"/>
  <c r="H20" i="29"/>
  <c r="O20" i="29" s="1"/>
  <c r="H18" i="29"/>
  <c r="O18" i="29" s="1"/>
  <c r="H17" i="29"/>
  <c r="O17" i="29" s="1"/>
  <c r="H16" i="29"/>
  <c r="O16" i="29" s="1"/>
  <c r="H13" i="29" l="1"/>
  <c r="O13" i="29" s="1"/>
  <c r="H14" i="29"/>
  <c r="O14" i="29" s="1"/>
  <c r="H15" i="29"/>
  <c r="O15" i="29" s="1"/>
  <c r="H12" i="29" l="1"/>
  <c r="O12" i="29" s="1"/>
  <c r="H11" i="29"/>
  <c r="O11" i="29" s="1"/>
  <c r="H10" i="29"/>
  <c r="O10" i="29" s="1"/>
  <c r="H9" i="29"/>
  <c r="O9" i="29" s="1"/>
  <c r="H8" i="29"/>
  <c r="O8" i="29" s="1"/>
  <c r="H7" i="29"/>
  <c r="O7" i="29" s="1"/>
  <c r="H6" i="29"/>
  <c r="O6" i="29" s="1"/>
  <c r="H38" i="28" l="1"/>
  <c r="O38" i="28" s="1"/>
  <c r="H37" i="28"/>
  <c r="O37" i="28" s="1"/>
  <c r="H36" i="28"/>
  <c r="O36" i="28" s="1"/>
  <c r="H35" i="28"/>
  <c r="O35" i="28" s="1"/>
  <c r="H34" i="28"/>
  <c r="O34" i="28" s="1"/>
  <c r="H33" i="28"/>
  <c r="O33" i="28" s="1"/>
  <c r="H32" i="28"/>
  <c r="O32" i="28" s="1"/>
  <c r="H31" i="28"/>
  <c r="O31" i="28" s="1"/>
  <c r="H30" i="28"/>
  <c r="O30" i="28" s="1"/>
  <c r="H29" i="28"/>
  <c r="O29" i="28" s="1"/>
  <c r="H28" i="28"/>
  <c r="O28" i="28" s="1"/>
  <c r="H27" i="28"/>
  <c r="O27" i="28" s="1"/>
  <c r="H26" i="28"/>
  <c r="O26" i="28" s="1"/>
  <c r="H25" i="28"/>
  <c r="O25" i="28" s="1"/>
  <c r="H24" i="28"/>
  <c r="O24" i="28" s="1"/>
  <c r="H23" i="28"/>
  <c r="O23" i="28" s="1"/>
  <c r="H22" i="28"/>
  <c r="O22" i="28" s="1"/>
  <c r="H21" i="28"/>
  <c r="O21" i="28" s="1"/>
  <c r="H20" i="28"/>
  <c r="O20" i="28" s="1"/>
  <c r="H19" i="28"/>
  <c r="O19" i="28" s="1"/>
  <c r="H18" i="28"/>
  <c r="O18" i="28" s="1"/>
  <c r="H17" i="28"/>
  <c r="O17" i="28" s="1"/>
  <c r="H16" i="28"/>
  <c r="O16" i="28" s="1"/>
  <c r="H15" i="28"/>
  <c r="O15" i="28" s="1"/>
  <c r="H14" i="28"/>
  <c r="O14" i="28" s="1"/>
  <c r="H13" i="28"/>
  <c r="O13" i="28" s="1"/>
  <c r="H12" i="28"/>
  <c r="O12" i="28" s="1"/>
  <c r="H11" i="28"/>
  <c r="O11" i="28" s="1"/>
  <c r="H10" i="28"/>
  <c r="O10" i="28" s="1"/>
  <c r="H9" i="28"/>
  <c r="O9" i="28" s="1"/>
  <c r="H8" i="28"/>
  <c r="O8" i="28" s="1"/>
  <c r="H7" i="28"/>
  <c r="O7" i="28" s="1"/>
  <c r="H6" i="28"/>
  <c r="O6" i="28" s="1"/>
  <c r="H5" i="28"/>
  <c r="O5" i="28" s="1"/>
  <c r="H4" i="28"/>
  <c r="O4" i="28" s="1"/>
  <c r="H3" i="28"/>
  <c r="O3" i="28" s="1"/>
  <c r="H2" i="28"/>
  <c r="H5" i="29" l="1"/>
  <c r="O5" i="29" s="1"/>
  <c r="H4" i="29"/>
  <c r="O4" i="29" s="1"/>
  <c r="H3" i="29"/>
  <c r="O3" i="29" s="1"/>
  <c r="H2" i="29"/>
  <c r="O2" i="29" s="1"/>
  <c r="O2" i="28" l="1"/>
  <c r="H39" i="27" l="1"/>
  <c r="O39" i="27" s="1"/>
  <c r="H38" i="27"/>
  <c r="O38" i="27" s="1"/>
  <c r="H37" i="27"/>
  <c r="O37" i="27" s="1"/>
  <c r="H36" i="27"/>
  <c r="O36" i="27" s="1"/>
  <c r="H35" i="27"/>
  <c r="O35" i="27" s="1"/>
  <c r="H34" i="27"/>
  <c r="O34" i="27" s="1"/>
  <c r="H33" i="27"/>
  <c r="O33" i="27" s="1"/>
  <c r="H32" i="27" l="1"/>
  <c r="O32" i="27" s="1"/>
  <c r="H31" i="27"/>
  <c r="O31" i="27" s="1"/>
  <c r="H30" i="27"/>
  <c r="O30" i="27" s="1"/>
  <c r="H29" i="27"/>
  <c r="O29" i="27" s="1"/>
  <c r="H28" i="27"/>
  <c r="O28" i="27" s="1"/>
  <c r="H27" i="27"/>
  <c r="O27" i="27" s="1"/>
  <c r="H26" i="27"/>
  <c r="O26" i="27" s="1"/>
  <c r="H25" i="27"/>
  <c r="O25" i="27" s="1"/>
  <c r="H24" i="27"/>
  <c r="O24" i="27" s="1"/>
  <c r="H23" i="27" l="1"/>
  <c r="H22" i="27" l="1"/>
  <c r="O22" i="27" s="1"/>
  <c r="H21" i="27"/>
  <c r="O21" i="27" s="1"/>
  <c r="H20" i="27"/>
  <c r="O20" i="27" s="1"/>
  <c r="H19" i="27"/>
  <c r="O19" i="27" s="1"/>
  <c r="O23" i="27"/>
  <c r="O15" i="27"/>
  <c r="O16" i="27"/>
  <c r="O17" i="27"/>
  <c r="H18" i="27" l="1"/>
  <c r="O18" i="27" s="1"/>
  <c r="H7" i="27" l="1"/>
  <c r="O7" i="27" s="1"/>
  <c r="H6" i="27"/>
  <c r="O6" i="27" s="1"/>
  <c r="H5" i="27"/>
  <c r="O5" i="27" s="1"/>
  <c r="H4" i="27"/>
  <c r="O4" i="27" s="1"/>
  <c r="H3" i="27"/>
  <c r="O3" i="27" s="1"/>
  <c r="H2" i="27"/>
  <c r="O2" i="27" s="1"/>
  <c r="O13" i="27"/>
  <c r="O12" i="27"/>
  <c r="O11" i="27"/>
  <c r="O10" i="27"/>
  <c r="O9" i="27"/>
  <c r="O8" i="27"/>
  <c r="H33" i="26" l="1"/>
  <c r="O33" i="26" s="1"/>
  <c r="H22" i="26" l="1"/>
  <c r="H23" i="26"/>
  <c r="H24" i="26"/>
  <c r="H25" i="26"/>
  <c r="H26" i="26"/>
  <c r="H27" i="26"/>
  <c r="H28" i="26"/>
  <c r="H29" i="26"/>
  <c r="H30" i="26"/>
  <c r="H31" i="26"/>
  <c r="H32" i="26"/>
  <c r="H19" i="26" l="1"/>
  <c r="H21" i="26"/>
  <c r="H20" i="26"/>
  <c r="H18" i="26" l="1"/>
  <c r="H17" i="26"/>
  <c r="H16" i="26"/>
  <c r="H15" i="26"/>
  <c r="H14" i="26"/>
  <c r="H13" i="26"/>
  <c r="H12" i="26"/>
  <c r="H11" i="26" l="1"/>
  <c r="H10" i="26"/>
  <c r="O50" i="26" l="1"/>
  <c r="O49" i="26"/>
  <c r="O48" i="26"/>
  <c r="O47" i="26"/>
  <c r="O46" i="26"/>
  <c r="O45" i="26"/>
  <c r="O44" i="26"/>
  <c r="O43" i="26"/>
  <c r="O42" i="26"/>
  <c r="O41" i="26"/>
  <c r="O40" i="26"/>
  <c r="O39" i="26"/>
  <c r="O38" i="26"/>
  <c r="O37" i="26"/>
  <c r="O36" i="26"/>
  <c r="O35" i="26"/>
  <c r="O34" i="26"/>
  <c r="O32" i="26"/>
  <c r="O31" i="26"/>
  <c r="O30" i="26"/>
  <c r="O29" i="26"/>
  <c r="O28" i="26"/>
  <c r="O26" i="26"/>
  <c r="O25" i="26"/>
  <c r="O24" i="26"/>
  <c r="O23" i="26"/>
  <c r="O22" i="26"/>
  <c r="O21" i="26"/>
  <c r="O20" i="26"/>
  <c r="O19" i="26"/>
  <c r="O18" i="26"/>
  <c r="O17" i="26"/>
  <c r="O16" i="26"/>
  <c r="O15" i="26"/>
  <c r="O14" i="26"/>
  <c r="O13" i="26"/>
  <c r="O12" i="26"/>
  <c r="O11" i="26"/>
  <c r="O10" i="26"/>
  <c r="O9" i="26"/>
  <c r="O8" i="26"/>
  <c r="O7" i="26"/>
  <c r="O6" i="26"/>
  <c r="O5" i="26"/>
  <c r="O4" i="26"/>
  <c r="O3" i="26"/>
  <c r="O2" i="26"/>
  <c r="H27" i="25" l="1"/>
  <c r="H36" i="25" l="1"/>
  <c r="H35" i="25"/>
  <c r="H34" i="25"/>
  <c r="H33" i="25"/>
  <c r="H32" i="25"/>
  <c r="H31" i="25"/>
  <c r="H30" i="25"/>
  <c r="H29" i="25"/>
  <c r="H26" i="25"/>
  <c r="H25" i="25" l="1"/>
  <c r="H24" i="25"/>
  <c r="H23" i="25"/>
  <c r="H22" i="25"/>
  <c r="H21" i="25"/>
  <c r="H20" i="25"/>
  <c r="H19" i="25"/>
  <c r="H18" i="25" l="1"/>
  <c r="H17" i="25" l="1"/>
  <c r="H16" i="25"/>
  <c r="H15" i="25"/>
  <c r="H14" i="25"/>
  <c r="H13" i="25"/>
  <c r="H12" i="25"/>
  <c r="H11" i="25"/>
  <c r="H10" i="25" l="1"/>
  <c r="H9" i="25"/>
  <c r="H8" i="25"/>
  <c r="H7" i="25"/>
  <c r="H6" i="25"/>
  <c r="H5" i="25"/>
  <c r="H4" i="25"/>
  <c r="O2" i="24" l="1"/>
  <c r="O3" i="24"/>
  <c r="O4" i="24"/>
  <c r="O5" i="24"/>
  <c r="O6" i="24"/>
  <c r="O7" i="24"/>
  <c r="O8" i="24"/>
  <c r="O9" i="24"/>
  <c r="O10" i="24"/>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H39" i="24"/>
  <c r="O39" i="24" s="1"/>
  <c r="H40" i="24"/>
  <c r="O40" i="24" s="1"/>
  <c r="H41" i="24"/>
  <c r="O41" i="24" s="1"/>
  <c r="H42" i="24"/>
  <c r="O42" i="24" s="1"/>
  <c r="H43" i="24"/>
  <c r="O43" i="24" s="1"/>
  <c r="H44" i="24"/>
  <c r="O44" i="24" s="1"/>
  <c r="H45" i="24"/>
  <c r="O45" i="24" s="1"/>
  <c r="H46" i="24"/>
  <c r="O46" i="24" s="1"/>
  <c r="H47" i="24"/>
  <c r="O47" i="24" s="1"/>
  <c r="H48" i="24"/>
  <c r="O48" i="24" s="1"/>
  <c r="H49" i="24"/>
  <c r="O49" i="24" s="1"/>
  <c r="H50" i="24"/>
  <c r="O50" i="24" s="1"/>
  <c r="H51" i="24"/>
  <c r="O51" i="24" s="1"/>
  <c r="H52" i="24"/>
  <c r="O52" i="24" s="1"/>
  <c r="O53" i="24"/>
  <c r="O54" i="24"/>
  <c r="O55" i="24"/>
  <c r="O56" i="24"/>
  <c r="O57" i="24"/>
  <c r="O58" i="24"/>
  <c r="O60" i="25"/>
  <c r="O59" i="25"/>
  <c r="O58" i="25"/>
  <c r="O57" i="25"/>
  <c r="O56" i="25"/>
  <c r="O55" i="25"/>
  <c r="O54" i="25"/>
  <c r="O53" i="25"/>
  <c r="O52" i="25"/>
  <c r="O51" i="25"/>
  <c r="O50" i="25"/>
  <c r="O49" i="25"/>
  <c r="O48" i="25"/>
  <c r="O47" i="25"/>
  <c r="O46" i="25"/>
  <c r="O45" i="25"/>
  <c r="O44" i="25"/>
  <c r="O43" i="25"/>
  <c r="O42" i="25"/>
  <c r="O41" i="25"/>
  <c r="O40" i="25"/>
  <c r="O39" i="25"/>
  <c r="O38" i="25"/>
  <c r="O37" i="25"/>
  <c r="O36" i="25"/>
  <c r="O35" i="25"/>
  <c r="O34" i="25"/>
  <c r="O33" i="25"/>
  <c r="O32" i="25"/>
  <c r="O31" i="25"/>
  <c r="O30" i="25"/>
  <c r="O29" i="25"/>
  <c r="O28" i="25"/>
  <c r="O26" i="25"/>
  <c r="O25" i="25"/>
  <c r="O24" i="25"/>
  <c r="O23" i="25"/>
  <c r="O22" i="25"/>
  <c r="O21" i="25"/>
  <c r="O20" i="25"/>
  <c r="O19" i="25"/>
  <c r="O18" i="25"/>
  <c r="O17" i="25"/>
  <c r="O16" i="25"/>
  <c r="O15" i="25"/>
  <c r="O14" i="25"/>
  <c r="O13" i="25"/>
  <c r="O12" i="25"/>
  <c r="O11" i="25"/>
  <c r="O10" i="25"/>
  <c r="O9" i="25"/>
  <c r="O8" i="25"/>
  <c r="O7" i="25"/>
  <c r="O6" i="25"/>
  <c r="O5" i="25"/>
  <c r="O4" i="25"/>
  <c r="O3" i="25"/>
  <c r="O2" i="25"/>
  <c r="O43" i="23"/>
  <c r="O44" i="23"/>
  <c r="O35" i="23"/>
  <c r="O36" i="23"/>
  <c r="O37" i="23"/>
  <c r="O38" i="23"/>
  <c r="O39" i="23"/>
  <c r="O40" i="23"/>
  <c r="O41" i="23"/>
  <c r="O42" i="23"/>
  <c r="H27" i="23"/>
  <c r="O27" i="23" s="1"/>
  <c r="H24" i="23"/>
  <c r="O24" i="23" s="1"/>
  <c r="O12" i="23"/>
  <c r="H34" i="23"/>
  <c r="O34" i="23" s="1"/>
  <c r="H23" i="23"/>
  <c r="O23" i="23" s="1"/>
  <c r="H25" i="23"/>
  <c r="O25" i="23" s="1"/>
  <c r="H26" i="23"/>
  <c r="O26" i="23" s="1"/>
  <c r="H28" i="23"/>
  <c r="O28" i="23" s="1"/>
  <c r="H29" i="23"/>
  <c r="O29" i="23" s="1"/>
  <c r="H30" i="23"/>
  <c r="O30" i="23" s="1"/>
  <c r="H31" i="23"/>
  <c r="O31" i="23" s="1"/>
  <c r="H32" i="23"/>
  <c r="O32" i="23" s="1"/>
  <c r="H33" i="23"/>
  <c r="O33" i="23" s="1"/>
  <c r="H22" i="23"/>
  <c r="O6" i="23"/>
  <c r="O7" i="23"/>
  <c r="O8" i="23"/>
  <c r="O9" i="23"/>
  <c r="O10" i="23"/>
  <c r="O11" i="23"/>
  <c r="O13" i="23"/>
  <c r="O14" i="23"/>
  <c r="O15" i="23"/>
  <c r="O16" i="23"/>
  <c r="O17" i="23"/>
  <c r="O18" i="23"/>
  <c r="O19" i="23"/>
  <c r="O20" i="23"/>
  <c r="O21" i="23"/>
  <c r="O22" i="23"/>
  <c r="H4" i="23"/>
  <c r="O4" i="23" s="1"/>
  <c r="H3" i="23"/>
  <c r="O3" i="23" s="1"/>
  <c r="H2" i="23"/>
  <c r="O2" i="23" s="1"/>
  <c r="O5" i="23"/>
  <c r="H53" i="22"/>
  <c r="O53" i="22" s="1"/>
  <c r="O34" i="22"/>
  <c r="O33" i="22"/>
  <c r="O32" i="22"/>
  <c r="H44" i="22"/>
  <c r="O44" i="22" s="1"/>
  <c r="H43" i="22"/>
  <c r="O43" i="22" s="1"/>
  <c r="H11" i="22"/>
  <c r="O11" i="22" s="1"/>
  <c r="H8" i="22"/>
  <c r="O8" i="22" s="1"/>
  <c r="H9" i="22"/>
  <c r="O9" i="22" s="1"/>
  <c r="O54" i="22"/>
  <c r="H56" i="22"/>
  <c r="O56" i="22" s="1"/>
  <c r="H55" i="22"/>
  <c r="O55" i="22" s="1"/>
  <c r="H52" i="22"/>
  <c r="O52" i="22" s="1"/>
  <c r="H51" i="22"/>
  <c r="O51" i="22" s="1"/>
  <c r="H50" i="22"/>
  <c r="O50" i="22" s="1"/>
  <c r="H49" i="22"/>
  <c r="O49" i="22" s="1"/>
  <c r="H48" i="22"/>
  <c r="O48" i="22" s="1"/>
  <c r="H47" i="22"/>
  <c r="O47" i="22" s="1"/>
  <c r="H46" i="22"/>
  <c r="O46" i="22" s="1"/>
  <c r="H45" i="22"/>
  <c r="O45" i="22" s="1"/>
  <c r="O40" i="22"/>
  <c r="O30" i="22"/>
  <c r="O31" i="22"/>
  <c r="O35" i="22"/>
  <c r="O36" i="22"/>
  <c r="O37" i="22"/>
  <c r="O38" i="22"/>
  <c r="O39" i="22"/>
  <c r="O41" i="22"/>
  <c r="O42" i="22"/>
  <c r="O25" i="22"/>
  <c r="O27" i="22"/>
  <c r="O28" i="22"/>
  <c r="O29" i="22"/>
  <c r="O17" i="22"/>
  <c r="O16" i="22"/>
  <c r="O19" i="22"/>
  <c r="O18" i="22"/>
  <c r="O20" i="22"/>
  <c r="O21" i="22"/>
  <c r="O22" i="22"/>
  <c r="O23" i="22"/>
  <c r="O24" i="22"/>
  <c r="O26" i="22"/>
  <c r="O15" i="22"/>
  <c r="O6" i="22"/>
  <c r="O7" i="22"/>
  <c r="O10" i="22"/>
  <c r="O12" i="22"/>
  <c r="O13" i="22"/>
  <c r="O14" i="22"/>
  <c r="H5" i="22"/>
  <c r="O5" i="22" s="1"/>
  <c r="H4" i="22"/>
  <c r="O4" i="22" s="1"/>
  <c r="H3" i="22"/>
  <c r="O3" i="22" s="1"/>
  <c r="H2" i="22"/>
  <c r="O2" i="22" s="1"/>
  <c r="O31" i="20"/>
  <c r="O32" i="20"/>
  <c r="O33" i="20"/>
  <c r="O34" i="20"/>
  <c r="O35" i="20"/>
  <c r="O36" i="20"/>
  <c r="O37" i="20"/>
  <c r="O22" i="20"/>
  <c r="O23" i="20"/>
  <c r="O24" i="20"/>
  <c r="O25" i="20"/>
  <c r="O26" i="20"/>
  <c r="O27" i="20"/>
  <c r="O28" i="20"/>
  <c r="O29" i="20"/>
  <c r="O30" i="20"/>
  <c r="O15" i="20"/>
  <c r="O16" i="20"/>
  <c r="O17" i="20"/>
  <c r="O18" i="20"/>
  <c r="O20" i="20"/>
  <c r="H21" i="20"/>
  <c r="O21" i="20" s="1"/>
  <c r="H19" i="20"/>
  <c r="O19" i="20" s="1"/>
  <c r="O4" i="20"/>
  <c r="O5" i="20"/>
  <c r="O6" i="20"/>
  <c r="O7" i="20"/>
  <c r="O8" i="20"/>
  <c r="O9" i="20"/>
  <c r="O10" i="20"/>
  <c r="O11" i="20"/>
  <c r="O12" i="20"/>
  <c r="O13" i="20"/>
  <c r="O14" i="20"/>
  <c r="O3" i="20"/>
  <c r="O2" i="20"/>
  <c r="D54" i="19"/>
  <c r="D53" i="19"/>
  <c r="O40" i="19" s="1"/>
  <c r="O44" i="19"/>
  <c r="O43" i="19"/>
  <c r="O42" i="19"/>
  <c r="O41" i="19"/>
  <c r="H39" i="19"/>
  <c r="O39" i="19" s="1"/>
  <c r="O38" i="19"/>
  <c r="O37" i="19"/>
  <c r="O36" i="19"/>
  <c r="O35" i="19"/>
  <c r="O33" i="19"/>
  <c r="O32" i="19"/>
  <c r="O31" i="19"/>
  <c r="O30" i="19"/>
  <c r="O29" i="19"/>
  <c r="O28" i="19"/>
  <c r="O27" i="19"/>
  <c r="O26" i="19"/>
  <c r="O24" i="19"/>
  <c r="O23" i="19"/>
  <c r="O22" i="19"/>
  <c r="O21" i="19"/>
  <c r="O20" i="19"/>
  <c r="O19" i="19"/>
  <c r="O18" i="19"/>
  <c r="O16" i="19"/>
  <c r="H15" i="19"/>
  <c r="O14" i="19"/>
  <c r="O13" i="19"/>
  <c r="O12" i="19"/>
  <c r="O11" i="19"/>
  <c r="O10" i="19"/>
  <c r="O9" i="19"/>
  <c r="O8" i="19"/>
  <c r="O7" i="19"/>
  <c r="O6" i="19"/>
  <c r="O5" i="19"/>
  <c r="O4" i="19"/>
  <c r="O3" i="19"/>
  <c r="O2" i="19"/>
  <c r="AB14" i="13"/>
  <c r="N22" i="13"/>
  <c r="N21" i="13"/>
  <c r="N20" i="13"/>
  <c r="N18" i="13"/>
  <c r="N17" i="13"/>
  <c r="N16" i="13"/>
  <c r="N15" i="13"/>
  <c r="N14" i="13"/>
  <c r="AB15" i="13"/>
  <c r="N4" i="13"/>
  <c r="AB16" i="13"/>
  <c r="O4" i="18"/>
  <c r="O6" i="18"/>
  <c r="O7" i="18"/>
  <c r="O8" i="18"/>
  <c r="O14" i="18"/>
  <c r="O15" i="18"/>
  <c r="O16" i="18"/>
  <c r="O17" i="18"/>
  <c r="O28" i="18"/>
  <c r="O29" i="18"/>
  <c r="O30" i="18"/>
  <c r="O31" i="18"/>
  <c r="O33" i="18"/>
  <c r="O34" i="18"/>
  <c r="O35" i="18"/>
  <c r="O36" i="18"/>
  <c r="O37" i="18"/>
  <c r="D61" i="18"/>
  <c r="D60" i="18"/>
  <c r="O27" i="18" s="1"/>
  <c r="H54" i="18"/>
  <c r="H21" i="18"/>
  <c r="H53" i="18"/>
  <c r="O53" i="18" s="1"/>
  <c r="H52" i="18"/>
  <c r="O52" i="18" s="1"/>
  <c r="H51" i="18"/>
  <c r="H50" i="18"/>
  <c r="H49" i="18"/>
  <c r="O49" i="18" s="1"/>
  <c r="H48" i="18"/>
  <c r="H47" i="18"/>
  <c r="O47" i="18" s="1"/>
  <c r="H46" i="18"/>
  <c r="H42" i="18"/>
  <c r="AP9" i="13"/>
  <c r="AP8" i="13"/>
  <c r="AP7" i="13"/>
  <c r="AP6" i="13"/>
  <c r="AP5" i="13"/>
  <c r="AP4" i="13"/>
  <c r="AB7" i="13"/>
  <c r="AB6" i="13"/>
  <c r="AB5" i="13"/>
  <c r="AB4" i="13"/>
  <c r="H45" i="18"/>
  <c r="O45" i="18" s="1"/>
  <c r="H44" i="18"/>
  <c r="O44" i="18" s="1"/>
  <c r="H43" i="18"/>
  <c r="O43" i="18" s="1"/>
  <c r="H41" i="18"/>
  <c r="O41" i="18" s="1"/>
  <c r="H40" i="18"/>
  <c r="O40" i="18" s="1"/>
  <c r="H39" i="18"/>
  <c r="O39" i="18" s="1"/>
  <c r="H38" i="18"/>
  <c r="O38" i="18" s="1"/>
  <c r="H26" i="18"/>
  <c r="O26" i="18" s="1"/>
  <c r="H25" i="18"/>
  <c r="O25" i="18" s="1"/>
  <c r="H24" i="18"/>
  <c r="O24" i="18" s="1"/>
  <c r="H23" i="18"/>
  <c r="O23" i="18" s="1"/>
  <c r="H22" i="18"/>
  <c r="O22" i="18" s="1"/>
  <c r="H20" i="18"/>
  <c r="O20" i="18" s="1"/>
  <c r="H19" i="18"/>
  <c r="O19" i="18" s="1"/>
  <c r="H18" i="18"/>
  <c r="O18" i="18" s="1"/>
  <c r="H12" i="18"/>
  <c r="O12" i="18" s="1"/>
  <c r="H11" i="18"/>
  <c r="O11" i="18" s="1"/>
  <c r="H10" i="18"/>
  <c r="O10" i="18" s="1"/>
  <c r="M15" i="13"/>
  <c r="M14" i="13"/>
  <c r="AO9" i="13"/>
  <c r="AO8" i="13"/>
  <c r="AO7" i="13"/>
  <c r="AO6" i="13"/>
  <c r="AO5" i="13"/>
  <c r="AO4" i="13"/>
  <c r="AA14" i="13"/>
  <c r="AA16" i="13"/>
  <c r="AA15" i="13"/>
  <c r="AA7" i="13"/>
  <c r="AA6" i="13"/>
  <c r="AA5" i="13"/>
  <c r="AA4" i="13"/>
  <c r="O45" i="17"/>
  <c r="O28" i="17"/>
  <c r="O24" i="17"/>
  <c r="O22" i="17"/>
  <c r="O21" i="17"/>
  <c r="O20" i="17"/>
  <c r="O18" i="17"/>
  <c r="O17" i="17"/>
  <c r="O13" i="17"/>
  <c r="O8" i="17"/>
  <c r="O7" i="17"/>
  <c r="O6" i="17"/>
  <c r="O5" i="17"/>
  <c r="O3" i="17"/>
  <c r="O2" i="17"/>
  <c r="D54" i="17"/>
  <c r="D53" i="17"/>
  <c r="O16" i="17" s="1"/>
  <c r="M4" i="13"/>
  <c r="M22" i="13"/>
  <c r="M21" i="13"/>
  <c r="M20" i="13"/>
  <c r="M18" i="13"/>
  <c r="M17" i="13"/>
  <c r="M16" i="13"/>
  <c r="H3" i="18"/>
  <c r="H2" i="18"/>
  <c r="O2" i="18" s="1"/>
  <c r="H48" i="17"/>
  <c r="O48" i="17" s="1"/>
  <c r="H47" i="17"/>
  <c r="O47" i="17" s="1"/>
  <c r="H42" i="17"/>
  <c r="O42" i="17" s="1"/>
  <c r="H41" i="17"/>
  <c r="O41" i="17"/>
  <c r="H40" i="17"/>
  <c r="O40" i="17" s="1"/>
  <c r="H39" i="17"/>
  <c r="O39" i="17" s="1"/>
  <c r="H38" i="17"/>
  <c r="O38" i="17" s="1"/>
  <c r="H37" i="17"/>
  <c r="O37" i="17" s="1"/>
  <c r="H36" i="17"/>
  <c r="O36" i="17" s="1"/>
  <c r="H35" i="17"/>
  <c r="O35" i="17"/>
  <c r="H34" i="17"/>
  <c r="O34" i="17" s="1"/>
  <c r="H33" i="17"/>
  <c r="O33" i="17" s="1"/>
  <c r="H32" i="17"/>
  <c r="O32" i="17" s="1"/>
  <c r="H30" i="17"/>
  <c r="O30" i="17" s="1"/>
  <c r="H31" i="17"/>
  <c r="H29" i="17"/>
  <c r="O29" i="17" s="1"/>
  <c r="L22" i="13"/>
  <c r="L21" i="13"/>
  <c r="L20" i="13"/>
  <c r="L18" i="13"/>
  <c r="L17" i="13"/>
  <c r="L16" i="13"/>
  <c r="L15" i="13"/>
  <c r="L14" i="13"/>
  <c r="Z7" i="13"/>
  <c r="Z6" i="13"/>
  <c r="Z5" i="13"/>
  <c r="Z4" i="13"/>
  <c r="AN9" i="13"/>
  <c r="AN8" i="13"/>
  <c r="AN7" i="13"/>
  <c r="AN6" i="13"/>
  <c r="AN5" i="13"/>
  <c r="AN4" i="13"/>
  <c r="Z16" i="13"/>
  <c r="Z15" i="13"/>
  <c r="Z14" i="13"/>
  <c r="L4" i="13"/>
  <c r="K4" i="13"/>
  <c r="J4" i="13"/>
  <c r="H41" i="16"/>
  <c r="O41" i="16" s="1"/>
  <c r="H40" i="16"/>
  <c r="O40" i="16" s="1"/>
  <c r="H38" i="16"/>
  <c r="O3" i="16"/>
  <c r="O4" i="16"/>
  <c r="O6" i="16"/>
  <c r="O7" i="16"/>
  <c r="O8" i="16"/>
  <c r="O10" i="16"/>
  <c r="O11" i="16"/>
  <c r="O13" i="16"/>
  <c r="O14" i="16"/>
  <c r="O15" i="16"/>
  <c r="O18" i="16"/>
  <c r="O20" i="16"/>
  <c r="O22" i="16"/>
  <c r="O23" i="16"/>
  <c r="O24" i="16"/>
  <c r="O26" i="16"/>
  <c r="O27" i="16"/>
  <c r="O28" i="16"/>
  <c r="O29" i="16"/>
  <c r="O30" i="16"/>
  <c r="O32" i="16"/>
  <c r="O35" i="16"/>
  <c r="O2" i="16"/>
  <c r="D51" i="16"/>
  <c r="D50" i="16"/>
  <c r="O36" i="16" s="1"/>
  <c r="H37" i="16"/>
  <c r="K22" i="13"/>
  <c r="K21" i="13"/>
  <c r="K20" i="13"/>
  <c r="K18" i="13"/>
  <c r="K17" i="13"/>
  <c r="K16" i="13"/>
  <c r="K15" i="13"/>
  <c r="K14" i="13"/>
  <c r="AM9" i="13"/>
  <c r="AL9" i="13"/>
  <c r="AK9" i="13"/>
  <c r="AJ9" i="13"/>
  <c r="AI9" i="13"/>
  <c r="AH9" i="13"/>
  <c r="AG9" i="13"/>
  <c r="AF9" i="13"/>
  <c r="AE9" i="13"/>
  <c r="K8" i="13"/>
  <c r="Y7" i="13"/>
  <c r="Y6" i="13"/>
  <c r="Y5" i="13"/>
  <c r="Y4" i="13"/>
  <c r="AM8" i="13"/>
  <c r="AM7" i="13"/>
  <c r="AM6" i="13"/>
  <c r="AM5" i="13"/>
  <c r="AM4" i="13"/>
  <c r="Y16" i="13"/>
  <c r="Y15" i="13"/>
  <c r="Y14" i="13"/>
  <c r="O4" i="15"/>
  <c r="O5" i="15"/>
  <c r="O6" i="15"/>
  <c r="O8" i="15"/>
  <c r="O9" i="15"/>
  <c r="O10" i="15"/>
  <c r="O12" i="15"/>
  <c r="O13" i="15"/>
  <c r="O14" i="15"/>
  <c r="O16" i="15"/>
  <c r="O2" i="15"/>
  <c r="D50" i="15"/>
  <c r="D49" i="15"/>
  <c r="O3" i="15" s="1"/>
  <c r="O3" i="1"/>
  <c r="O7" i="1"/>
  <c r="O8" i="1"/>
  <c r="O9" i="1"/>
  <c r="O11" i="1"/>
  <c r="O12" i="1"/>
  <c r="O13" i="1"/>
  <c r="O15" i="1"/>
  <c r="O18" i="1"/>
  <c r="O19" i="1"/>
  <c r="O21" i="1"/>
  <c r="O23" i="1"/>
  <c r="O24" i="1"/>
  <c r="O25" i="1"/>
  <c r="O26" i="1"/>
  <c r="O29" i="1"/>
  <c r="O30" i="1"/>
  <c r="D50" i="1"/>
  <c r="D49" i="1"/>
  <c r="J20" i="13"/>
  <c r="J21" i="13"/>
  <c r="J22" i="13"/>
  <c r="I20" i="13"/>
  <c r="I21" i="13"/>
  <c r="I22" i="13"/>
  <c r="H20" i="13"/>
  <c r="H21" i="13"/>
  <c r="H22" i="13"/>
  <c r="G20" i="13"/>
  <c r="G21" i="13"/>
  <c r="G22" i="13"/>
  <c r="F20" i="13"/>
  <c r="F21" i="13"/>
  <c r="F22" i="13"/>
  <c r="E20" i="13"/>
  <c r="E21" i="13"/>
  <c r="E22" i="13"/>
  <c r="D20" i="13"/>
  <c r="D21" i="13"/>
  <c r="D22" i="13"/>
  <c r="C20" i="13"/>
  <c r="C21" i="13"/>
  <c r="C22" i="13"/>
  <c r="J14" i="13"/>
  <c r="J15" i="13"/>
  <c r="J16" i="13"/>
  <c r="J17" i="13"/>
  <c r="J18" i="13"/>
  <c r="I14" i="13"/>
  <c r="I15" i="13"/>
  <c r="I16" i="13"/>
  <c r="I17" i="13"/>
  <c r="I18" i="13"/>
  <c r="H14" i="13"/>
  <c r="H15" i="13"/>
  <c r="H16" i="13"/>
  <c r="H17" i="13"/>
  <c r="H18" i="13"/>
  <c r="G14" i="13"/>
  <c r="G15" i="13"/>
  <c r="G16" i="13"/>
  <c r="G17" i="13"/>
  <c r="G18" i="13"/>
  <c r="F14" i="13"/>
  <c r="F15" i="13"/>
  <c r="F16" i="13"/>
  <c r="F17" i="13"/>
  <c r="F18" i="13"/>
  <c r="E14" i="13"/>
  <c r="E15" i="13"/>
  <c r="E16" i="13"/>
  <c r="E17" i="13"/>
  <c r="E18" i="13"/>
  <c r="D14" i="13"/>
  <c r="D15" i="13"/>
  <c r="D16" i="13"/>
  <c r="D17" i="13"/>
  <c r="D18" i="13"/>
  <c r="AL4" i="13"/>
  <c r="AL5" i="13"/>
  <c r="AL6" i="13"/>
  <c r="AL7" i="13"/>
  <c r="AL8" i="13"/>
  <c r="X14" i="13"/>
  <c r="X15" i="13"/>
  <c r="X16" i="13"/>
  <c r="X4" i="13"/>
  <c r="X5" i="13"/>
  <c r="X6" i="13"/>
  <c r="X7" i="13"/>
  <c r="O3" i="11"/>
  <c r="O7" i="11"/>
  <c r="O9" i="11"/>
  <c r="O11" i="11"/>
  <c r="O13" i="11"/>
  <c r="O15" i="11"/>
  <c r="O16" i="11"/>
  <c r="O17" i="11"/>
  <c r="O18" i="11"/>
  <c r="O19" i="11"/>
  <c r="O22" i="11"/>
  <c r="O23" i="11"/>
  <c r="H14" i="11"/>
  <c r="W14" i="13"/>
  <c r="W15" i="13"/>
  <c r="W16" i="13"/>
  <c r="V14" i="13"/>
  <c r="V15" i="13"/>
  <c r="V16" i="13"/>
  <c r="U14" i="13"/>
  <c r="U15" i="13"/>
  <c r="U16" i="13"/>
  <c r="T14" i="13"/>
  <c r="T15" i="13"/>
  <c r="T16" i="13"/>
  <c r="S14" i="13"/>
  <c r="S15" i="13"/>
  <c r="S16" i="13"/>
  <c r="R14" i="13"/>
  <c r="R15" i="13"/>
  <c r="R16" i="13"/>
  <c r="Q16" i="13"/>
  <c r="Q15" i="13"/>
  <c r="Q14" i="13"/>
  <c r="C18" i="13"/>
  <c r="C14" i="13"/>
  <c r="C15" i="13"/>
  <c r="C17" i="13"/>
  <c r="C16" i="13"/>
  <c r="AK4" i="13"/>
  <c r="AK5" i="13"/>
  <c r="AK6" i="13"/>
  <c r="AK7" i="13"/>
  <c r="AK8" i="13"/>
  <c r="AJ4" i="13"/>
  <c r="AJ5" i="13"/>
  <c r="AJ6" i="13"/>
  <c r="AJ7" i="13"/>
  <c r="AJ8" i="13"/>
  <c r="AI4" i="13"/>
  <c r="AI5" i="13"/>
  <c r="AI6" i="13"/>
  <c r="AI7" i="13"/>
  <c r="AI8" i="13"/>
  <c r="AH4" i="13"/>
  <c r="AH5" i="13"/>
  <c r="AH6" i="13"/>
  <c r="AH7" i="13"/>
  <c r="AH8" i="13"/>
  <c r="AG4" i="13"/>
  <c r="AG5" i="13"/>
  <c r="AG6" i="13"/>
  <c r="AG7" i="13"/>
  <c r="AG8" i="13"/>
  <c r="AF4" i="13"/>
  <c r="AF5" i="13"/>
  <c r="AF6" i="13"/>
  <c r="AF7" i="13"/>
  <c r="AF8" i="13"/>
  <c r="AE8" i="13"/>
  <c r="AE4" i="13"/>
  <c r="AE7" i="13"/>
  <c r="AE6" i="13"/>
  <c r="AE5" i="13"/>
  <c r="C4" i="13"/>
  <c r="O18" i="6"/>
  <c r="W4" i="13"/>
  <c r="W5" i="13"/>
  <c r="W6" i="13"/>
  <c r="W7" i="13"/>
  <c r="V4" i="13"/>
  <c r="V5" i="13"/>
  <c r="V6" i="13"/>
  <c r="V7" i="13"/>
  <c r="U4" i="13"/>
  <c r="U5" i="13"/>
  <c r="U6" i="13"/>
  <c r="U7" i="13"/>
  <c r="T4" i="13"/>
  <c r="T5" i="13"/>
  <c r="T6" i="13"/>
  <c r="T7" i="13"/>
  <c r="S4" i="13"/>
  <c r="S5" i="13"/>
  <c r="S6" i="13"/>
  <c r="S7" i="13"/>
  <c r="R7" i="13"/>
  <c r="R4" i="13"/>
  <c r="R5" i="13"/>
  <c r="R6" i="13"/>
  <c r="Q7" i="13"/>
  <c r="Q6" i="13"/>
  <c r="Q5" i="13"/>
  <c r="Q4" i="13"/>
  <c r="H17" i="8"/>
  <c r="C8" i="13"/>
  <c r="G8" i="13"/>
  <c r="F8" i="13"/>
  <c r="E8" i="13"/>
  <c r="D8" i="13"/>
  <c r="O3" i="5"/>
  <c r="O5" i="5"/>
  <c r="O6" i="5"/>
  <c r="O7" i="5"/>
  <c r="O8" i="5"/>
  <c r="O10" i="5"/>
  <c r="O11" i="5"/>
  <c r="O12" i="5"/>
  <c r="O15" i="5"/>
  <c r="O16" i="5"/>
  <c r="O17" i="5"/>
  <c r="O19" i="5"/>
  <c r="O20" i="5"/>
  <c r="O21" i="5"/>
  <c r="O22" i="5"/>
  <c r="O23" i="5"/>
  <c r="O25" i="5"/>
  <c r="O26" i="5"/>
  <c r="O27" i="5"/>
  <c r="O28" i="5"/>
  <c r="O29" i="5"/>
  <c r="O30" i="5"/>
  <c r="O31" i="5"/>
  <c r="O32" i="5"/>
  <c r="O33" i="5"/>
  <c r="O34" i="5"/>
  <c r="O35" i="5"/>
  <c r="O36" i="5"/>
  <c r="O38" i="5"/>
  <c r="O40" i="5"/>
  <c r="O41" i="5"/>
  <c r="O44" i="5"/>
  <c r="O3" i="6"/>
  <c r="O4" i="6"/>
  <c r="O7" i="6"/>
  <c r="O9" i="6"/>
  <c r="O10" i="6"/>
  <c r="O11" i="6"/>
  <c r="O12" i="6"/>
  <c r="O13" i="6"/>
  <c r="O14" i="6"/>
  <c r="O16" i="6"/>
  <c r="O17" i="6"/>
  <c r="O19" i="6"/>
  <c r="O20" i="6"/>
  <c r="O21" i="6"/>
  <c r="O22" i="6"/>
  <c r="O23" i="6"/>
  <c r="O24" i="6"/>
  <c r="O26" i="6"/>
  <c r="O28" i="6"/>
  <c r="O30" i="6"/>
  <c r="O3" i="7"/>
  <c r="O4" i="7"/>
  <c r="O5" i="7"/>
  <c r="O6" i="7"/>
  <c r="O7" i="7"/>
  <c r="O10" i="7"/>
  <c r="O12" i="7"/>
  <c r="O13" i="7"/>
  <c r="O14" i="7"/>
  <c r="O16" i="7"/>
  <c r="O17" i="7"/>
  <c r="O21" i="7"/>
  <c r="O22" i="7"/>
  <c r="O24" i="7"/>
  <c r="O26" i="7"/>
  <c r="O27" i="7"/>
  <c r="O28" i="7"/>
  <c r="O30" i="7"/>
  <c r="O31" i="7"/>
  <c r="O33" i="7"/>
  <c r="O34" i="7"/>
  <c r="O35" i="7"/>
  <c r="O37" i="7"/>
  <c r="O39" i="7"/>
  <c r="O40" i="7"/>
  <c r="O41" i="7"/>
  <c r="O42" i="7"/>
  <c r="O43" i="7"/>
  <c r="O44" i="7"/>
  <c r="O45" i="7"/>
  <c r="O4" i="8"/>
  <c r="O6" i="8"/>
  <c r="O9" i="8"/>
  <c r="O10" i="8"/>
  <c r="O12" i="8"/>
  <c r="O13" i="8"/>
  <c r="O14" i="8"/>
  <c r="O15" i="8"/>
  <c r="O16" i="8"/>
  <c r="O2" i="6"/>
  <c r="O2" i="5"/>
  <c r="O6" i="3"/>
  <c r="O7" i="3"/>
  <c r="O8" i="3"/>
  <c r="O9" i="3"/>
  <c r="O11" i="3"/>
  <c r="O12" i="3"/>
  <c r="O13" i="3"/>
  <c r="O16" i="3"/>
  <c r="O17" i="3"/>
  <c r="O18" i="3"/>
  <c r="O19" i="3"/>
  <c r="O22" i="3"/>
  <c r="O25" i="3"/>
  <c r="O26" i="3"/>
  <c r="O27" i="3"/>
  <c r="O28" i="3"/>
  <c r="O30" i="3"/>
  <c r="O31" i="3"/>
  <c r="O34" i="3"/>
  <c r="O35" i="3"/>
  <c r="O36" i="3"/>
  <c r="O38" i="3"/>
  <c r="O39" i="3"/>
  <c r="O41" i="3"/>
  <c r="O4" i="2"/>
  <c r="O5" i="2"/>
  <c r="O6" i="2"/>
  <c r="O8" i="2"/>
  <c r="O9" i="2"/>
  <c r="O11" i="2"/>
  <c r="O12" i="2"/>
  <c r="O15" i="2"/>
  <c r="O16" i="2"/>
  <c r="O17" i="2"/>
  <c r="O19" i="2"/>
  <c r="O20" i="2"/>
  <c r="O22" i="2"/>
  <c r="O27" i="2"/>
  <c r="D50" i="2"/>
  <c r="D49" i="2"/>
  <c r="O24" i="2" s="1"/>
  <c r="O2" i="2"/>
  <c r="D50" i="11"/>
  <c r="D49" i="11"/>
  <c r="O4" i="11" s="1"/>
  <c r="D50" i="8"/>
  <c r="D49" i="8"/>
  <c r="D50" i="7"/>
  <c r="D49" i="7"/>
  <c r="O11" i="7" s="1"/>
  <c r="D50" i="6"/>
  <c r="D49" i="6"/>
  <c r="O5" i="1" s="1"/>
  <c r="O2" i="1"/>
  <c r="D50" i="5"/>
  <c r="D49" i="5"/>
  <c r="O24" i="5" s="1"/>
  <c r="D50" i="3"/>
  <c r="D49" i="3"/>
  <c r="O4" i="3" s="1"/>
  <c r="I4" i="13"/>
  <c r="H4" i="13"/>
  <c r="G4" i="13"/>
  <c r="F4" i="13"/>
  <c r="E4" i="13"/>
  <c r="D4" i="13"/>
  <c r="H5" i="8"/>
  <c r="O5" i="8" s="1"/>
  <c r="H36" i="7"/>
  <c r="H8" i="13" s="1"/>
  <c r="O15" i="19"/>
  <c r="O34" i="19" l="1"/>
  <c r="O42" i="18"/>
  <c r="O6" i="6"/>
  <c r="O27" i="6"/>
  <c r="O21" i="16"/>
  <c r="O25" i="16"/>
  <c r="O31" i="16"/>
  <c r="O50" i="18"/>
  <c r="O51" i="18"/>
  <c r="U8" i="13"/>
  <c r="O8" i="6"/>
  <c r="M8" i="13"/>
  <c r="O29" i="6"/>
  <c r="O17" i="8"/>
  <c r="O46" i="18"/>
  <c r="O21" i="18"/>
  <c r="O5" i="16"/>
  <c r="O43" i="17"/>
  <c r="AB8" i="13"/>
  <c r="O31" i="17"/>
  <c r="O33" i="16"/>
  <c r="Z8" i="13"/>
  <c r="O48" i="18"/>
  <c r="C19" i="13"/>
  <c r="K19" i="13"/>
  <c r="O37" i="16"/>
  <c r="O12" i="16"/>
  <c r="O38" i="16"/>
  <c r="AA8" i="13"/>
  <c r="X8" i="13"/>
  <c r="V8" i="13"/>
  <c r="O9" i="16"/>
  <c r="O16" i="16"/>
  <c r="S8" i="13"/>
  <c r="D19" i="13"/>
  <c r="F19" i="13"/>
  <c r="O5" i="6"/>
  <c r="O11" i="8"/>
  <c r="R8" i="13"/>
  <c r="O17" i="16"/>
  <c r="O34" i="16"/>
  <c r="G19" i="13"/>
  <c r="O15" i="6"/>
  <c r="O32" i="7"/>
  <c r="O8" i="7"/>
  <c r="H19" i="13"/>
  <c r="O2" i="8"/>
  <c r="O20" i="7"/>
  <c r="O19" i="16"/>
  <c r="O3" i="18"/>
  <c r="O11" i="17"/>
  <c r="O25" i="17"/>
  <c r="O7" i="8"/>
  <c r="O28" i="1"/>
  <c r="N19" i="13"/>
  <c r="E19" i="13"/>
  <c r="I19" i="13"/>
  <c r="O25" i="6"/>
  <c r="O13" i="5"/>
  <c r="O21" i="3"/>
  <c r="O18" i="7"/>
  <c r="T8" i="13"/>
  <c r="J19" i="13"/>
  <c r="O32" i="1"/>
  <c r="O16" i="1"/>
  <c r="O4" i="1"/>
  <c r="O26" i="17"/>
  <c r="O44" i="17"/>
  <c r="M19" i="13"/>
  <c r="O20" i="1"/>
  <c r="Y8" i="13"/>
  <c r="L19" i="13"/>
  <c r="O9" i="17"/>
  <c r="O14" i="17"/>
  <c r="O19" i="17"/>
  <c r="O23" i="17"/>
  <c r="O27" i="17"/>
  <c r="O46" i="17"/>
  <c r="O29" i="3"/>
  <c r="O15" i="3"/>
  <c r="O5" i="3"/>
  <c r="O37" i="3"/>
  <c r="O33" i="3"/>
  <c r="O23" i="3"/>
  <c r="O3" i="3"/>
  <c r="O8" i="8"/>
  <c r="O3" i="8"/>
  <c r="Q8" i="13"/>
  <c r="W8" i="13"/>
  <c r="O14" i="11"/>
  <c r="L8" i="13"/>
  <c r="O10" i="17"/>
  <c r="O15" i="17"/>
  <c r="O54" i="18"/>
  <c r="I8" i="13"/>
  <c r="O37" i="5"/>
  <c r="O26" i="2"/>
  <c r="O18" i="2"/>
  <c r="O14" i="2"/>
  <c r="O10" i="2"/>
  <c r="O2" i="3"/>
  <c r="O14" i="3"/>
  <c r="O10" i="3"/>
  <c r="O38" i="7"/>
  <c r="O29" i="7"/>
  <c r="O25" i="7"/>
  <c r="O9" i="7"/>
  <c r="O43" i="5"/>
  <c r="O39" i="5"/>
  <c r="O18" i="5"/>
  <c r="J8" i="13"/>
  <c r="O2" i="11"/>
  <c r="O20" i="11"/>
  <c r="O31" i="1"/>
  <c r="O27" i="1"/>
  <c r="O15" i="15"/>
  <c r="O11" i="15"/>
  <c r="O7" i="15"/>
  <c r="N8" i="13"/>
  <c r="O13" i="18"/>
  <c r="O10" i="11"/>
  <c r="O6" i="11"/>
  <c r="O22" i="1"/>
  <c r="O14" i="1"/>
  <c r="O10" i="1"/>
  <c r="O6" i="1"/>
  <c r="O4" i="17"/>
  <c r="O12" i="17"/>
  <c r="O9" i="18"/>
  <c r="O5" i="18"/>
  <c r="O17" i="19"/>
  <c r="O25" i="19"/>
  <c r="O23" i="2"/>
  <c r="O7" i="2"/>
  <c r="O3" i="2"/>
  <c r="O4" i="5"/>
  <c r="O29" i="2"/>
  <c r="O25" i="2"/>
  <c r="O21" i="2"/>
  <c r="O13" i="2"/>
  <c r="O42" i="5"/>
  <c r="O36" i="7"/>
  <c r="O9" i="5"/>
  <c r="O14" i="5"/>
  <c r="O28" i="2"/>
  <c r="O40" i="3"/>
  <c r="O32" i="3"/>
  <c r="O24" i="3"/>
  <c r="O20" i="3"/>
  <c r="O2" i="7"/>
  <c r="O23" i="7"/>
  <c r="O19" i="7"/>
  <c r="O15" i="7"/>
  <c r="O5" i="11"/>
  <c r="O17" i="1"/>
  <c r="O32" i="18"/>
  <c r="O21" i="11"/>
  <c r="O12" i="11"/>
  <c r="O8" i="11"/>
  <c r="G5" i="13" l="1"/>
  <c r="G6" i="13"/>
  <c r="L5" i="13"/>
  <c r="I6" i="13"/>
  <c r="L6" i="13"/>
  <c r="M6" i="13"/>
  <c r="N6" i="13"/>
  <c r="C5" i="13"/>
  <c r="K6" i="13"/>
  <c r="I5" i="13"/>
  <c r="C6" i="13"/>
  <c r="H5" i="13"/>
  <c r="H6" i="13"/>
  <c r="K5" i="13"/>
  <c r="E5" i="13"/>
  <c r="E6" i="13"/>
  <c r="N5" i="13"/>
  <c r="M5" i="13"/>
  <c r="D5" i="13"/>
  <c r="D6" i="13"/>
  <c r="F5" i="13"/>
  <c r="F6" i="13"/>
  <c r="J5" i="13"/>
  <c r="J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Mamadou Bobo BARRY[OGC DRSI/DSMC/SS]</author>
    <author>Aguibou DIALLO[OGC DRSI/DSMC/SS]</author>
  </authors>
  <commentList>
    <comment ref="C7" authorId="0" shapeId="0" xr:uid="{00000000-0006-0000-0200-000001000000}">
      <text>
        <r>
          <rPr>
            <sz val="9"/>
            <color indexed="81"/>
            <rFont val="Tahoma"/>
            <family val="2"/>
          </rPr>
          <t>1801Z71927
1801Z70090
1801D03325
1801D89629
1801E06992</t>
        </r>
      </text>
    </comment>
    <comment ref="D7" authorId="0" shapeId="0" xr:uid="{00000000-0006-0000-0200-000002000000}">
      <text>
        <r>
          <rPr>
            <sz val="9"/>
            <color indexed="81"/>
            <rFont val="Tahoma"/>
            <family val="2"/>
          </rPr>
          <t>1802K54266</t>
        </r>
      </text>
    </comment>
    <comment ref="E7" authorId="0" shapeId="0" xr:uid="{00000000-0006-0000-0200-000003000000}">
      <text>
        <r>
          <rPr>
            <sz val="9"/>
            <color indexed="81"/>
            <rFont val="Tahoma"/>
            <family val="2"/>
          </rPr>
          <t>1803N37701
1803S37928
1803T57219</t>
        </r>
      </text>
    </comment>
    <comment ref="F7" authorId="1" shapeId="0" xr:uid="{00000000-0006-0000-0200-000004000000}">
      <text>
        <r>
          <rPr>
            <sz val="9"/>
            <color indexed="81"/>
            <rFont val="Tahoma"/>
            <family val="2"/>
          </rPr>
          <t>TP non autorisé sur 
1804X20624/P1, Consultation solde data</t>
        </r>
      </text>
    </comment>
    <comment ref="H7" authorId="0" shapeId="0" xr:uid="{00000000-0006-0000-0200-000005000000}">
      <text>
        <r>
          <rPr>
            <b/>
            <sz val="9"/>
            <color indexed="81"/>
            <rFont val="Tahoma"/>
            <family val="2"/>
          </rPr>
          <t>Nomad 1806J71580</t>
        </r>
      </text>
    </comment>
    <comment ref="K7" authorId="0" shapeId="0" xr:uid="{00000000-0006-0000-0200-000006000000}">
      <text>
        <r>
          <rPr>
            <b/>
            <sz val="9"/>
            <color indexed="81"/>
            <rFont val="Tahoma"/>
            <family val="2"/>
          </rPr>
          <t>Simplissimo 1809G91082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Mamadou Bobo BARRY[OGC DRSI/DSMC/SS]</author>
  </authors>
  <commentList>
    <comment ref="I7" authorId="0" shapeId="0" xr:uid="{00000000-0006-0000-0300-000001000000}">
      <text>
        <r>
          <rPr>
            <b/>
            <sz val="9"/>
            <color indexed="81"/>
            <rFont val="Tahoma"/>
            <family val="2"/>
          </rPr>
          <t>Compte rendu de la réunion Revue des chaines de soutien_OGN S2 2018 (GOS) 3/10</t>
        </r>
      </text>
    </comment>
    <comment ref="R7" authorId="0" shapeId="0" xr:uid="{00000000-0006-0000-0300-000002000000}">
      <text>
        <r>
          <rPr>
            <b/>
            <sz val="9"/>
            <color indexed="81"/>
            <rFont val="Tahoma"/>
            <family val="2"/>
          </rPr>
          <t>tests d’acceptances du SMS CONTROL</t>
        </r>
      </text>
    </comment>
  </commentList>
</comments>
</file>

<file path=xl/sharedStrings.xml><?xml version="1.0" encoding="utf-8"?>
<sst xmlns="http://schemas.openxmlformats.org/spreadsheetml/2006/main" count="14491" uniqueCount="3827">
  <si>
    <t>N°</t>
  </si>
  <si>
    <t>1801X31657</t>
  </si>
  <si>
    <t>P1</t>
  </si>
  <si>
    <t>Echecs de 60% des transactions E-recharge, consultation solde crédit et Data</t>
  </si>
  <si>
    <t>Redémarrage de plusieurs OCPRO sur le OCS6</t>
  </si>
  <si>
    <t>Switching de l'OCS6 vers l'OCS5</t>
  </si>
  <si>
    <t>1801X71667</t>
  </si>
  <si>
    <t>MyOrange / OBeta</t>
  </si>
  <si>
    <t xml:space="preserve">MyOrange  </t>
  </si>
  <si>
    <t>Crash du pare-feu physique</t>
  </si>
  <si>
    <t>Remplacement du pare-feu physique</t>
  </si>
  <si>
    <t>1801X71882</t>
  </si>
  <si>
    <t xml:space="preserve">AppsOrange </t>
  </si>
  <si>
    <t>1801X71866</t>
  </si>
  <si>
    <t>P2</t>
  </si>
  <si>
    <t>Orange Money add-on /  Web Payment</t>
  </si>
  <si>
    <t>1801Y04958</t>
  </si>
  <si>
    <t xml:space="preserve">Orange Money add-on / Bank to Wallet / Ecobank </t>
  </si>
  <si>
    <t>Orange Money add-on / Bank to Wallet /  Ecobank</t>
  </si>
  <si>
    <t>Perte de connexion avec le partenaire Ecobank</t>
  </si>
  <si>
    <t>Inconnue</t>
  </si>
  <si>
    <t>1801Y34694</t>
  </si>
  <si>
    <t xml:space="preserve">Indisponibilité des chaines West-Africa, Boom TV, 2STV, RTG </t>
  </si>
  <si>
    <t>le dongle satellite était down</t>
  </si>
  <si>
    <t>Reset du dongle</t>
  </si>
  <si>
    <t>1801Z31688</t>
  </si>
  <si>
    <t>1801Z34552</t>
  </si>
  <si>
    <t>FFC</t>
  </si>
  <si>
    <t>FootBall Fans CluB (*191#)</t>
  </si>
  <si>
    <t>Plantage du processus frontal USSD</t>
  </si>
  <si>
    <t>Redémarrage du processus frontal USSD</t>
  </si>
  <si>
    <t>1801Z70090</t>
  </si>
  <si>
    <t xml:space="preserve">MyOrange / Orange Beta </t>
  </si>
  <si>
    <t>MyOrange</t>
  </si>
  <si>
    <t>indisponibilité du WT pour certaines des filiales due à des mauvaises configurations lors d'une opération</t>
  </si>
  <si>
    <t xml:space="preserve">Correction manuelle du problème de configuration du côté WT.COM </t>
  </si>
  <si>
    <t>1801Z71927</t>
  </si>
  <si>
    <t>Opération planifiée(impact non prévu)</t>
  </si>
  <si>
    <t>Roll back</t>
  </si>
  <si>
    <t>1801A10964</t>
  </si>
  <si>
    <t>Orange Money</t>
  </si>
  <si>
    <t>Impossibilité d'effectuer des transactions pendant un intervalle d'environ 6 minutes</t>
  </si>
  <si>
    <t>aucune</t>
  </si>
  <si>
    <t>1801A25215</t>
  </si>
  <si>
    <t>Nomad</t>
  </si>
  <si>
    <t>Indisponibilité à la page Nomad</t>
  </si>
  <si>
    <t>Saturation du répertoire /opt/application/nomadsubscription</t>
  </si>
  <si>
    <t>Purge du répertoire</t>
  </si>
  <si>
    <t>1801A51399</t>
  </si>
  <si>
    <t>NOMAD</t>
  </si>
  <si>
    <t>Impossible d’accéder à la page web de l’application.</t>
  </si>
  <si>
    <t>Problème de capacité avec l'appli</t>
  </si>
  <si>
    <t>Purge</t>
  </si>
  <si>
    <t>1801B11355</t>
  </si>
  <si>
    <t>VOIX</t>
  </si>
  <si>
    <t>Mauvaise configuration des adresses IP sur le Firewall de Orange Sierra Leone</t>
  </si>
  <si>
    <t>Reconfiguration des adresses IP</t>
  </si>
  <si>
    <t>Gameloft</t>
  </si>
  <si>
    <t>--- </t>
  </si>
  <si>
    <t>Investigation en cours</t>
  </si>
  <si>
    <t>1801B80275</t>
  </si>
  <si>
    <t>Impossible de faire des transactions bancaire via OM</t>
  </si>
  <si>
    <t>1801B80417</t>
  </si>
  <si>
    <t>FSM MUTUALISEE</t>
  </si>
  <si>
    <t>Perte de suivi des points de vent</t>
  </si>
  <si>
    <t>Beaucoup des process httpd étaient lancé</t>
  </si>
  <si>
    <t>Suppression des process et relance de l'application</t>
  </si>
  <si>
    <t>1801C27875</t>
  </si>
  <si>
    <t>Investigations en cours</t>
  </si>
  <si>
    <t>1801C76026</t>
  </si>
  <si>
    <t>1801D02512</t>
  </si>
  <si>
    <t>1801D03325</t>
  </si>
  <si>
    <t>Roolback</t>
  </si>
  <si>
    <t>1801D16614</t>
  </si>
  <si>
    <t>1801D33036</t>
  </si>
  <si>
    <t>Orange Money add-on / Canal +</t>
  </si>
  <si>
    <t>1801D39207</t>
  </si>
  <si>
    <t>E-Recharge,P2P,P2P via OM</t>
  </si>
  <si>
    <t xml:space="preserve">Surcharge des sessions (à 100%) dans le pare-feu </t>
  </si>
  <si>
    <t>Redémarrage du Pare-feu</t>
  </si>
  <si>
    <t>1801D62736</t>
  </si>
  <si>
    <t>Data mobile</t>
  </si>
  <si>
    <t>Congestion du lien data FT-OTI</t>
  </si>
  <si>
    <t>Basculement du trafic de la SONATEL vers le lien FT-OTI</t>
  </si>
  <si>
    <t>Déplacement d’un bloc d’adresse  de Camayenne vers Sonfonia</t>
  </si>
  <si>
    <t>1801D89629</t>
  </si>
  <si>
    <t>Webtop, Gameloft et MyOrange</t>
  </si>
  <si>
    <t>impossible d'accéder aux services Webtop, Gameloft, MyOrange</t>
  </si>
  <si>
    <t>Retablissement de la connexion</t>
  </si>
  <si>
    <t>ATP (projet d’internalisation des DNS)</t>
  </si>
  <si>
    <t>Migration et déclaration des nouveaux noms de domaines (Installer la zone orange-guinee.com dans les nouveaux serveurs autoritaires)</t>
  </si>
  <si>
    <t>1801E06992</t>
  </si>
  <si>
    <t>Achat de pass pour tiers</t>
  </si>
  <si>
    <t>Achat pass</t>
  </si>
  <si>
    <t>Problème de versionning . Le web service devrai être mise à jour pour intégrer une nouvelle version.Il y a eu quelques bugs</t>
  </si>
  <si>
    <t>Rollback</t>
  </si>
  <si>
    <t>1801E20223</t>
  </si>
  <si>
    <t>Echecs des Transactions</t>
  </si>
  <si>
    <t>Overload des procès UIP (webservice pour rechargement) un ticket L3 est ouvert chez ZTE pour la root cause</t>
  </si>
  <si>
    <t xml:space="preserve">aucune </t>
  </si>
  <si>
    <t>1801E20370</t>
  </si>
  <si>
    <t>Consultation de solde data (*222*5#)</t>
  </si>
  <si>
    <t>Impossible de consulter le solde data avec *222*5*#. Service indisponible</t>
  </si>
  <si>
    <t>1801E68898</t>
  </si>
  <si>
    <t>Bagotement réseau sur l'environnement virtuel de Sonfonia</t>
  </si>
  <si>
    <t>Aucune</t>
  </si>
  <si>
    <t>1802F56763</t>
  </si>
  <si>
    <t>Gameloft, Myorange, CMS, SMS_API, OTAP, MegaWin</t>
  </si>
  <si>
    <t>instabilité/indisponibilité Gameloft, Myorange, CMS, SMS_API, OTAP, MegaWin</t>
  </si>
  <si>
    <t>Hausse de charge CPU a été observé sur la VM opsdpgosumscl02</t>
  </si>
  <si>
    <t xml:space="preserve">Déplacement de la VM  vers une autre LAME et redémarrage </t>
  </si>
  <si>
    <t>1802F67855</t>
  </si>
  <si>
    <t>Roaming data</t>
  </si>
  <si>
    <t>Probable dysfonctionnement du service data Roaming</t>
  </si>
  <si>
    <t>Indisponibilité du Serveur eDNS de sonfonia</t>
  </si>
  <si>
    <t>Redémarrage du Serveur</t>
  </si>
  <si>
    <t>1802G21518</t>
  </si>
  <si>
    <t>Webtop</t>
  </si>
  <si>
    <t>Indisponibilité de la page Webtop</t>
  </si>
  <si>
    <t>1802G53210</t>
  </si>
  <si>
    <t>Impossible d'effectuer des transactions bancaires via OM</t>
  </si>
  <si>
    <t>1802G55044</t>
  </si>
  <si>
    <t>Otap</t>
  </si>
  <si>
    <t>Non détection de nouveaux abonnés et non envoie des settings</t>
  </si>
  <si>
    <t>Arrêt du serveur de transfert de fichier (Axway)</t>
  </si>
  <si>
    <t>Redemarage du serveur Axway</t>
  </si>
  <si>
    <t>1802G59297</t>
  </si>
  <si>
    <t>MyOrange, megawin, agrobusiness, facebook ussd, otap, gameloft, cms, smsapi</t>
  </si>
  <si>
    <t>Dégradations des services au-dessus du SDP</t>
  </si>
  <si>
    <t>Instabilité sur la machine virtuelle(VM) du module ESB NUMERO 3 du SDP</t>
  </si>
  <si>
    <t>Migration de la VM ‘’opsdpgosesbcl03’’ d’un ESXi à un autre moins sollicité et changement du DataStore</t>
  </si>
  <si>
    <t>1802G83087</t>
  </si>
  <si>
    <t>Facebook_USSD</t>
  </si>
  <si>
    <t>Impossibilité pour les clients de souscrire au service</t>
  </si>
  <si>
    <t>Surcharge de capacité au niveau du gestionnaire de souscriptions</t>
  </si>
  <si>
    <t>Augmentation de la capacité du gestionnaire de souscriptions</t>
  </si>
  <si>
    <t>1802H38701</t>
  </si>
  <si>
    <t>1802H67539</t>
  </si>
  <si>
    <t>E-recharge</t>
  </si>
  <si>
    <t>Echec élevé des transactions E-recharge/IN (20%)</t>
  </si>
  <si>
    <t>seuil de connexion petit par rapport à la demande</t>
  </si>
  <si>
    <t>Aucune action faite</t>
  </si>
  <si>
    <t>1802H67849</t>
  </si>
  <si>
    <t>Impossibilité de consulté son solde data via le code USSD *222*5#</t>
  </si>
  <si>
    <t>1802I61948</t>
  </si>
  <si>
    <t>Indisponibilité de tous les services Orange Money</t>
  </si>
  <si>
    <t>1802I71797</t>
  </si>
  <si>
    <t>OTAP</t>
  </si>
  <si>
    <t>Impossible d’envoyer des messages de configuration aux abonnés</t>
  </si>
  <si>
    <t>1802I88951</t>
  </si>
  <si>
    <t>Data Mobile</t>
  </si>
  <si>
    <t>Dégradation de la Data Mobile pour certains abonnés dû à la congestion anormale de la sortie internet vers FT</t>
  </si>
  <si>
    <t>congestion du lien internet STM16 FT via abidjan</t>
  </si>
  <si>
    <t>equilibrage manuel de charge par le deplacment de certains blocs d'adresse de camayenne vers sonfonia</t>
  </si>
  <si>
    <t>1802I86326</t>
  </si>
  <si>
    <t>1802J05664</t>
  </si>
  <si>
    <t>Plantage du serveur glassfish</t>
  </si>
  <si>
    <t xml:space="preserve">1802J83163 </t>
  </si>
  <si>
    <t>P3</t>
  </si>
  <si>
    <t>En cours</t>
  </si>
  <si>
    <t>En attente</t>
  </si>
  <si>
    <t>1802J87705</t>
  </si>
  <si>
    <t>Otap, Gameloft, Cms, Myorange, Sms_api, Megawin, Agrobusiness</t>
  </si>
  <si>
    <t>Dégradation des services au-dessus du SDP</t>
  </si>
  <si>
    <t>Lenteurs observées sur certaines Vms</t>
  </si>
  <si>
    <t>Redémarrage de l’UMPSCP03</t>
  </si>
  <si>
    <t>1802K08047</t>
  </si>
  <si>
    <t>internet(mobile et B2B)</t>
  </si>
  <si>
    <t>conflits d’adresses et des erreurs mstp. les ports LAC vers leur FW qui gèrent le DNS sont DOWN. le DNS était injoignable. Les Interco des deux DMZ vers le backbone également down. En attente de la root cause</t>
  </si>
  <si>
    <t>Sites remontés à la suite du redémarrage des Switchs de Sonfonia et de Camayenne par l'équipe ASBD</t>
  </si>
  <si>
    <t>1802K42798</t>
  </si>
  <si>
    <t>Gameloft, Cms, Myorange, Sms_api, Megawin, Agrobusiness</t>
  </si>
  <si>
    <t>Dégradation des services au-dessus du sdp</t>
  </si>
  <si>
    <t>plantage de la machine Virtuelle AGWCENTER</t>
  </si>
  <si>
    <t>Redémarrage de l’AGWCENTER</t>
  </si>
  <si>
    <t>1802K47075</t>
  </si>
  <si>
    <t>1802K54266</t>
  </si>
  <si>
    <t>Agrobusiness</t>
  </si>
  <si>
    <t>Le service était bloqué par PSIVAS suite a la demande du marketing</t>
  </si>
  <si>
    <t>Réouverture du code</t>
  </si>
  <si>
    <t>Lenteur sur Nomad</t>
  </si>
  <si>
    <t>indisponobilité gameloft via USSD *111*6#</t>
  </si>
  <si>
    <t>1802K85668</t>
  </si>
  <si>
    <t>1802L05723</t>
  </si>
  <si>
    <t>SIMPLISSIMO</t>
  </si>
  <si>
    <t>Provisionning SIMPLISSIMO</t>
  </si>
  <si>
    <t xml:space="preserve">creation d'un code action incoherent dans le cadre du deploiement de Nomad </t>
  </si>
  <si>
    <t>modification du code action pour corriger l'incoherence</t>
  </si>
  <si>
    <t>1802L22697</t>
  </si>
  <si>
    <t>MyOrange/EDEN</t>
  </si>
  <si>
    <t>Echec de 50% des opérations de consultation son solde via l’application Orange et moi</t>
  </si>
  <si>
    <t>Inconnue/ en attente du retour de GOS pour la root cause</t>
  </si>
  <si>
    <t>inconnue</t>
  </si>
  <si>
    <t>1802L67137</t>
  </si>
  <si>
    <t>Control Nomad (la fonctionnalité validation manuelle ne fonctionne pas correctement)</t>
  </si>
  <si>
    <t>Internet LAN, tango, right Q, simplissimo</t>
  </si>
  <si>
    <t>Lenteur Instabilités sur toutes les applications passant par internet Perte de supervision par intermittence via les robots daset   </t>
  </si>
  <si>
    <t>Perte d’un des proxy et l’autre est actuellement surchargé</t>
  </si>
  <si>
    <t>Restauration du proxy</t>
  </si>
  <si>
    <t>1803M11844</t>
  </si>
  <si>
    <t>indisponibilté OTAP, report avantage</t>
  </si>
  <si>
    <t>Plantage du RabbitMQ dû à une partition pleine sur le /var du serveur ADC</t>
  </si>
  <si>
    <t>Redémarrage du RabbitMQ</t>
  </si>
  <si>
    <t>1803M17585</t>
  </si>
  <si>
    <t>Lenteur sur l'internet</t>
  </si>
  <si>
    <t>Internet via le LAN, Tango, Right Q, KMC,Robot daset, Oceane,</t>
  </si>
  <si>
    <t>1803M27052</t>
  </si>
  <si>
    <t>Kaabu</t>
  </si>
  <si>
    <t>1803M37387</t>
  </si>
  <si>
    <t>Rétablissement de la connexion</t>
  </si>
  <si>
    <t>1803M43264</t>
  </si>
  <si>
    <t>Impossibilité d'effectuer des transactions bancaire via Orange Money</t>
  </si>
  <si>
    <t>retablissement de la connexion avec le partenaire ECOBANK</t>
  </si>
  <si>
    <t>1803M81364</t>
  </si>
  <si>
    <t>Echecs des transactions E-recharge</t>
  </si>
  <si>
    <t>Les sessions du pare-feu (Firewall) IN ZTE 
étaient surchargées, de sorte que les nouvelles attributions de sessions échouaient</t>
  </si>
  <si>
    <t>Redémarrage du firewall et suppression manuelle</t>
  </si>
  <si>
    <t>1803M81797</t>
  </si>
  <si>
    <t>Impossibilité de consulter le solde data via USSD (*222*5#)</t>
  </si>
  <si>
    <t>Redémarrage du serveur</t>
  </si>
  <si>
    <t>1803M82159</t>
  </si>
  <si>
    <t>MyOrange/Orange et Moi</t>
  </si>
  <si>
    <t xml:space="preserve">Echec de 50% des opérations de consultation de solde via l'application </t>
  </si>
  <si>
    <t>meme cause que l'incident N°4. Les sessions du pare-feu
 (Firewall) IN ZTE étaient surchargées, de sorte que les nouvelles attributions de sessions échouaient</t>
  </si>
  <si>
    <t>1803M89735</t>
  </si>
  <si>
    <t>congestion "table size" de la base de donnée</t>
  </si>
  <si>
    <t>extension "table size" de la base de donnée</t>
  </si>
  <si>
    <t>1803O13726</t>
  </si>
  <si>
    <t>CMS</t>
  </si>
  <si>
    <t>Non réception du contenu après souscription (*111# ou 8036) au service</t>
  </si>
  <si>
    <t>Nombre de TPS configuré atteint ce qui a créé une file d’attente</t>
  </si>
  <si>
    <t>1803N17551</t>
  </si>
  <si>
    <t>Impossible de valider les contrats</t>
  </si>
  <si>
    <t>Remplissage de la partition /var du serveur d’application à 100%.</t>
  </si>
  <si>
    <t>1803N23237</t>
  </si>
  <si>
    <t>1803N37701</t>
  </si>
  <si>
    <t>Orange Money add-on / canal +</t>
  </si>
  <si>
    <t>Impossible de renouveler les abonnements canal + via OM</t>
  </si>
  <si>
    <t>suite à une operation standard (sans impact) planifiée par le L3 NSI qui consistait
 à migré un des serveurs proxy du DNS02 d'un environnement virtuel vers un autre
 l'operation planifiée ne drevrait pas avoir d'impact parceque le serveur proxy sur le stnadby DNS01 etait up.</t>
  </si>
  <si>
    <t>le service est retabli suite a la remise en service du DNS02</t>
  </si>
  <si>
    <t>1803N11331</t>
  </si>
  <si>
    <t xml:space="preserve">Orange Money consultation de solde, consultation 5 dernieres transactions, </t>
  </si>
  <si>
    <t>Instabilité sur la réceptions des SMS de notifications après les opérations de cash in / out, consultation de solde et consultation des 5 dernières transactions</t>
  </si>
  <si>
    <t>Echec d’envoi de SMS par la plateforme USSD</t>
  </si>
  <si>
    <t>Redémarrage du SMS proxy de USSD</t>
  </si>
  <si>
    <t>1803N61090</t>
  </si>
  <si>
    <t>1803N80590</t>
  </si>
  <si>
    <t>Internet sur le LAN</t>
  </si>
  <si>
    <t>Lenteur et Instabilité sur toutes les applications passant par internet avec perte de supervision par intermittence via les robots Daset    </t>
  </si>
  <si>
    <t>Perte d’un des proxy et surcharge du second</t>
  </si>
  <si>
    <t>Restauration et remise en service du proxy</t>
  </si>
  <si>
    <t>1803N70217</t>
  </si>
  <si>
    <t>AppsOrange</t>
  </si>
  <si>
    <t>Indisponibilité du backend AppsOrange dû à un crash de la machine physique</t>
  </si>
  <si>
    <t>En attente du Rapport</t>
  </si>
  <si>
    <t>1803N97020</t>
  </si>
  <si>
    <t>Impossible d'accéder à la page gameloft.orange-guinee.com</t>
  </si>
  <si>
    <t>Purge de la partition /var du serveur d’application</t>
  </si>
  <si>
    <t>1803O39022</t>
  </si>
  <si>
    <t>Instabilités OM ( Time-out USSD)</t>
  </si>
  <si>
    <t>1803O26329</t>
  </si>
  <si>
    <t>Internet</t>
  </si>
  <si>
    <t>reconfiguration DNS de Dalein dans le  SGSN de Dalein</t>
  </si>
  <si>
    <t>1803O57154</t>
  </si>
  <si>
    <t>Impossibilité d'effectuer des transactions bancaires via Orange Money</t>
  </si>
  <si>
    <t>1803P07284</t>
  </si>
  <si>
    <t>Impossible d'effectuer des transactions  OM</t>
  </si>
  <si>
    <t>congestion du port Fast ethernet du CE LAN GIN OM</t>
  </si>
  <si>
    <t>configuration d'un nouveau port Gigabit ethernet et migration du flux la dessus</t>
  </si>
  <si>
    <t>1803P56569</t>
  </si>
  <si>
    <t>Instabilité OM ( Times-out USSD, echec/retard envoi SMS )</t>
  </si>
  <si>
    <t>Echec / retard d’envoi de SMS par la plateforme USSD</t>
  </si>
  <si>
    <t>1803P74252</t>
  </si>
  <si>
    <t xml:space="preserve">Voix </t>
  </si>
  <si>
    <t>Difficulté d'effectuer des appels avec l'operateur cellcom</t>
  </si>
  <si>
    <t>degradation du lien FH (niveau RSL) camayenne-CELLCOM suite aux activités d'un rigger qui a legerement deplacé l'antenne</t>
  </si>
  <si>
    <t>réajustement de l’antenne et correction des RSLs.</t>
  </si>
  <si>
    <t>1803P82926</t>
  </si>
  <si>
    <t>Internet sur le LAN, Tango, right Q, DASET</t>
  </si>
  <si>
    <t>Lenteur sur le LAN impactant la Navigation internet, Accès portail Tango, Robot de supervision Daset, Accès aux applications kmc, oceane, etc, ....</t>
  </si>
  <si>
    <t>Perte d’un des proxy à la SONATEL et surchage du second proxy</t>
  </si>
  <si>
    <t>Restauration et mise en service en service du proxy</t>
  </si>
  <si>
    <t>1803P88569</t>
  </si>
  <si>
    <t>investigation en cours avec les equipes Openwatt infrastructure</t>
  </si>
  <si>
    <t>1803P97602</t>
  </si>
  <si>
    <t>1803Q10927</t>
  </si>
  <si>
    <t>Indisponibilité du firewall main de Canal + et le second (standby)n'avait pas le bon parametrage pour prendre le trafic</t>
  </si>
  <si>
    <t>redemarrage du firewall</t>
  </si>
  <si>
    <t>1803Q30811</t>
  </si>
  <si>
    <t>Instabilités des services</t>
  </si>
  <si>
    <t>instabilité reseau  (ticket probleme en cours)</t>
  </si>
  <si>
    <t>1803R13413</t>
  </si>
  <si>
    <t>Lenteur dans la validation et invalidation des contrats</t>
  </si>
  <si>
    <t>1803R94582</t>
  </si>
  <si>
    <t>Uniportal</t>
  </si>
  <si>
    <t>L'application uniportal VC (192.168.155.133:8080/uniportal) indisponible</t>
  </si>
  <si>
    <t>Arrêt du service tomcat</t>
  </si>
  <si>
    <t>Redémarrage du service tomcat</t>
  </si>
  <si>
    <t>1803S36431</t>
  </si>
  <si>
    <t>Report Avantage</t>
  </si>
  <si>
    <t>Impossible de recevoir ses avantages à partir de *118*1#</t>
  </si>
  <si>
    <t>Plantage du Serveur Glass Fish</t>
  </si>
  <si>
    <t>1803S37928</t>
  </si>
  <si>
    <t>Echec Transaction E-recharge</t>
  </si>
  <si>
    <t>Débordement  ATP. Après l'installation du correctif et le redémarrage de l'application, la base de données a cessé de fonctionner</t>
  </si>
  <si>
    <t>Rollback, redémarrage de la Base de données et de certaines instances de la base</t>
  </si>
  <si>
    <t>1803S47670</t>
  </si>
  <si>
    <t>1803S58625</t>
  </si>
  <si>
    <t>Facebook Ussd</t>
  </si>
  <si>
    <t>Impossible d’accéder au menu *444#</t>
  </si>
  <si>
    <t>Espace disque rempli dû à une indisponibilité du processus de nettoyage de l'espace dans le serveur dédié du service de gestion des abonnements</t>
  </si>
  <si>
    <t>Redémarrage du processus</t>
  </si>
  <si>
    <t>1803T04490</t>
  </si>
  <si>
    <t>Impossible d’effectuer des transactions bancaires via OM</t>
  </si>
  <si>
    <t>1803T57219</t>
  </si>
  <si>
    <t>Baisse de trafic sur le lien Dalein-Kédougou</t>
  </si>
  <si>
    <t>Projet Sandvine ( Redémarrage soft des EPG de SONFONIA et Camayenne et le changement opéré dans le paramétrage Radius  desdits PGW et SGW)</t>
  </si>
  <si>
    <t>DNS clear cache dans le SGSN de DALEIN</t>
  </si>
  <si>
    <t>1803T56563</t>
  </si>
  <si>
    <t>Baisse du trafic sur les deux STM16 de la Sonatel</t>
  </si>
  <si>
    <t>1804U07005/1804U07552</t>
  </si>
  <si>
    <t>Echec des transactions E-recharge</t>
  </si>
  <si>
    <t>Problème de disque dur sur L'ocs5</t>
  </si>
  <si>
    <t>Service rétabli sans action / Action éffectué après 
(Basculement du service sur OCS6 et redemarage de OCS5)</t>
  </si>
  <si>
    <t>1804U28648</t>
  </si>
  <si>
    <t>1804U37282</t>
  </si>
  <si>
    <t xml:space="preserve">Orange Money </t>
  </si>
  <si>
    <t>Echecs des requetes push USSD avec le code HTTP 408</t>
  </si>
  <si>
    <t>1804U55095</t>
  </si>
  <si>
    <t>Probleme de connectivité entre le MS et les Cellgate de Myriad</t>
  </si>
  <si>
    <t>1804U63093</t>
  </si>
  <si>
    <t>Indisponibilité Orange infa ( les actions de troubleshooting (redemarrage du firewall) 
ont impactées OM) / Suppression de ports 1-2 et 9-10 dans la mise à jour du vlan 1100 dans le cadre des configurations des nouvelles lames qui est chargé du management du HA</t>
  </si>
  <si>
    <t>Service rétabli après redemarrage du FW / Action éffectué après 
(Correction du vlan 1100 avec ajout des ports 1-2 , 5-10 et 15-16)</t>
  </si>
  <si>
    <t>1804U97805</t>
  </si>
  <si>
    <t>Echec des rechargements via OM (Achat de credit)</t>
  </si>
  <si>
    <t>Non rechargement du compte tango</t>
  </si>
  <si>
    <t>Rechargement du compte tango</t>
  </si>
  <si>
    <t>18004V33104</t>
  </si>
  <si>
    <t>SMS_API</t>
  </si>
  <si>
    <t>Echec d’activation du service</t>
  </si>
  <si>
    <t>1804V44000</t>
  </si>
  <si>
    <t>Impossibilité d'importer des contrats et pieces d'identité</t>
  </si>
  <si>
    <t>1804V63292</t>
  </si>
  <si>
    <t>Indisponibilité Orange Money</t>
  </si>
  <si>
    <t>Problèmes de réseau entre les serveurs USSD et Revers Proxy</t>
  </si>
  <si>
    <t>1804W83161</t>
  </si>
  <si>
    <t>Messagerie electronique</t>
  </si>
  <si>
    <t>Lenteur sur la messagerie</t>
  </si>
  <si>
    <t>Une base exchange ne delivre pas convenablement les mails</t>
  </si>
  <si>
    <t>Synchronisation des bases</t>
  </si>
  <si>
    <t>1804V77306</t>
  </si>
  <si>
    <t>Rétablissement de la connexion avec le partenaire</t>
  </si>
  <si>
    <t>1804W04453</t>
  </si>
  <si>
    <t>Data mobile,CMS,gameloft,Otap,Sms_API</t>
  </si>
  <si>
    <t>Perte de trafic entre Kipe-Sonfonia</t>
  </si>
  <si>
    <t xml:space="preserve">Coupure de la fibre </t>
  </si>
  <si>
    <t>Soudure de la fibre</t>
  </si>
  <si>
    <t>1804W16411</t>
  </si>
  <si>
    <t>FSM MUTUALISE</t>
  </si>
  <si>
    <t>Perte de vue des points de vente</t>
  </si>
  <si>
    <t>L’application verrouille toutes les tables au niveau de la Base de Données</t>
  </si>
  <si>
    <t>Migration des tables MylsAdm vers le moteur InnoDB (tunning de la Base de Données)</t>
  </si>
  <si>
    <t xml:space="preserve">1804W46918 </t>
  </si>
  <si>
    <t>Indisponibilité du Service Orange Money</t>
  </si>
  <si>
    <t>Indisponibilité du Firewall GIN causé par un problème d’énergie à Sonfonia</t>
  </si>
  <si>
    <t>Isolation du disjoncteur 10A et rétablissement du disjoncteur de tête du coffret ondules N1</t>
  </si>
  <si>
    <t>1804W48335</t>
  </si>
  <si>
    <t>Orange et Moi</t>
  </si>
  <si>
    <t>La consultation de solde via l’application mobile Orange et Moi est disponible</t>
  </si>
  <si>
    <t xml:space="preserve">1804W59100 </t>
  </si>
  <si>
    <t>Lors de l'incident TOC 1804W46918 , L'equipe GIN a basculer le flux OM sur le trafic secondaire en fermant l'interface LAN du routeur primaire pcpy106</t>
  </si>
  <si>
    <t>1804W71982</t>
  </si>
  <si>
    <t>Poste IP</t>
  </si>
  <si>
    <t>Probleme d'emission d'appels via postes IP</t>
  </si>
  <si>
    <t>1804W94808</t>
  </si>
  <si>
    <t xml:space="preserve">1804X00002 </t>
  </si>
  <si>
    <t>La consultation de solde data (*222*5#) est indisponible</t>
  </si>
  <si>
    <t xml:space="preserve">désactivation du fichier war de l’application </t>
  </si>
  <si>
    <t>Redéploiement du  fichier war de l’application</t>
  </si>
  <si>
    <t>Report-Avantage</t>
  </si>
  <si>
    <t>Plantage du serveur glass fish</t>
  </si>
  <si>
    <t>redémarrage du serveur glass fish</t>
  </si>
  <si>
    <t>1804W97073</t>
  </si>
  <si>
    <t>Impossible de faire des acquisitions et des identifications</t>
  </si>
  <si>
    <t xml:space="preserve">Nombre de process httpd élevé </t>
  </si>
  <si>
    <t>Redémarrage du process httpd</t>
  </si>
  <si>
    <t>1804X20624</t>
  </si>
  <si>
    <t xml:space="preserve">Indisponibilité de la consultation de solde data (*222*5#) </t>
  </si>
  <si>
    <t>Test de Déploiement de la nouvelle version de consultation de pass qui à freezé l’ancienne version</t>
  </si>
  <si>
    <t>Désactivation de l’application et le Redéployé à nouveau</t>
  </si>
  <si>
    <t>1804X30444</t>
  </si>
  <si>
    <t>Facebook USSD</t>
  </si>
  <si>
    <t>Impossible d'accéder au Menu (*444#)</t>
  </si>
  <si>
    <t>Les routes étaient saturées à cause des push de campagne</t>
  </si>
  <si>
    <t xml:space="preserve">1804X87834 </t>
  </si>
  <si>
    <t>Description</t>
  </si>
  <si>
    <t>Echec de 15% des transactions  E-recharge</t>
  </si>
  <si>
    <t>En attente du retour de GNOC</t>
  </si>
  <si>
    <t>En attente du rapport d’incident</t>
  </si>
  <si>
    <t>1805A80476</t>
  </si>
  <si>
    <t>1805B12326</t>
  </si>
  <si>
    <t>1805B56426</t>
  </si>
  <si>
    <t>Navigations internet,Robot Daset,Lien Tango</t>
  </si>
  <si>
    <t>Lenteurs sur Internet</t>
  </si>
  <si>
    <t>Perte d'un Proxy</t>
  </si>
  <si>
    <t>Mise en service de l'un des anciens proxy</t>
  </si>
  <si>
    <t>1805B27734</t>
  </si>
  <si>
    <t>CMS,Otap,Gameloft,Agrobusiness,Sms_Api,Vpn IS,Facebook_USSD_Report_avantage</t>
  </si>
  <si>
    <t xml:space="preserve">Coupure du circuit CON-DAK_1S/0004 </t>
  </si>
  <si>
    <t>En attente du retour de RAFIA</t>
  </si>
  <si>
    <t>1805B37008</t>
  </si>
  <si>
    <t>Echec de 13,46% des transactions  E-recharge</t>
  </si>
  <si>
    <t>1805B36863</t>
  </si>
  <si>
    <t>Echec de 12% des rechargements via OM (Achat de credit)</t>
  </si>
  <si>
    <t>Rechargement du compte et réinitialisation
 du comteur dans la base de donnée</t>
  </si>
  <si>
    <t>1805B66647</t>
  </si>
  <si>
    <t>Orange Money add-on / Bank to wallet / Ecobank </t>
  </si>
  <si>
    <t>1805C48606</t>
  </si>
  <si>
    <t>Impossible d’effectuer des réabonnements canal via OM</t>
  </si>
  <si>
    <t>1805C51721</t>
  </si>
  <si>
    <t>1805C59123</t>
  </si>
  <si>
    <t>Plantage du serveur Glassfish</t>
  </si>
  <si>
    <t>Redemarrage du serveur</t>
  </si>
  <si>
    <t>1805C67456</t>
  </si>
  <si>
    <t>1805C87266</t>
  </si>
  <si>
    <t>Les services 3G(voix et Data)</t>
  </si>
  <si>
    <t xml:space="preserve">Dégradation des services 3G au niveaudes BB </t>
  </si>
  <si>
    <t>1805C92098/1805C91036</t>
  </si>
  <si>
    <t>E-recharge(7%), Consultation solde, consultation sms, Consultation numéro, Friend and family et SOS Crédit</t>
  </si>
  <si>
    <t>Instabilité des services E-recharge(7%), Consultation solde, consultation sms, Consultation numéro, Friend and family et SOS Crédit</t>
  </si>
  <si>
    <t>Inaccessibilité de L'OCS1</t>
  </si>
  <si>
    <t>Basculement des services de L'OCS1 vers L'OCS2</t>
  </si>
  <si>
    <t>1805D85554</t>
  </si>
  <si>
    <t xml:space="preserve">Rétablissement de la connexion </t>
  </si>
  <si>
    <t>1805E01441</t>
  </si>
  <si>
    <t>1805E09403</t>
  </si>
  <si>
    <t>1805E39610</t>
  </si>
  <si>
    <t>Echec de 9% des transactions sur le zebra/IN</t>
  </si>
  <si>
    <t>Taux d'utilisation élévé du CPU NDB1</t>
  </si>
  <si>
    <t>switch de l'instance RB sur le serveur NDB2</t>
  </si>
  <si>
    <t xml:space="preserve">1805E40115 </t>
  </si>
  <si>
    <t>En attente du rapport d'incident</t>
  </si>
  <si>
    <t>1805E68358</t>
  </si>
  <si>
    <t>Mobile TV</t>
  </si>
  <si>
    <t xml:space="preserve">indisponibilité des chaines Espace Tv et Afrique Media </t>
  </si>
  <si>
    <t xml:space="preserve">Indisponibilité du dongle </t>
  </si>
  <si>
    <t>Réinitialisation du dongle</t>
  </si>
  <si>
    <t xml:space="preserve">1805F02590 </t>
  </si>
  <si>
    <t>LAN</t>
  </si>
  <si>
    <t>Perturbation de la navigation internet et indisponibilité des Robot de supervision, Right Q, Tango, CIS ….</t>
  </si>
  <si>
    <t>Les F5 étaient en mode stand-by</t>
  </si>
  <si>
    <t xml:space="preserve">Reboot d’un des F5 </t>
  </si>
  <si>
    <t>1805F00455</t>
  </si>
  <si>
    <t>1805F09034</t>
  </si>
  <si>
    <t>Consultation de Solde Data (*222*5#)</t>
  </si>
  <si>
    <t>Cache mémoire du serveur d’application full</t>
  </si>
  <si>
    <t>Vider le cache et redémarrer les services du serveur d’application</t>
  </si>
  <si>
    <t>1805F04343</t>
  </si>
  <si>
    <t>Expiration du certificat apache local</t>
  </si>
  <si>
    <t>Désactiver l’expiration du certificat httpd , réinstaller le serveur d’application glassfiss et  reploiement de l’application querysolde</t>
  </si>
  <si>
    <t>Echec à 50% dans la réception des notifications après des transactions d’achat de crédit via E-Recharge</t>
  </si>
  <si>
    <t>1805H22588</t>
  </si>
  <si>
    <t>CMS </t>
  </si>
  <si>
    <t>Impossible pour les abonnés de souscrire au service</t>
  </si>
  <si>
    <t>ATP (Suppression de deux adresses IP publique existantes de la plateforme CMS par les équipements réseau GOS et remplacer par deux nouvelles adresses IP publiques communiqués dans le cadre d’un autre projet)</t>
  </si>
  <si>
    <t xml:space="preserve">Roll back </t>
  </si>
  <si>
    <t>1805H25334</t>
  </si>
  <si>
    <t>Data</t>
  </si>
  <si>
    <t>Forte dégradation de la data</t>
  </si>
  <si>
    <t>l’activation des IPS sur les règles du flux DNS, entrainait une augmentation du taux de charge CPU et RAM des deux firewalls pendant la busy hour</t>
  </si>
  <si>
    <t>Désactivation des IPS sur les règles du flux DNS sonfonia et camayenne</t>
  </si>
  <si>
    <t>1806I12080</t>
  </si>
  <si>
    <t>Dysfonctionnement sur le LAN</t>
  </si>
  <si>
    <t>Navigation internet,  Robot de supervision, Right Q, CIS, Simplissimo, Messagerie Outlook , Tango, Oracle, Platine, Obilling</t>
  </si>
  <si>
    <t>1805H36601</t>
  </si>
  <si>
    <t>1806I12109</t>
  </si>
  <si>
    <t>Perte d’un des proxy</t>
  </si>
  <si>
    <t>1806H94694</t>
  </si>
  <si>
    <t>Sos-crédit/paie pour moi</t>
  </si>
  <si>
    <t>Indisponibilité des services Sos crédit et paie pour moi</t>
  </si>
  <si>
    <t>Indisponibilité du serveur SMP SVR1</t>
  </si>
  <si>
    <t>1806I12144</t>
  </si>
  <si>
    <t>Perturbation Réseau  LAN</t>
  </si>
  <si>
    <t>1806I08339</t>
  </si>
  <si>
    <t>1806I09967</t>
  </si>
  <si>
    <t>1606I12492</t>
  </si>
  <si>
    <t xml:space="preserve">Défaut de disque </t>
  </si>
  <si>
    <t>Correction de filesystem et Remplacement du disque</t>
  </si>
  <si>
    <t>1806I13598</t>
  </si>
  <si>
    <t>Echec de 4% des rechargements via OM (Achat de crédit)</t>
  </si>
  <si>
    <t>1806I96235</t>
  </si>
  <si>
    <t>1806J11266</t>
  </si>
  <si>
    <t>Défaut du filesystem</t>
  </si>
  <si>
    <t>Correction du filesystem et Restauration de la Base de Données</t>
  </si>
  <si>
    <t>1806J41441</t>
  </si>
  <si>
    <t>1806J49631</t>
  </si>
  <si>
    <t>1806J71580</t>
  </si>
  <si>
    <t>Impossible de faire des acquisitions et de procéder à des identifications</t>
  </si>
  <si>
    <t>Erreur dans le déploiement du web service par OGN. En effet, le web service doit être déployé sur le port 83 mais pendant l’opération et au moment du roll back, il a été déployé sur le port 80</t>
  </si>
  <si>
    <t>Reconfiguration du web service sur le port 83 par l’équipe OGN</t>
  </si>
  <si>
    <t>1806J93458</t>
  </si>
  <si>
    <t>1806K22728</t>
  </si>
  <si>
    <t xml:space="preserve">Indisponibilité du service Agrobusiness </t>
  </si>
  <si>
    <t>Renouvellement de l'hebergement</t>
  </si>
  <si>
    <t>1806K22955</t>
  </si>
  <si>
    <t>Indisponibilité de l’internet sur le  LAN</t>
  </si>
  <si>
    <t>Perte du proxy de Médina</t>
  </si>
  <si>
    <t>Restauration  de la machine virtuel MESVPROXYSG02</t>
  </si>
  <si>
    <t>1806K21800</t>
  </si>
  <si>
    <t>1006K50454</t>
  </si>
  <si>
    <t>Instabilité de l’internet sur le  LAN</t>
  </si>
  <si>
    <t>Perte du CE internet de Medina</t>
  </si>
  <si>
    <t>1806K67237</t>
  </si>
  <si>
    <t>1806K79275</t>
  </si>
  <si>
    <t>KMC</t>
  </si>
  <si>
    <t>Indisponibilité du service KMC</t>
  </si>
  <si>
    <t>Problème d’inconsistance sur file système du serveur de base de données</t>
  </si>
  <si>
    <t xml:space="preserve">Le redémarrage de la base de données </t>
  </si>
  <si>
    <t>1806K85037</t>
  </si>
  <si>
    <t>1806L12006</t>
  </si>
  <si>
    <t>Indisponibilité de la chaine West Africa</t>
  </si>
  <si>
    <t>1806L36795</t>
  </si>
  <si>
    <t>Orange Money add-on / Canal+</t>
  </si>
  <si>
    <t>Impossible d’effectuer des réabonnements Canal+ via OM</t>
  </si>
  <si>
    <t>1806M04459</t>
  </si>
  <si>
    <t>Impossible d’effectuer des payements en ligne via OM</t>
  </si>
  <si>
    <t>1806L73130</t>
  </si>
  <si>
    <t>VOIX, DATA, E-Recharge, SMS</t>
  </si>
  <si>
    <t>Indisponibilité des services voix, data, sms et E-recharge pour certains PQ (622 et 627)</t>
  </si>
  <si>
    <t>Indisponibilité du serveur OCS2 et de l’OCS1 dû au non réplication de données entre les deux noeuds</t>
  </si>
  <si>
    <t>Arrêt des process de réplication entre les deux nœud et remise en service de l'OCS2</t>
  </si>
  <si>
    <t>1806M03667</t>
  </si>
  <si>
    <t>1806M04132</t>
  </si>
  <si>
    <t>Consultation des frais de Retrait OM </t>
  </si>
  <si>
    <t>Impossible de consulter les frais de retraits OM</t>
  </si>
  <si>
    <t xml:space="preserve">Erreur de connectivité du web service </t>
  </si>
  <si>
    <t>Redéploiement du web service</t>
  </si>
  <si>
    <t>1806M24965</t>
  </si>
  <si>
    <t xml:space="preserve">Impossible de consulter son solde Data via *222*5# </t>
  </si>
  <si>
    <t>Plantage du serveur GlassFish</t>
  </si>
  <si>
    <t>Redemarrege du serveur</t>
  </si>
  <si>
    <t>1806M56292</t>
  </si>
  <si>
    <t>Voix</t>
  </si>
  <si>
    <t>Congestion et dégradation de la voix entre OGC et OCI</t>
  </si>
  <si>
    <t>Décablage du site Lumière côté Côte d'ivoire</t>
  </si>
  <si>
    <t>Recablage sur le site</t>
  </si>
  <si>
    <t>1806N17495</t>
  </si>
  <si>
    <t xml:space="preserve">Indisponibilité Internet via LAN et services </t>
  </si>
  <si>
    <t>Perte du proxy</t>
  </si>
  <si>
    <t>redémarrage du proxy de technopôle</t>
  </si>
  <si>
    <t>1806M65488</t>
  </si>
  <si>
    <t>Impossible de vérifier le statut du msisdn dans le CRM</t>
  </si>
  <si>
    <t>Mauvais formatage de la Date côté CRM</t>
  </si>
  <si>
    <t>Correction du format de date</t>
  </si>
  <si>
    <t>1806M85112</t>
  </si>
  <si>
    <t>1806M91992</t>
  </si>
  <si>
    <t>1806M99692</t>
  </si>
  <si>
    <t>Impossible d’effectuer le réabonnement canal+  via OM</t>
  </si>
  <si>
    <t>1806N21871</t>
  </si>
  <si>
    <t>Transfert Data</t>
  </si>
  <si>
    <t>Impossible de transférer des pass aux abonnés (*222*8#)</t>
  </si>
  <si>
    <t>Indisponibilité du serveur d'application</t>
  </si>
  <si>
    <t>Réinstallation du serveur d’application, Redéploiement et configuration du web Service pour formatage des réponses (Xml) des requêtes</t>
  </si>
  <si>
    <t>1806N07560</t>
  </si>
  <si>
    <t xml:space="preserve">Non rechargement du compte Tango </t>
  </si>
  <si>
    <t>rechargement du compte Tango</t>
  </si>
  <si>
    <t>1806N22002  </t>
  </si>
  <si>
    <t>Probleme de reception de notification après vente de  sur l’état d’activation du numéro</t>
  </si>
  <si>
    <t xml:space="preserve">Investigations en cours </t>
  </si>
  <si>
    <t xml:space="preserve">Aucune </t>
  </si>
  <si>
    <t>1806N47146</t>
  </si>
  <si>
    <t>Echec de 50% de notifications après transactions E-recharge</t>
  </si>
  <si>
    <t>1806N68181</t>
  </si>
  <si>
    <t>Echec de 50% de reception de notifications après transactions E-recharge</t>
  </si>
  <si>
    <t>1806N83920</t>
  </si>
  <si>
    <t xml:space="preserve">1806O39513 </t>
  </si>
  <si>
    <t>Indisponibilité d’émission d’appel via les postes IP</t>
  </si>
  <si>
    <t>1806O63132</t>
  </si>
  <si>
    <t>Consultation des frais de Retrait ,Web payement</t>
  </si>
  <si>
    <t>Instabilité des services consultation Frais de retrait et webpayment OM</t>
  </si>
  <si>
    <t>1806O84440</t>
  </si>
  <si>
    <t>Orange Money add-on / Bank to wallet / Ecobank</t>
  </si>
  <si>
    <t>1806P09016</t>
  </si>
  <si>
    <t>1807Q41176</t>
  </si>
  <si>
    <t>Indisponibilité du service Fans Football Club</t>
  </si>
  <si>
    <t>1807Q53313</t>
  </si>
  <si>
    <t xml:space="preserve">Lenteur de la data mobile </t>
  </si>
  <si>
    <t>Coupure de fibre côté sonatel entre DIALAKOTO – DIENOUDIALA</t>
  </si>
  <si>
    <t>Soudure de fibre</t>
  </si>
  <si>
    <t>1807R08551</t>
  </si>
  <si>
    <t>VOIX, DATA, E-Recharge,SMS,USSD</t>
  </si>
  <si>
    <t>Indisponibilité des services voix, data, sms, USSD et E-recharge pour certains PQ (622 et 628)</t>
  </si>
  <si>
    <t>Redemarrage des process de OCS4</t>
  </si>
  <si>
    <t>1807R14089</t>
  </si>
  <si>
    <t>Orange Money add-on / Bank to wallet / UBA</t>
  </si>
  <si>
    <t xml:space="preserve">1807R58607 </t>
  </si>
  <si>
    <t>Mobile TV / RTG</t>
  </si>
  <si>
    <t>Impossible d’accéder à la chaine RTG sur mobile TV</t>
  </si>
  <si>
    <t>1807S32935</t>
  </si>
  <si>
    <t>1807S70846</t>
  </si>
  <si>
    <t>VOIX, DATA, E-Recharge, SMS, USSD</t>
  </si>
  <si>
    <t>Indisponibilité des services voix, data, sms et E-recharge pour certains PQ (622, 623 et 628)</t>
  </si>
  <si>
    <t>Redémarrage des Proccess OCSPRO du serveur OCS4</t>
  </si>
  <si>
    <t>1807T96226</t>
  </si>
  <si>
    <t>1807U53528</t>
  </si>
  <si>
    <t>Simplissimo</t>
  </si>
  <si>
    <t>Souci d'activation &amp; changements SIM dans SIMPLISSIMO</t>
  </si>
  <si>
    <t>Plantage de KPSA</t>
  </si>
  <si>
    <t>Redémarrage de KPSA et resoumission des requêtes en instance</t>
  </si>
  <si>
    <t>1807V17808/1807V12345</t>
  </si>
  <si>
    <t>Orange money</t>
  </si>
  <si>
    <t>Impossible d’effectuer des transactions  OM</t>
  </si>
  <si>
    <t>Souci sur le commutateur situé entre les serveurs oracle Orange Money et les fichiers de données</t>
  </si>
  <si>
    <t>Le trafic a été déplacé vers le commutateur de sauvegarde</t>
  </si>
  <si>
    <t>1807V25983</t>
  </si>
  <si>
    <t>Impossible d’accéder au service via l’accès web et ussd</t>
  </si>
  <si>
    <t>Problème de réseau dans le centre de données</t>
  </si>
  <si>
    <t>1807V34200</t>
  </si>
  <si>
    <t>SOS-Crédit et Paie-pour-moi  </t>
  </si>
  <si>
    <t>Instabilité des services SOS-CREDIT et Paie-pour-moi</t>
  </si>
  <si>
    <t>1807W36865</t>
  </si>
  <si>
    <t>1804Y68132</t>
  </si>
  <si>
    <t>Plantage du serveur d’application Glass Fish</t>
  </si>
  <si>
    <t>Redemarrage du Serveur</t>
  </si>
  <si>
    <t>1804Y76249</t>
  </si>
  <si>
    <t>MyOrange / Obeta</t>
  </si>
  <si>
    <t>Les clients ne peuvent pas consulter leur solde via l’application mobile Orange et Moi</t>
  </si>
  <si>
    <t>En attente du retour du GOS</t>
  </si>
  <si>
    <t>1804Y83362</t>
  </si>
  <si>
    <t>lenteur de la data mobile</t>
  </si>
  <si>
    <t>Due à l'ATP d'Upgrade des firmwares des cartes transpondeurs sur les équipements WDM 1830 PSS32 en blagnac (France)</t>
  </si>
  <si>
    <t>1804Z05427</t>
  </si>
  <si>
    <t>1804Z69144</t>
  </si>
  <si>
    <t>1804Z71574</t>
  </si>
  <si>
    <t>1804Z73256</t>
  </si>
  <si>
    <t>1804Z79953</t>
  </si>
  <si>
    <t>1804Z94702</t>
  </si>
  <si>
    <t>1804Z96988</t>
  </si>
  <si>
    <t>1804A01941</t>
  </si>
  <si>
    <t>1804A02211</t>
  </si>
  <si>
    <t>Impossible d’effectuer des transactions via OM</t>
  </si>
  <si>
    <t>Echec des transactions E-recharge / Orange Money</t>
  </si>
  <si>
    <t>Perte de connectivité avec la base de données ZEBRA</t>
  </si>
  <si>
    <t>Redémarrage d’une instance du  SMSR</t>
  </si>
  <si>
    <t>1804A08226</t>
  </si>
  <si>
    <t>1804A09714</t>
  </si>
  <si>
    <t>1804A19512</t>
  </si>
  <si>
    <t>1804A21087</t>
  </si>
  <si>
    <t>CMS, OTAP, MYORANGE, PADDOCK, KMC , FSM, Report Avantage, Gameloft, SMS API</t>
  </si>
  <si>
    <t>Indisponibilité des services sur KM4</t>
  </si>
  <si>
    <t>Arrêt des routeurs RTRKM4GOSINF001 et RTRKM4GOSINF002 dû a un incident déclaré côté OCI</t>
  </si>
  <si>
    <t>Raccordement entre le deuxième routeur Rafia de CIT ( BABJ712)
 qui est localisé sur le site de KM4 et un routeur du GOS 
dans le même site / Bascule du trafic GIN vers le routeur 
BABJ712 / Migration des VPN internet de BABJ711 vers BABJ711</t>
  </si>
  <si>
    <t>1804A38394</t>
  </si>
  <si>
    <t>En attente du retour de GOS</t>
  </si>
  <si>
    <t>Basculement des services sur le second serveur  SMP SVR2 et Restauration du serveur SMP SVR1</t>
  </si>
  <si>
    <t>Navigation internet,  Robot de supervision, Right Q, Tango, CIS, Simplissimo,  ….</t>
  </si>
  <si>
    <t>Perte de la connectivité avec le VPN</t>
  </si>
  <si>
    <t>Restauration du vpn</t>
  </si>
  <si>
    <t>perte d'un proxy</t>
  </si>
  <si>
    <t>Observation</t>
  </si>
  <si>
    <t>upgrade des mémoires</t>
  </si>
  <si>
    <t>Le server d’application était chargé et il n’arrivait plus à traiter le nombre de requêtes</t>
  </si>
  <si>
    <t xml:space="preserve">réinstallation du server d’applications </t>
  </si>
  <si>
    <t>source indisponible</t>
  </si>
  <si>
    <t>Rétablissement de la source</t>
  </si>
  <si>
    <t>redémarrage du serveur</t>
  </si>
  <si>
    <t>ticket problème 1807Q15694</t>
  </si>
  <si>
    <t>inidsponibilité du service Kaabu</t>
  </si>
  <si>
    <t>ATP sur le service</t>
  </si>
  <si>
    <t>Rétabli à la fin de l'ATP</t>
  </si>
  <si>
    <t>En attente du retour de SSPO et du GOS</t>
  </si>
  <si>
    <t>Redémarrage du serveur PABx OXE de Sonfonia qui était en production</t>
  </si>
  <si>
    <t>basculement automatique sur le site de Camayenne</t>
  </si>
  <si>
    <t>Taux d’utilisation atteint du lien physique Sonfonia-Felloscore</t>
  </si>
  <si>
    <t>Rehoming vers le lien Dalein-Kipe afin de déchargé celui de Sonfonia-Felloscore</t>
  </si>
  <si>
    <t xml:space="preserve">1804W56260 </t>
  </si>
  <si>
    <t>Internet (LAN)</t>
  </si>
  <si>
    <t>Redémarrage des Process Live SMPSVR causant des instabilités sur les services SOS Crédit et P4M</t>
  </si>
  <si>
    <t>Clos</t>
  </si>
  <si>
    <t>N°ticket</t>
  </si>
  <si>
    <t>Priorité</t>
  </si>
  <si>
    <t>Durée (mn)</t>
  </si>
  <si>
    <t>Cause de l'incident</t>
  </si>
  <si>
    <t>Actions correctives</t>
  </si>
  <si>
    <t>Statut</t>
  </si>
  <si>
    <t>Déconnexion entre ZEBRA et SMSC</t>
  </si>
  <si>
    <t>pour identifier la root cause et apporté une correction definitive, 
ce dysfonctionnement est traité en dans le ticket problème N°1806I34048</t>
  </si>
  <si>
    <r>
      <t xml:space="preserve">Dysfonctionnement sur le LAN. Perte des services navigation internet,  Robot de supervision, Right Q, Tango, CIS, Simplissimo, </t>
    </r>
    <r>
      <rPr>
        <sz val="8"/>
        <color theme="1"/>
        <rFont val="Arial"/>
        <family val="2"/>
      </rPr>
      <t> </t>
    </r>
    <r>
      <rPr>
        <sz val="8"/>
        <color rgb="FF000000"/>
        <rFont val="Arial"/>
        <family val="2"/>
      </rPr>
      <t>Messagerie  ….</t>
    </r>
  </si>
  <si>
    <t>LAN, Internet, Right Q, Tango, supervision via robot, CIS, Simplissimo, messagerie</t>
  </si>
  <si>
    <t>problème de transcodage</t>
  </si>
  <si>
    <t>expiration de l'hebergement de la plateforme du fournisseur</t>
  </si>
  <si>
    <r>
      <t>Mobile TV</t>
    </r>
    <r>
      <rPr>
        <i/>
        <sz val="8"/>
        <color rgb="FF000000"/>
        <rFont val="Arial"/>
        <family val="2"/>
      </rPr>
      <t xml:space="preserve"> </t>
    </r>
  </si>
  <si>
    <r>
      <t xml:space="preserve"> Les applications passant par Internet ne sont pas disponibles (CRM, PRETUPS, NOMAD, TANGO, SUPERVISION DASET)</t>
    </r>
    <r>
      <rPr>
        <sz val="8"/>
        <color rgb="FF1F497D"/>
        <rFont val="Arial"/>
        <family val="2"/>
      </rPr>
      <t xml:space="preserve">, </t>
    </r>
  </si>
  <si>
    <r>
      <t>Impossible de consulter le solde data via *222*5#</t>
    </r>
    <r>
      <rPr>
        <sz val="8"/>
        <color rgb="FF1F497D"/>
        <rFont val="Arial"/>
        <family val="2"/>
      </rPr>
      <t xml:space="preserve"> </t>
    </r>
  </si>
  <si>
    <t>Date &amp; heure de fin</t>
  </si>
  <si>
    <t>Date &amp; heure de début</t>
  </si>
  <si>
    <t>Nom Service</t>
  </si>
  <si>
    <r>
      <t>Problème d’alimentation dû à une activité menée par</t>
    </r>
    <r>
      <rPr>
        <sz val="8"/>
        <color rgb="FF000000"/>
        <rFont val="Arial"/>
        <family val="2"/>
      </rPr>
      <t xml:space="preserve"> l’équipe Energie.</t>
    </r>
  </si>
  <si>
    <r>
      <t>: Reconnexion de la 2</t>
    </r>
    <r>
      <rPr>
        <vertAlign val="superscript"/>
        <sz val="8"/>
        <color rgb="FF000000"/>
        <rFont val="Arial"/>
        <family val="2"/>
      </rPr>
      <t>ème</t>
    </r>
    <r>
      <rPr>
        <sz val="8"/>
        <color rgb="FF000000"/>
        <rFont val="Arial"/>
        <family val="2"/>
      </rPr>
      <t xml:space="preserve"> source d’énergie.</t>
    </r>
  </si>
  <si>
    <t>TMC</t>
  </si>
  <si>
    <t>Origine</t>
  </si>
  <si>
    <t>SSPO</t>
  </si>
  <si>
    <t>Supervision</t>
  </si>
  <si>
    <t>ASBD</t>
  </si>
  <si>
    <t>GNOC</t>
  </si>
  <si>
    <t>OLS</t>
  </si>
  <si>
    <t>ASPIDER</t>
  </si>
  <si>
    <t>GOS</t>
  </si>
  <si>
    <t>PSIVAS</t>
  </si>
  <si>
    <t>Myriad</t>
  </si>
  <si>
    <t>Aspider</t>
  </si>
  <si>
    <t>Bankitech</t>
  </si>
  <si>
    <t>OML</t>
  </si>
  <si>
    <t>SONATEL</t>
  </si>
  <si>
    <t>Huawai</t>
  </si>
  <si>
    <t>OGN</t>
  </si>
  <si>
    <t>Sonatel</t>
  </si>
  <si>
    <t>Mobil Tv</t>
  </si>
  <si>
    <t xml:space="preserve">Supervision </t>
  </si>
  <si>
    <t>Support FFC</t>
  </si>
  <si>
    <t>Sem 33</t>
  </si>
  <si>
    <t>Sem 34</t>
  </si>
  <si>
    <t>Sem 35</t>
  </si>
  <si>
    <t>Sem 36</t>
  </si>
  <si>
    <t>Sem 37</t>
  </si>
  <si>
    <t>Sem 38</t>
  </si>
  <si>
    <t>Sem 39</t>
  </si>
  <si>
    <t>Sem 40</t>
  </si>
  <si>
    <t>Sem 41</t>
  </si>
  <si>
    <t>Sem 42</t>
  </si>
  <si>
    <t>Sem 43</t>
  </si>
  <si>
    <t>Sem 44</t>
  </si>
  <si>
    <t>Sem 45</t>
  </si>
  <si>
    <t>Sem 46</t>
  </si>
  <si>
    <t>Sem 47</t>
  </si>
  <si>
    <t>Sem 48</t>
  </si>
  <si>
    <t>Sem 49</t>
  </si>
  <si>
    <t>Sem 50</t>
  </si>
  <si>
    <t>Sem 51</t>
  </si>
  <si>
    <t>Sem 52</t>
  </si>
  <si>
    <t>Overview</t>
  </si>
  <si>
    <t>Jan</t>
  </si>
  <si>
    <t>Fev</t>
  </si>
  <si>
    <t>Mars</t>
  </si>
  <si>
    <t>Avril</t>
  </si>
  <si>
    <t>Mai</t>
  </si>
  <si>
    <t>Juin</t>
  </si>
  <si>
    <t>Juillet</t>
  </si>
  <si>
    <t>Août</t>
  </si>
  <si>
    <t>Sept</t>
  </si>
  <si>
    <t>Oct</t>
  </si>
  <si>
    <t>Nov</t>
  </si>
  <si>
    <t>Dec</t>
  </si>
  <si>
    <t>Nombre d'incidents</t>
  </si>
  <si>
    <t>GIN</t>
  </si>
  <si>
    <t>OutofSLA</t>
  </si>
  <si>
    <t>Nombre d'incidents causés par TP</t>
  </si>
  <si>
    <t>P4</t>
  </si>
  <si>
    <t>MTTR</t>
  </si>
  <si>
    <t>Total</t>
  </si>
  <si>
    <t>Service</t>
  </si>
  <si>
    <t>TPS vs trafic</t>
  </si>
  <si>
    <t>Trafic</t>
  </si>
  <si>
    <t>clos</t>
  </si>
  <si>
    <t>TPS</t>
  </si>
  <si>
    <t>gélé</t>
  </si>
  <si>
    <t>SMS</t>
  </si>
  <si>
    <t>VAS</t>
  </si>
  <si>
    <t>Roaming voix</t>
  </si>
  <si>
    <t>Roaming SMS</t>
  </si>
  <si>
    <t>Objectifs</t>
  </si>
  <si>
    <t>Faire un suivi journalier des tickets d’incidents en cours avec le GNOC et s’assurer que les rapports d’incidents P1 et P2 sont joints dans océane avant clôture.</t>
  </si>
  <si>
    <t xml:space="preserve">Fournir le Rapport de pilotage d’incident au (rapport service) à J pour les P1 et P2 y compris les récurrences  </t>
  </si>
  <si>
    <t>faire la mise à jour de toutes les architectures reseaux et service ainsi que les chaines de soutien (organiser des ateliers)</t>
  </si>
  <si>
    <t xml:space="preserve">faire le suivi de traitement des alarmes et mettre à jour le fichier </t>
  </si>
  <si>
    <t>STATUT</t>
  </si>
  <si>
    <t>2h</t>
  </si>
  <si>
    <t>4h</t>
  </si>
  <si>
    <t>2jr</t>
  </si>
  <si>
    <t>3jr</t>
  </si>
  <si>
    <t>InSLA</t>
  </si>
  <si>
    <t>1712W17506</t>
  </si>
  <si>
    <t>04/01/2018   16:28</t>
  </si>
  <si>
    <t xml:space="preserve">Instabilités sur Orange Money </t>
  </si>
  <si>
    <t xml:space="preserve">Saturation de la table de sessions TCP en cours(97-98%) sur le firewall Orange Infra ( PFSense) </t>
  </si>
  <si>
    <t>  Augmentation de la capacité de la table de sessions TCP( de 47.000 à 201.000 sessions) et redémarrage du firewall</t>
  </si>
  <si>
    <t>Manque de deux @IP dans les configs côté Waat</t>
  </si>
  <si>
    <t>configuration des deux @IP manquant côté Waat</t>
  </si>
  <si>
    <t>1801B72461</t>
  </si>
  <si>
    <t>Souci d’identification</t>
  </si>
  <si>
    <t xml:space="preserve">E-recharge, Voix, Data mobile, SMS, USSD </t>
  </si>
  <si>
    <t>Le GNOC est confronté à un problème d'accès à distance sur les équipement afin de relever l'incident.</t>
  </si>
  <si>
    <t>N°TICKET</t>
  </si>
  <si>
    <t>PRIORITE</t>
  </si>
  <si>
    <t>NOM Service</t>
  </si>
  <si>
    <t>DATE &amp; HEURE DEBUT</t>
  </si>
  <si>
    <t>DATE &amp; HEURE FIN</t>
  </si>
  <si>
    <t>DUREE (mn)</t>
  </si>
  <si>
    <t>CAUSE DE L'INCIDENT</t>
  </si>
  <si>
    <t>ACTIONS CORRECTIVES</t>
  </si>
  <si>
    <t>1808X32012</t>
  </si>
  <si>
    <t>Orange Money add-on / UBA</t>
  </si>
  <si>
    <t>Impossible d’effectuer les transactions bancaires via OM</t>
  </si>
  <si>
    <t>Perte de connexion avec le partenaire UBA</t>
  </si>
  <si>
    <t>1808X29968</t>
  </si>
  <si>
    <t>1808Y76531</t>
  </si>
  <si>
    <t>1808Z21205</t>
  </si>
  <si>
    <t> 535</t>
  </si>
  <si>
    <t>1808Z38184</t>
  </si>
  <si>
    <t>Instabilité du service gameloft via le portail web</t>
  </si>
  <si>
    <t>Plantage de certains process de gameloft</t>
  </si>
  <si>
    <t>Redémarrage des process</t>
  </si>
  <si>
    <t>En attente du rapport</t>
  </si>
  <si>
    <t>1808A06172</t>
  </si>
  <si>
    <t>1808A20321</t>
  </si>
  <si>
    <t>Baisse du Trafic Data  Dalein -Kédougou</t>
  </si>
  <si>
    <t>Coupure de la FO à 130km de MAKO vers NIOKO</t>
  </si>
  <si>
    <t>soudure de la fibre et basculement du trafic</t>
  </si>
  <si>
    <t>1808A59264</t>
  </si>
  <si>
    <t>Indisponibilité du service FFC</t>
  </si>
  <si>
    <t>Aucune action faite.</t>
  </si>
  <si>
    <t>Ticket problème 1808A98268 pour déterminer la root cause</t>
  </si>
  <si>
    <t>1808A68162</t>
  </si>
  <si>
    <t>Impossible d’effectuer le réabonnement canal via OM</t>
  </si>
  <si>
    <t>1808A96701</t>
  </si>
  <si>
    <t>1808B19572</t>
  </si>
  <si>
    <t>Impossible de recevoir ses avantages à partir du *118*1#</t>
  </si>
  <si>
    <t>Expiration du mot de passe de l’utilisateur sur la Base de données</t>
  </si>
  <si>
    <t>Réinitialisation du mot de passe</t>
  </si>
  <si>
    <t>1808C55516</t>
  </si>
  <si>
    <t>Roaming Data Out</t>
  </si>
  <si>
    <t>Certains cliens n'arrivent pas à faire la data sur le reseau ETISALAT (Arabie Saoudite)</t>
  </si>
  <si>
    <t>1808B55308</t>
  </si>
  <si>
    <r>
      <t>Indisponobilité du service consultation</t>
    </r>
    <r>
      <rPr>
        <sz val="11"/>
        <color rgb="FF1F497D"/>
        <rFont val="Calibri"/>
        <family val="2"/>
      </rPr>
      <t>_</t>
    </r>
    <r>
      <rPr>
        <sz val="11"/>
        <color rgb="FF000000"/>
        <rFont val="Calibri"/>
        <family val="2"/>
      </rPr>
      <t xml:space="preserve">pass </t>
    </r>
  </si>
  <si>
    <t>Arrêt du serveur d’application</t>
  </si>
  <si>
    <t>1808B59783</t>
  </si>
  <si>
    <t>1808B93985</t>
  </si>
  <si>
    <t>1808C33514</t>
  </si>
  <si>
    <t>1808C43210</t>
  </si>
  <si>
    <t>Impossible pour les parieurs d’effectuer des paiements en ligne via OM</t>
  </si>
  <si>
    <t>Nombre maximum des transactions mensuelles atteint</t>
  </si>
  <si>
    <t>Augmentation du seuil de nombre des transactions mensuelles</t>
  </si>
  <si>
    <t>1808E27275</t>
  </si>
  <si>
    <t xml:space="preserve">Cause non identifiée. Le retour du support est que l’interruption 
de service est probablement due à un problème réseau. </t>
  </si>
  <si>
    <t>Les adresses 86.51.50.32/28 et 86.51.50.48/28 ne sont pas 
autorisées par le partenaire. Des actions sont en cours côté Etisalat</t>
  </si>
  <si>
    <t>Etisalat</t>
  </si>
  <si>
    <t>Guinee Games</t>
  </si>
  <si>
    <t>OFMG</t>
  </si>
  <si>
    <t>NE</t>
  </si>
  <si>
    <t>-</t>
  </si>
  <si>
    <t>1809E30255</t>
  </si>
  <si>
    <t>1809E48651</t>
  </si>
  <si>
    <t>Fortes dégradations à 56km sur une fibre de la paire entre DIENOUDIALA et MAKO</t>
  </si>
  <si>
    <t>Correction des inversions sur les paires libres et Mutation sur une paire saine entre DIENOUDIALA-NIOKO1 et NIOKO1-MAKO</t>
  </si>
  <si>
    <t>1809F40565</t>
  </si>
  <si>
    <t>Paddock Services / Billing - Wrapper</t>
  </si>
  <si>
    <t>Indisponibilité du module d'interface du pays (CIM)</t>
  </si>
  <si>
    <t>Redémarrage des services Nginx</t>
  </si>
  <si>
    <t>1809G26770</t>
  </si>
  <si>
    <t>PADDOCK / SMSC  </t>
  </si>
  <si>
    <t>Impossible d’utiliser les fonctionnalités SMS PADDOCK</t>
  </si>
  <si>
    <t>1809G45782</t>
  </si>
  <si>
    <t>1809G91082</t>
  </si>
  <si>
    <t>SOUCI AJOUT NOUVEL ABONNEMENT</t>
  </si>
  <si>
    <t>Erreur sur la mise en production de la Modification du Profil ADV_Entreprise</t>
  </si>
  <si>
    <t>1809H11114</t>
  </si>
  <si>
    <t>1809H27183</t>
  </si>
  <si>
    <t xml:space="preserve">Navigation internet , Right Q , Oceane, Robot DASET </t>
  </si>
  <si>
    <t xml:space="preserve">Internet via le LAN </t>
  </si>
  <si>
    <t>Dysfonctionnement sur un ESX</t>
  </si>
  <si>
    <t>désactivation de l’authentification AD au niveau du proxy</t>
  </si>
  <si>
    <t>1809H50210</t>
  </si>
  <si>
    <t>Chute du Trafic sur la sortie Dalein-Kedougou</t>
  </si>
  <si>
    <t>Coupure de fibre à 08Km de NIOKO vers MAKO</t>
  </si>
  <si>
    <t>1809H87358</t>
  </si>
  <si>
    <t>Report Avantage </t>
  </si>
  <si>
    <t>1809H84583</t>
  </si>
  <si>
    <t>Impossible d'effectuer des operation de consultation de solde via l'application mobile Orange et moi</t>
  </si>
  <si>
    <t>1809I21005</t>
  </si>
  <si>
    <t>Perte de connexion avec le partenaire</t>
  </si>
  <si>
    <t>1809J38947</t>
  </si>
  <si>
    <t>Paddock Service</t>
  </si>
  <si>
    <t>1809J58837</t>
  </si>
  <si>
    <t>Myorange, Paddock, CMS, Gameloft, Otap, Agrobusiness</t>
  </si>
  <si>
    <t>Indisponibilité des services au-dessus du SDP GOS</t>
  </si>
  <si>
    <t>La route par défaut n'était plus annoncée au niveau des VRF connectés aux différentes plateformes (DNS)</t>
  </si>
  <si>
    <t>réinitialisation des sessions au niveau des VRF</t>
  </si>
  <si>
    <t>1809K99566</t>
  </si>
  <si>
    <t>SLA</t>
  </si>
  <si>
    <t>DevOps</t>
  </si>
  <si>
    <t>Problème de performance du logiciel strongswan</t>
  </si>
  <si>
    <t>Mise en place d'une solution de contournement</t>
  </si>
  <si>
    <t xml:space="preserve">Plantage du serveur d’application glass Fish </t>
  </si>
  <si>
    <t>Réinstallation du serveur d’application, Redéploiement du web service</t>
  </si>
  <si>
    <t>MyOrange/Orange et moi</t>
  </si>
  <si>
    <t>Impossible d’utiliser MO billing (facturation)</t>
  </si>
  <si>
    <t>Impossible d'acheter les applications via le mode de paiement par Operateur</t>
  </si>
  <si>
    <t xml:space="preserve">NOM SERVICES </t>
  </si>
  <si>
    <t>DESCRIPTION</t>
  </si>
  <si>
    <t>1810L54442</t>
  </si>
  <si>
    <t>1810L67181</t>
  </si>
  <si>
    <t>1810L93817</t>
  </si>
  <si>
    <t>CMS (*111#), Achat de Pass via USSD (*222#), FFC (*191#), Consultation de pass (*222*5#), Orange Money (*144#, *142#, *143#) 10% d’Erecharge, report avantage (*118*1#), gameloft USSD (*111*6#), Transfert Data (*222*8#), MyOrange</t>
  </si>
  <si>
    <t>Indisponibilté des services passant par le USSD</t>
  </si>
  <si>
    <t>Le Port VSI a été débranché du commutateur de Sonfonia GIN</t>
  </si>
  <si>
    <t>Reconnexion du câble</t>
  </si>
  <si>
    <t>1810M24633</t>
  </si>
  <si>
    <t xml:space="preserve">Paddock Services </t>
  </si>
  <si>
    <t>1810M26542</t>
  </si>
  <si>
    <t>Indisponibilité du service Football Fans Club</t>
  </si>
  <si>
    <t>1810O31583</t>
  </si>
  <si>
    <t>Dysfonctionnement sur le réseau</t>
  </si>
  <si>
    <t>F5 inaccessible : Investigations en cours pour la root cause</t>
  </si>
  <si>
    <t>1810M61840</t>
  </si>
  <si>
    <t>1810M76373</t>
  </si>
  <si>
    <t>1810M96636</t>
  </si>
  <si>
    <t>1810N10254</t>
  </si>
  <si>
    <t>1810N11610</t>
  </si>
  <si>
    <t>Navigation internet</t>
  </si>
  <si>
    <t>1810N92696</t>
  </si>
  <si>
    <t>ReportAvantage (*118*1#) , TransfertData (*222*8#), Consultation Frais Retrait OM</t>
  </si>
  <si>
    <t>Impossible d’effectuer des transferts de crédits ( TransfertData ) et de recevoir ses avantages ( ReportAvantage ) et de consulter les frais de rétrait OM</t>
  </si>
  <si>
    <t>Déconnexion de stockages sur les ESXIs</t>
  </si>
  <si>
    <t>Redémarrage des  ESXIs</t>
  </si>
  <si>
    <t>1810N98614</t>
  </si>
  <si>
    <t>1810O33398</t>
  </si>
  <si>
    <t>Impossible d’effectuer le réabonnement star Times  via OM</t>
  </si>
  <si>
    <t>1810O58398</t>
  </si>
  <si>
    <t>1810O65512</t>
  </si>
  <si>
    <t xml:space="preserve">1810O83261 </t>
  </si>
  <si>
    <t>Orange Money add-on / StarTimes</t>
  </si>
  <si>
    <t>Impossible d’effectuer le réabonnement star Times  via OM</t>
  </si>
  <si>
    <t>lnaccessibilité de certaines VMs sur  Camayenne</t>
  </si>
  <si>
    <t>1810P18752</t>
  </si>
  <si>
    <t>1810P51892</t>
  </si>
  <si>
    <t>Impossible d’effectuer le réabonnement star Times  via OM</t>
  </si>
  <si>
    <t>1810P72342</t>
  </si>
  <si>
    <t>Orange Money add-on / Bank to Wallet / Ecobank</t>
  </si>
  <si>
    <t>1810Q12441</t>
  </si>
  <si>
    <t>Légère dégradation de la data mobile</t>
  </si>
  <si>
    <t>Plantage des switchs Sonfonia et Camayenne</t>
  </si>
  <si>
    <t>Redemarrage des switchs</t>
  </si>
  <si>
    <t>1810Q39527</t>
  </si>
  <si>
    <t>Echecs de 50% des notifications après transactions E-recharge</t>
  </si>
  <si>
    <t xml:space="preserve">1810Q57364 </t>
  </si>
  <si>
    <t>Consultation Frais retrait(*144*7*4*3#) &amp; Transfert DATA</t>
  </si>
  <si>
    <t>Crash du serveur d’application suite à l’ajout d’un WS</t>
  </si>
  <si>
    <t>Redéploiement de Glassfish et des fichiers WAR</t>
  </si>
  <si>
    <t>1810Q81449</t>
  </si>
  <si>
    <t>E-Recharge ( C2S )</t>
  </si>
  <si>
    <t>Impossible d’effectuer les rechargements de crédit via le C2S (*200#) dans la zone de Matam et Kaloum</t>
  </si>
  <si>
    <t>souci de configuration de carte groupe dans la zone de Matam et Kaloum dû à un ATP</t>
  </si>
  <si>
    <t>Reconfiguration des cartes groupes</t>
  </si>
  <si>
    <t>1810Q87419</t>
  </si>
  <si>
    <t>Orange Money add-on / Bank to Wallet / UBA</t>
  </si>
  <si>
    <t>1810R04923</t>
  </si>
  <si>
    <t>Agrobusiness  </t>
  </si>
  <si>
    <t>Menu *113# indisponible</t>
  </si>
  <si>
    <t xml:space="preserve">ATP (maintenance du serveur) </t>
  </si>
  <si>
    <t>Fin ATP</t>
  </si>
  <si>
    <t>1810R55643</t>
  </si>
  <si>
    <t>1810R70619</t>
  </si>
  <si>
    <t>Acces impossible à la page www.webpayement.orange-money.com</t>
  </si>
  <si>
    <t>Activation de l’instance de sécurité Mod</t>
  </si>
  <si>
    <t>1810S06267</t>
  </si>
  <si>
    <t>Légère dégradation dans la réception des notifications sms après opérations OM Cash IN / Cash OUT</t>
  </si>
  <si>
    <t>1810S04241</t>
  </si>
  <si>
    <t>Impossible d’envoyer les paramètres de configuration aux abonnés</t>
  </si>
  <si>
    <t>Perte de connexion entre SMSC et ADC GOS (Dû à un ATP )</t>
  </si>
  <si>
    <t>Finalisation de l'ATP</t>
  </si>
  <si>
    <t>Sauvegarde et deplacement des serveurs (sensibles et critiques) 
sur le second Nodes et suppression des VMs déjà sauvegardées</t>
  </si>
  <si>
    <t>Correction des erreurs MYSQL, suppression des vielles données
 et redemarrage du USSD Server et du SMS Server</t>
  </si>
  <si>
    <t>Instance de sécurité Mod inactive</t>
  </si>
  <si>
    <t>Dysfonctionnements enregistrés sur le serveur USSD1 de Sonfonia (deconnexion du serveur AS USSD1 au UGS)</t>
  </si>
  <si>
    <t>1810S99842</t>
  </si>
  <si>
    <t>1810S91015</t>
  </si>
  <si>
    <t>Impossible de consulter son solde via l’application Orange et Moi</t>
  </si>
  <si>
    <t>CRPFS</t>
  </si>
  <si>
    <t>Un ticket Probleme est en cours pour identifier et corriger cet incident recurrent</t>
  </si>
  <si>
    <t>Indisponibilité du VPN OFC</t>
  </si>
  <si>
    <t xml:space="preserve">Initier les tickets problèmes vers les problem managers pour tous les incidents  dont la RC n’est pas connue ou pour toutes récurrences avec les mêmes causes (3 ème récurrence). Relier les tickets d’incident au ticket problème pour une bonne traçabilité </t>
  </si>
  <si>
    <t>OK</t>
  </si>
  <si>
    <t>1810S33825</t>
  </si>
  <si>
    <t>Impossible d’effectuer de réabonnement canal via OM</t>
  </si>
  <si>
    <t>En attente du retour de SSPO</t>
  </si>
  <si>
    <t>1811T13512</t>
  </si>
  <si>
    <t xml:space="preserve">Consultation Frais retrait OM (*144*7*4*3*Montant#) </t>
  </si>
  <si>
    <t>Indisponibilité du service Consultation Frais Retrait OM</t>
  </si>
  <si>
    <t>1811T21378</t>
  </si>
  <si>
    <t>Impossible de consulter son solde via l’application MyOrange</t>
  </si>
  <si>
    <t>1811T47021(1811T45839 |1811T41002)</t>
  </si>
  <si>
    <t>USSD</t>
  </si>
  <si>
    <t>Impossible d’accéder aux services qui passe par le canal USSD</t>
  </si>
  <si>
    <t>Augmentation du taux d'echec"Time out"sur la plateforme USSD qui à causé une perturbation sur les services</t>
  </si>
  <si>
    <t xml:space="preserve">1811T67588 </t>
  </si>
  <si>
    <t>Rétablissement de connexion</t>
  </si>
  <si>
    <t>1811U15675</t>
  </si>
  <si>
    <t xml:space="preserve">Orange Money(*144#, *142#, *143#) </t>
  </si>
  <si>
    <t>Impossible d’effectuer des transactions Orange Money</t>
  </si>
  <si>
    <t>Augmentation du taux d'echec"Time out"sur la plateforme USSD qui à causer une perturbation sur les services</t>
  </si>
  <si>
    <t>1811U17195</t>
  </si>
  <si>
    <t>1811U41019</t>
  </si>
  <si>
    <t>souci réseau, indisponibilité Firewall GIN</t>
  </si>
  <si>
    <t>Redemarrage du firewall  GIN de camayenne</t>
  </si>
  <si>
    <t>1811U65670/1811U66370</t>
  </si>
  <si>
    <t>Travaux planifiés non maitrisés sur l’infrastructure OpenWatt</t>
  </si>
  <si>
    <t>RollBack</t>
  </si>
  <si>
    <t>1811U65670/1811U66561</t>
  </si>
  <si>
    <t>Indisponibilité du service Bank to wallet/UBA</t>
  </si>
  <si>
    <t>1811U65670</t>
  </si>
  <si>
    <t>Orange Money add-on / WebPayment</t>
  </si>
  <si>
    <t>Indisponibilité du service WebPayement</t>
  </si>
  <si>
    <t>Indisponibilité du service MyOrange</t>
  </si>
  <si>
    <t>1811U77203</t>
  </si>
  <si>
    <t>Impossible de rafraichir le catalogue de l’application AppsOrange</t>
  </si>
  <si>
    <t>1811U94071/1811U94300 /1811U94301</t>
  </si>
  <si>
    <t>1811U99950</t>
  </si>
  <si>
    <t>Orange Money add-on / SEG</t>
  </si>
  <si>
    <t>Indisponibilité du service Paiement Facture SEG via OM pour les nouvelles Sessions</t>
  </si>
  <si>
    <t>Nombre de process atteint</t>
  </si>
  <si>
    <t>Réinitialisation du nombre de process</t>
  </si>
  <si>
    <t>1811V64163</t>
  </si>
  <si>
    <t>Rétablissement de Connexion avec le partenaire</t>
  </si>
  <si>
    <t>1811V95475</t>
  </si>
  <si>
    <t>Impossible de consulter le prix des denrées alimentaires via *113#</t>
  </si>
  <si>
    <t>AgroBusiness</t>
  </si>
  <si>
    <t>dû à une attaque DDOS qui a surchargée un serveur</t>
  </si>
  <si>
    <t>Augmentation du niveau de sécurité &amp; redémarrage du serveur</t>
  </si>
  <si>
    <t>BANKITECH</t>
  </si>
  <si>
    <t>1811V99078</t>
  </si>
  <si>
    <t>1811W07854</t>
  </si>
  <si>
    <t>1811W09287</t>
  </si>
  <si>
    <t>Impossible d’effectuer de réabonnement starTimes  via OM</t>
  </si>
  <si>
    <t>SUPPORT STARTIMES</t>
  </si>
  <si>
    <t>1811W54091</t>
  </si>
  <si>
    <t>1811W85898</t>
  </si>
  <si>
    <t>due a un souci des liens des GMSC1 et GMSC2 vers CELTEL, ONATEL, ONIGER,OGN et TELECEL</t>
  </si>
  <si>
    <t>En attente du retour de OBF</t>
  </si>
  <si>
    <t>1811W90810</t>
  </si>
  <si>
    <t>Impossible d’accéder à la page flottes mobiles ( https://flottesmobiles.orange-guinee.com/home )</t>
  </si>
  <si>
    <t>MFM/flottes mobiles</t>
  </si>
  <si>
    <t>1811W92678</t>
  </si>
  <si>
    <r>
      <t>Echec de réception de notification SM</t>
    </r>
    <r>
      <rPr>
        <sz val="12"/>
        <rFont val="Calibri"/>
        <family val="2"/>
        <scheme val="minor"/>
      </rPr>
      <t>S via OM</t>
    </r>
  </si>
  <si>
    <t>SMS via OM</t>
  </si>
  <si>
    <t>temps de réponse élevé entre les différents modules du SMSC</t>
  </si>
  <si>
    <t>redémarrage du module MGW</t>
  </si>
  <si>
    <t xml:space="preserve">1811X08560  </t>
  </si>
  <si>
    <t>Rétablissement de connexion  avec le partenaire</t>
  </si>
  <si>
    <t>1811X15286</t>
  </si>
  <si>
    <t>Instabilité dans la souscription au service et la réception des contenus (*111#)</t>
  </si>
  <si>
    <t>1811X17891</t>
  </si>
  <si>
    <t xml:space="preserve"> 1811X19595</t>
  </si>
  <si>
    <t>Echec de 50% des notifications après transactions E-recharge</t>
  </si>
  <si>
    <t>Perte de connexion dû à la migration de l’application bancaire principale du partenaire</t>
  </si>
  <si>
    <t>1811Y00263</t>
  </si>
  <si>
    <t>Echec de 50% de réception de notifications après transactions E-recharge</t>
  </si>
  <si>
    <t>1811Y20305  </t>
  </si>
  <si>
    <t>Dégradation du service Orange Money</t>
  </si>
  <si>
    <t>Soucis sur le HA et basculement automatique sur le firewall backup Camayenne.</t>
  </si>
  <si>
    <t>Rebasculement sur le firewall primaire et reconfiguration du HA</t>
  </si>
  <si>
    <t>Dégradation du service Orange &amp; Moi</t>
  </si>
  <si>
    <t>1811Y22022</t>
  </si>
  <si>
    <t>Data Mobile, Voix</t>
  </si>
  <si>
    <t>Basculement de trafic sur Camayenne puis soudure de la fibre</t>
  </si>
  <si>
    <t xml:space="preserve">Perte de connexion dû à la migration de l’application bancaire principale
du partenaire
</t>
  </si>
  <si>
    <t>1811Y60838</t>
  </si>
  <si>
    <r>
      <t>Non réception de notifications SMS après transaction</t>
    </r>
    <r>
      <rPr>
        <sz val="11"/>
        <color rgb="FF1F497D"/>
        <rFont val="Calibri"/>
        <family val="2"/>
        <scheme val="minor"/>
      </rPr>
      <t xml:space="preserve">s </t>
    </r>
    <r>
      <rPr>
        <sz val="11"/>
        <rFont val="Calibri"/>
        <family val="2"/>
        <scheme val="minor"/>
      </rPr>
      <t>Ecobank</t>
    </r>
  </si>
  <si>
    <t>Problème de connectivité de la plateforme tango au SMSC</t>
  </si>
  <si>
    <t>1811Y60839</t>
  </si>
  <si>
    <r>
      <t>Non réception de notifications SMS après transaction</t>
    </r>
    <r>
      <rPr>
        <sz val="11"/>
        <color rgb="FF1F497D"/>
        <rFont val="Calibri"/>
        <family val="2"/>
        <scheme val="minor"/>
      </rPr>
      <t>s</t>
    </r>
    <r>
      <rPr>
        <sz val="11"/>
        <rFont val="Calibri"/>
        <family val="2"/>
        <scheme val="minor"/>
      </rPr>
      <t xml:space="preserve"> UBA</t>
    </r>
  </si>
  <si>
    <t>Non réception de notifications SMS après transfert d'argent</t>
  </si>
  <si>
    <t>Orange Money P2P</t>
  </si>
  <si>
    <t>1811Y62863</t>
  </si>
  <si>
    <t>Problème de connectivité de la plateforme Zebra au SMSC</t>
  </si>
  <si>
    <t>1811Y64748</t>
  </si>
  <si>
    <t>  1811Y88207</t>
  </si>
  <si>
    <t>Impossible  d’effectuer le réabonnement StarTimes via OM</t>
  </si>
  <si>
    <t>L'indisponibilité était due à un ATP coté StarTimes</t>
  </si>
  <si>
    <t>Fin de l'ATP</t>
  </si>
  <si>
    <t xml:space="preserve">1811Z21149 </t>
  </si>
  <si>
    <t>Indisponibilité du service Agrobusiness (*113#)</t>
  </si>
  <si>
    <t>Non renouvellement  de l’hébergement du Service</t>
  </si>
  <si>
    <t>renouvellement  de l’hébergement</t>
  </si>
  <si>
    <t> 1811Z21149 </t>
  </si>
  <si>
    <t xml:space="preserve">Indisponibilité des services Voix, Data, Sms et Ussd pour les PQ suivants : 628,626,6205 à 6209,6297 à 6299 et quelque numéro du personnelle </t>
  </si>
  <si>
    <t>Redémarrage de la base TT de l’OCS3</t>
  </si>
  <si>
    <t>1811A17835</t>
  </si>
  <si>
    <t>Indisponibilité du service Gameloft (*111*6#)</t>
  </si>
  <si>
    <t>GAMELOFT</t>
  </si>
  <si>
    <t>1811A28820</t>
  </si>
  <si>
    <t xml:space="preserve"> 3% d'Echecs sur les transactions E-recharge</t>
  </si>
  <si>
    <t>Temps de réponse élevé entre Zébra et IN</t>
  </si>
  <si>
    <t>1811A29160</t>
  </si>
  <si>
    <t>Instabilités sur les services transfert data(*222*8#) et report avantage(*118*1#)</t>
  </si>
  <si>
    <t>Transfert Data &amp; Report Avantage</t>
  </si>
  <si>
    <t>Instabilité du Serveur WS</t>
  </si>
  <si>
    <t>1812A26878</t>
  </si>
  <si>
    <t>Indisponibilité de la Plateforme Orange Infra</t>
  </si>
  <si>
    <t>Orange Money , Otap, MyOrange ,MFM, webtop</t>
  </si>
  <si>
    <t>Hausse de température dans la salle hébergeant la plateforme orange infra à Sonfonia provoquant ainsi l’arrêt des serveurs de la plateforme</t>
  </si>
  <si>
    <t>Redémarrage des serveurs arrêtés / Redémarrage des VMs de chaque service impacté / Remise en ligne des différents services</t>
  </si>
  <si>
    <t>Redémarrage des serveurs arrêtés / Redémarrage des VMs de chaque service impacté / Remise en marche du serveur tomcat</t>
  </si>
  <si>
    <t>Coupure de la fibre à 42Km de Mako vers NiCloso (Sénégal )</t>
  </si>
  <si>
    <t>Impossible d'émettre et de recevoir des appels (voix)vers le Burkina Faso</t>
  </si>
  <si>
    <t>Arrêt anormale du serveur</t>
  </si>
  <si>
    <t>Le flux entre les Load Balancer et le Web server a été supprimé par erreur humaine lors d’une session de trouble shooting d’ouverture de flux.</t>
  </si>
  <si>
    <t>Autorisation à nouveau de ce flux sur le firewall</t>
  </si>
  <si>
    <t>Réception de requêtes https sur l’interface du SDP entrainant le redémarrage du module AGW.</t>
  </si>
  <si>
    <t>Une reconfiguration a été faite pour empêcher la réception des requêtes https sur l’interface du SDP</t>
  </si>
  <si>
    <t>Des changements récents dans la redirection selon MCO ont affecté plusieurs portails, dont OGN USSD.</t>
  </si>
  <si>
    <t>Correction des changements éffectués</t>
  </si>
  <si>
    <t xml:space="preserve">1812A55704 </t>
  </si>
  <si>
    <t>Echec des transactions E-Recharge avec un impact de 100%</t>
  </si>
  <si>
    <t>1812A79547</t>
  </si>
  <si>
    <t>1812A88731</t>
  </si>
  <si>
    <t>Indisponibilité de la chaine RTG sur Mobile TV</t>
  </si>
  <si>
    <t>1812A64463</t>
  </si>
  <si>
    <t>1812A97593 </t>
  </si>
  <si>
    <t>Impossible d’effectuer son réabonnement canal+ via OM</t>
  </si>
  <si>
    <t>Perte de connexion dû à un probleme de Firewall du partenaire Canal</t>
  </si>
  <si>
    <t>Redemarrage du Firewall</t>
  </si>
  <si>
    <t xml:space="preserve">1812B58089 </t>
  </si>
  <si>
    <t>Impossible d’accéder à  l’interface WEB de l’outil  de gestion des contenus centralisés</t>
  </si>
  <si>
    <t>Inconsistance file system sur la Vm de base de données</t>
  </si>
  <si>
    <t>1812C04414</t>
  </si>
  <si>
    <t xml:space="preserve">E-recharge </t>
  </si>
  <si>
    <t>Problème de connectivité en la plateforme IN &amp; Zebra</t>
  </si>
  <si>
    <t>Redémarrage du processus smpp de transfère de demandes ws à olc</t>
  </si>
  <si>
    <t>ZTE</t>
  </si>
  <si>
    <t>Perte du signal de la chaîne</t>
  </si>
  <si>
    <r>
      <t>Dégradation de la QOS Data, Voix</t>
    </r>
    <r>
      <rPr>
        <b/>
        <sz val="12"/>
        <rFont val="Times New Roman"/>
        <family val="1"/>
      </rPr>
      <t xml:space="preserve"> </t>
    </r>
    <r>
      <rPr>
        <sz val="12"/>
        <rFont val="Times New Roman"/>
        <family val="1"/>
      </rPr>
      <t>dans les zones de Labé,Siguiri,Kankan,Kamsar,Nzerekoré</t>
    </r>
  </si>
  <si>
    <t>1812C52212</t>
  </si>
  <si>
    <t>indisponibilité du code ussd *144*5#</t>
  </si>
  <si>
    <r>
      <t xml:space="preserve">Orange Money add-on / Bank to wallet / Ecobank &amp; </t>
    </r>
    <r>
      <rPr>
        <u/>
        <sz val="11"/>
        <color rgb="FF000000"/>
        <rFont val="Times New Roman"/>
        <family val="1"/>
      </rPr>
      <t>UBA</t>
    </r>
  </si>
  <si>
    <t>1812D42531</t>
  </si>
  <si>
    <t>1812D45264</t>
  </si>
  <si>
    <t>1812D79652</t>
  </si>
  <si>
    <t>1812D78355</t>
  </si>
  <si>
    <t>50% d’Echec de réception de notifications après transactions E-recharge</t>
  </si>
  <si>
    <t>1812E10413</t>
  </si>
  <si>
    <t>Perte  de trafic sur le lien KIPE-CAMAYENNE</t>
  </si>
  <si>
    <t>DATA Mobile</t>
  </si>
  <si>
    <t>Coupure de fibre du lien Kipé-Camayenne à taouyah, à 4 Km de Kipé</t>
  </si>
  <si>
    <t>Soudure de Fibre</t>
  </si>
  <si>
    <t>HUAWEI</t>
  </si>
  <si>
    <t>1812E13564</t>
  </si>
  <si>
    <t>1812E36137</t>
  </si>
  <si>
    <t>Indisponibilité du service report avantage(*118*1#)</t>
  </si>
  <si>
    <t>Report avantage(*118*1#)</t>
  </si>
  <si>
    <t xml:space="preserve">Inconnue </t>
  </si>
  <si>
    <t>1812E39467</t>
  </si>
  <si>
    <t>1812E42313</t>
  </si>
  <si>
    <t>Impossible d’accéder au service CMS via 8036</t>
  </si>
  <si>
    <t>1812E53356</t>
  </si>
  <si>
    <t>Dégradation de la QOS Voix et la data mobile dans la zone de Labé,Siguiri,Kankan,Kamsar,Nzerekoré</t>
  </si>
  <si>
    <t>Voix &amp; Data mobile</t>
  </si>
  <si>
    <t>1812E54986</t>
  </si>
  <si>
    <t>1812E58549</t>
  </si>
  <si>
    <t>Orange et moi, Otap,Gameloft,Agrobusiness,CMS, Report avantage</t>
  </si>
  <si>
    <t>Constat d’une disjonction qui a impacté la baie NetApp.</t>
  </si>
  <si>
    <t>Ré-enclenchement des disjoncteurs, Redémarrage des machines virtuelles et Remise en ligne des différents services</t>
  </si>
  <si>
    <t>Indisponibilité des services passant par le SDP</t>
  </si>
  <si>
    <t>1812E65717</t>
  </si>
  <si>
    <t>1812E66354</t>
  </si>
  <si>
    <t>1812E66781</t>
  </si>
  <si>
    <t xml:space="preserve">1812E69175 </t>
  </si>
  <si>
    <t>1812E82948 </t>
  </si>
  <si>
    <t>1812E91593</t>
  </si>
  <si>
    <t>1812E91968</t>
  </si>
  <si>
    <t>1812F00246</t>
  </si>
  <si>
    <t>1812F30847</t>
  </si>
  <si>
    <t>1812F59715</t>
  </si>
  <si>
    <t>1812F74717</t>
  </si>
  <si>
    <t>1812F77757</t>
  </si>
  <si>
    <t>1812F85714</t>
  </si>
  <si>
    <t>1812F87281</t>
  </si>
  <si>
    <t>1812F33466 </t>
  </si>
  <si>
    <t>1812F97508</t>
  </si>
  <si>
    <t>1812G08924</t>
  </si>
  <si>
    <t>1812G21321</t>
  </si>
  <si>
    <t>Navigation Internet, Tango, Right Q, Robot Daset, CIS, Pretups, Uniportal, KYC,Kapptivate</t>
  </si>
  <si>
    <t>Indisponibilité des services et Outils passant par le LAN</t>
  </si>
  <si>
    <t>En attente du rapport d'incident de la Sonatel</t>
  </si>
  <si>
    <t>Impossible d’effectuer des Réabonnements Canal+ via OM</t>
  </si>
  <si>
    <t>Saturation du serveur Web de Canal +</t>
  </si>
  <si>
    <t>Panne Réseau</t>
  </si>
  <si>
    <t>Redémarrage du VPN</t>
  </si>
  <si>
    <t>Dégradation du service KMC</t>
  </si>
  <si>
    <t>Indisponibilité du moteur de recherche dû au reboot des VMs</t>
  </si>
  <si>
    <t>Remise des fichiers manquants et redémarrage du service Apache et de la VM (opkmcgosapp02)</t>
  </si>
  <si>
    <t>Indisponibilité du service Report avantage(*118*1#)</t>
  </si>
  <si>
    <t>Liée à l'incident sur KM4 1812E58549</t>
  </si>
  <si>
    <t xml:space="preserve">Impossible d’accéder au menu *113# </t>
  </si>
  <si>
    <t>Retard de renouvellement de l'herbergement</t>
  </si>
  <si>
    <t>Impossible d’effectuer des  payements en ligne via OM</t>
  </si>
  <si>
    <t>Redémarrage de la base de données</t>
  </si>
  <si>
    <t>Orange Money add-on / Startimes</t>
  </si>
  <si>
    <t>Impossible d’effectuer des Réabonnements Startimes via OM</t>
  </si>
  <si>
    <t>Consultation Solde Data [*222*5#]</t>
  </si>
  <si>
    <t>Indisponibilité du service Consultation Solde Data via USSD</t>
  </si>
  <si>
    <t>En attente de DevOps</t>
  </si>
  <si>
    <t>Dégradation du service Orange Money [Impact :14%]</t>
  </si>
  <si>
    <t>1810M10095</t>
  </si>
  <si>
    <t>1812F97672|1812G35593</t>
  </si>
  <si>
    <t>Instabilité du service Report avantage(*118*1#)</t>
  </si>
  <si>
    <t>Souci de connexion entre OTAP er Report Avantage</t>
  </si>
  <si>
    <t>1812G26499</t>
  </si>
  <si>
    <t>Impossible d’accéder au service CMS via le canal USSD et SMS</t>
  </si>
  <si>
    <t>Les Vms NAG_DS étaient figées</t>
  </si>
  <si>
    <t>Redémarrage de ces VMs</t>
  </si>
  <si>
    <t>1812G38476</t>
  </si>
  <si>
    <t>1812G45792</t>
  </si>
  <si>
    <t>1812G76059</t>
  </si>
  <si>
    <t>1812G80056</t>
  </si>
  <si>
    <t>DATA (internet ACE Sonatel)</t>
  </si>
  <si>
    <t>Perte de trafic sur la sortie Internet ACE Sonatel</t>
  </si>
  <si>
    <t>1812H00465</t>
  </si>
  <si>
    <t>1812H32370</t>
  </si>
  <si>
    <t>1812H46504</t>
  </si>
  <si>
    <t>1812E35644</t>
  </si>
  <si>
    <t>Instabilité sur le service Transfert Data</t>
  </si>
  <si>
    <t>Augementation du délai de reponse Web Service</t>
  </si>
  <si>
    <t>Time out</t>
  </si>
  <si>
    <t>1812H73488</t>
  </si>
  <si>
    <t>1812B51272/1812B50786</t>
  </si>
  <si>
    <t>Redémarrage des Vms et la BD</t>
  </si>
  <si>
    <t>1812C31681/1812C33416</t>
  </si>
  <si>
    <t>Problème de connectivité de la plateforme Zebra et SMSC</t>
  </si>
  <si>
    <t>Indisponibilité de la connexion entre le serveur d'application et la base de données dû aux nombres élevé de connexions et de transactions à la base de données</t>
  </si>
  <si>
    <t>Investigations cours entre les équipes SSPO Orange Money, GIN RUN et GIN CORE NETWORK.</t>
  </si>
  <si>
    <t>GNOC/DevOps</t>
  </si>
  <si>
    <t xml:space="preserve">TQ probleme 1812E57350 </t>
  </si>
  <si>
    <t>Voix, Data, SMS, USSD, E-Recharge</t>
  </si>
  <si>
    <t>Chute du trafic internet Dalein Kedougou</t>
  </si>
  <si>
    <r>
      <t>Echecs  à 30</t>
    </r>
    <r>
      <rPr>
        <sz val="8"/>
        <color theme="1"/>
        <rFont val="Arial"/>
        <family val="2"/>
      </rPr>
      <t xml:space="preserve">%  des Transactions </t>
    </r>
    <r>
      <rPr>
        <sz val="8"/>
        <color rgb="FF000000"/>
        <rFont val="Arial"/>
        <family val="2"/>
      </rPr>
      <t> E-recharge</t>
    </r>
    <r>
      <rPr>
        <sz val="8"/>
        <color theme="1"/>
        <rFont val="Arial"/>
        <family val="2"/>
      </rPr>
      <t xml:space="preserve"> </t>
    </r>
  </si>
  <si>
    <t>Sem 01</t>
  </si>
  <si>
    <t>Sem 02</t>
  </si>
  <si>
    <t xml:space="preserve">1901H81767 </t>
  </si>
  <si>
    <t>1812D46574</t>
  </si>
  <si>
    <t>1812F97672</t>
  </si>
  <si>
    <t>1901I12073</t>
  </si>
  <si>
    <t xml:space="preserve">1901I15698 </t>
  </si>
  <si>
    <t>1901I22691</t>
  </si>
  <si>
    <t>1901I43254</t>
  </si>
  <si>
    <t>1901I70930</t>
  </si>
  <si>
    <t>1901I84069</t>
  </si>
  <si>
    <t>Data Mobile,voix</t>
  </si>
  <si>
    <t>Report avantage</t>
  </si>
  <si>
    <t xml:space="preserve">Orange Money add-on / Canal+ </t>
  </si>
  <si>
    <t>Dégradation de service due à des  Perte de paquets sur le BB DALEIN  to FELLOSORE</t>
  </si>
  <si>
    <t>Instabilité sur le service Report avantage(*118*1#)</t>
  </si>
  <si>
    <t>Impossible d’effectuer du réabonnement canal+ via OM</t>
  </si>
  <si>
    <t>Instabilité de la liaison entre l'EPG et OCS</t>
  </si>
  <si>
    <t xml:space="preserve"> Une instabilité due aux conditions climatiques</t>
  </si>
  <si>
    <t>Surcharge des services Web de Canal+</t>
  </si>
  <si>
    <t>Aucune action</t>
  </si>
  <si>
    <t xml:space="preserve">Soucis de connexion entre OTAP et le serveur report avantage </t>
  </si>
  <si>
    <t>1901J19474</t>
  </si>
  <si>
    <t>1901J35803</t>
  </si>
  <si>
    <t>1901J39986</t>
  </si>
  <si>
    <t xml:space="preserve">1901J50281 </t>
  </si>
  <si>
    <t>1901J75680</t>
  </si>
  <si>
    <t>1901J82501</t>
  </si>
  <si>
    <t xml:space="preserve">CSD-20970 </t>
  </si>
  <si>
    <t xml:space="preserve">1901K17009 </t>
  </si>
  <si>
    <t xml:space="preserve"> 1901K27666</t>
  </si>
  <si>
    <t>1901K50947</t>
  </si>
  <si>
    <t>Impossible d’accéder au page d’achat pass via le lien http</t>
  </si>
  <si>
    <t>Impossible d’accéder au service FFC via le code *191#</t>
  </si>
  <si>
    <t>Base de donnée verrouillé</t>
  </si>
  <si>
    <t> Inconnue</t>
  </si>
  <si>
    <t>Dû à un APT côté DIF (T801042519)</t>
  </si>
  <si>
    <t>Perte de connexion entre la plateforme locale et centralisée suite à un ATP sur le GIN (T712072773)</t>
  </si>
  <si>
    <t>Indisponibilité du Lien  IPSEC AIRTEL - OGN</t>
  </si>
  <si>
    <t>ATP effectué côté Canal sur un équipement reseau sans informer SSPO</t>
  </si>
  <si>
    <t>Débordement régulier du filesystem suite à l'augmentation du trafic et donc du volume journalier de log.</t>
  </si>
  <si>
    <t> Réduction en moitié la consommation de log en supprimant le logging du champ User-Agent</t>
  </si>
  <si>
    <r>
      <t>Problème sur l’interface EJET du réseaux GIN</t>
    </r>
    <r>
      <rPr>
        <sz val="9"/>
        <color rgb="FF1F497D"/>
        <rFont val="Arial"/>
        <family val="2"/>
      </rPr>
      <t xml:space="preserve">  </t>
    </r>
  </si>
  <si>
    <t>Redémarrages du serveur de file d’attente</t>
  </si>
  <si>
    <t>Problème sur le server de file d’attente(les files d'attente n'étaient pas traitées avec succès)</t>
  </si>
  <si>
    <t>1802I94203</t>
  </si>
  <si>
    <t>En attente du rapport de l’équipe gameloft</t>
  </si>
  <si>
    <t>Gameloft/GNOC</t>
  </si>
  <si>
    <t>Probleme reseau entre le serveur physique sur hebergeant le serveur Proxy et le Serveur NetApp</t>
  </si>
  <si>
    <t>Baisse du trafic sur le SGSN et le GGSN de Dalein</t>
  </si>
  <si>
    <t>perte des configs DNS sur le SGSN de Dalein</t>
  </si>
  <si>
    <t>GNOC/SSPO</t>
  </si>
  <si>
    <t>ASBD/GOS</t>
  </si>
  <si>
    <t>Perte des paramètres du noyau pour le transfert d'adresse IP suite à ATP de OpenWatt ( redemarrage du VPN )</t>
  </si>
  <si>
    <t>Reconfiguration du noyau</t>
  </si>
  <si>
    <t>ASBD/OLS</t>
  </si>
  <si>
    <t>Orange Money addon / Web Payment</t>
  </si>
  <si>
    <t>Indisponibilité du serveur proxy du partenaire</t>
  </si>
  <si>
    <t>Retablissement du serveur proxy</t>
  </si>
  <si>
    <t>Indisponibilité du Web Service</t>
  </si>
  <si>
    <t>déploiement du F5 pour le load balancing et migration des services</t>
  </si>
  <si>
    <t>verrouillage de la base de données</t>
  </si>
  <si>
    <t>Disque défectueux et indisponibilité du server SMP</t>
  </si>
  <si>
    <t>Reset du server SMP à partir de l'interface AO et changement des disk faulty sur SMP server</t>
  </si>
  <si>
    <t>Perte de connexion dû à la migration vers la nouvelle application bancaire</t>
  </si>
  <si>
    <t>Fin de migration</t>
  </si>
  <si>
    <t>Probleme de configuration dans les paramètres du réseau local du partenaire</t>
  </si>
  <si>
    <t>Correction des erreurs</t>
  </si>
  <si>
    <t xml:space="preserve">Orange Money Add-on / Web Payment / Guinee Games  </t>
  </si>
  <si>
    <t>Migration du traffic vers la VM utilisant l'ancien version de l'application</t>
  </si>
  <si>
    <t>Indisponibilité de la nouvelle version du module d'interface du pays (CIM) dû à un traffic élevé</t>
  </si>
  <si>
    <t>Orange Money add-on / Web payment Guineegames</t>
  </si>
  <si>
    <t>Indisponibilité du Web service</t>
  </si>
  <si>
    <t>Redemarrage du serveur et des instances et resconstruction du cluster du serveur Myriad</t>
  </si>
  <si>
    <t>Saturation de l'espace alloué au Cinder et Indisponibilité du serveur memcached</t>
  </si>
  <si>
    <t>Saturation de l'espace alloué au Cinder et Indisponibilité des instances utilisant des volumes SAS CINDER</t>
  </si>
  <si>
    <t>Augmentation du volume Netapp de 2 To et Redemarrage des instances</t>
  </si>
  <si>
    <t>1804A02498/1804A01498</t>
  </si>
  <si>
    <t>1805A68580/1805A68841</t>
  </si>
  <si>
    <t>1805F98115/1805F98259</t>
  </si>
  <si>
    <t>Sem 03</t>
  </si>
  <si>
    <t>1901K88575</t>
  </si>
  <si>
    <t>1901L23528</t>
  </si>
  <si>
    <t>1901L46815</t>
  </si>
  <si>
    <t>1901L60284</t>
  </si>
  <si>
    <t>1901L85689</t>
  </si>
  <si>
    <t>1901L96648</t>
  </si>
  <si>
    <t>1901M40764</t>
  </si>
  <si>
    <t>1901M73456</t>
  </si>
  <si>
    <t>1901M87432</t>
  </si>
  <si>
    <t>Voix, Data, SMS et USSD</t>
  </si>
  <si>
    <t>Rétablissement de connexion avec le partenaire</t>
  </si>
  <si>
    <t>Baisse de trafic sur la sortie Internet Dalein-Kedougou</t>
  </si>
  <si>
    <t>Coupure de fibre optique entre MAKO et NIOKO</t>
  </si>
  <si>
    <t>Soudure de la fibre optique</t>
  </si>
  <si>
    <t>Indisponibilité des services sur la 3G pour les zones couvertes par la RNC6</t>
  </si>
  <si>
    <t>Indisponibilité du trafic sur la RNC6</t>
  </si>
  <si>
    <t>Huawei</t>
  </si>
  <si>
    <t>Sem 04</t>
  </si>
  <si>
    <t>1901N01011</t>
  </si>
  <si>
    <t>1901N04310</t>
  </si>
  <si>
    <t>Impossible pour certains numéros postpaid d’envoyer et de recevoir des SmS</t>
  </si>
  <si>
    <t>1901N19165</t>
  </si>
  <si>
    <t>Les settings ne sont pas reçu par les utilisateurs</t>
  </si>
  <si>
    <t xml:space="preserve">Problème d’alimentation controller 2 ou un module défectueux et son service processor </t>
  </si>
  <si>
    <t>Remis en ligne du contrôleur2  avec l’aide de OGN sur site puis Le redémarrage des VMs sur le datastore géré par ce Contrôleur</t>
  </si>
  <si>
    <t>1901N30773</t>
  </si>
  <si>
    <t>1901N52441</t>
  </si>
  <si>
    <t xml:space="preserve">DSTK/SMSC  </t>
  </si>
  <si>
    <t>Les clients ne peuvent pas exécuter de campagnes et mettre à jour les menus de la carte SIM</t>
  </si>
  <si>
    <t>1901N72126</t>
  </si>
  <si>
    <t>1901N88756</t>
  </si>
  <si>
    <t xml:space="preserve">1901O03761 </t>
  </si>
  <si>
    <t>Echec de transaction via orange Money</t>
  </si>
  <si>
    <t>Causé par l'opération planifiée du DIF T901043214</t>
  </si>
  <si>
    <t>Généré par une modification du  fichier DIF liée au swaan</t>
  </si>
  <si>
    <t>1901O16402</t>
  </si>
  <si>
    <t>1901O48093</t>
  </si>
  <si>
    <t>Sem 05</t>
  </si>
  <si>
    <t>Quelques numéros POSTPAID se sont retrouvés dans la liste extraite via UDM pour les derniers PQ lancés. La licence UDM a expiré, malgré la mise à jour faite par ZTE</t>
  </si>
  <si>
    <t>rollback immediat sur les POSTPAID des PQ  concernés</t>
  </si>
  <si>
    <t xml:space="preserve"> Dû aux tests de migration de DSTK v2 vers DSTK v3</t>
  </si>
  <si>
    <t>Achevement de la migration</t>
  </si>
  <si>
    <t>Orange Money/Addon/B2W / Ecobank &amp; UBA/Openwatt</t>
  </si>
  <si>
    <t>Orange Money / Core, Tango</t>
  </si>
  <si>
    <t>1901O53363</t>
  </si>
  <si>
    <t>1901O72409</t>
  </si>
  <si>
    <t>1901P03709</t>
  </si>
  <si>
    <t>1901P42586</t>
  </si>
  <si>
    <t>1901P73844</t>
  </si>
  <si>
    <t>1902Q03433</t>
  </si>
  <si>
    <t>1902Q20934</t>
  </si>
  <si>
    <t>Sem 06</t>
  </si>
  <si>
    <t>1902Q32568</t>
  </si>
  <si>
    <t>1902Q62764</t>
  </si>
  <si>
    <t>1902Q63911</t>
  </si>
  <si>
    <t>Chute de trafic sur la sortie Internet Dalein-Kedougou</t>
  </si>
  <si>
    <t>coupure de fibre entre Thies MUX3 et Kamberene (Senegal)</t>
  </si>
  <si>
    <t xml:space="preserve">1902Q69545 </t>
  </si>
  <si>
    <t>Orange Money add-on / WEB Payments</t>
  </si>
  <si>
    <t xml:space="preserve">Impossible d’effectuer des payements en ligne </t>
  </si>
  <si>
    <t>Due à un ATP de mise à jour de la version du MPayment</t>
  </si>
  <si>
    <t>1902Q91718</t>
  </si>
  <si>
    <t>1902R20014</t>
  </si>
  <si>
    <t>1902R29247</t>
  </si>
  <si>
    <t>Non réception de notification après des transactions Orange Money</t>
  </si>
  <si>
    <t>perte de connexion entre le MRE,1 et le SFE,13 sur l'SMSC de Camayenne</t>
  </si>
  <si>
    <t>Redémarrage des MREs</t>
  </si>
  <si>
    <t>1902R48303</t>
  </si>
  <si>
    <t>CSD-21757|P1</t>
  </si>
  <si>
    <t>Verrouillage de session</t>
  </si>
  <si>
    <t>Suppression du verrou</t>
  </si>
  <si>
    <t>1902R75608</t>
  </si>
  <si>
    <t>1902R98995</t>
  </si>
  <si>
    <t>SUPERVISION</t>
  </si>
  <si>
    <t>Sem 07</t>
  </si>
  <si>
    <t>1902S08711/1902S34181</t>
  </si>
  <si>
    <r>
      <t>Non réception de notification après transaction E-recharge</t>
    </r>
    <r>
      <rPr>
        <sz val="12"/>
        <color rgb="FF1F497D"/>
        <rFont val="Cambria"/>
        <family val="1"/>
      </rPr>
      <t xml:space="preserve"> </t>
    </r>
  </si>
  <si>
    <t>Redémarrage fréquent de la liaison Zebra-SMSC entrainant une file d'attente des sms à délivrer</t>
  </si>
  <si>
    <t>Liaison stabilisée</t>
  </si>
  <si>
    <t>1902S11232</t>
  </si>
  <si>
    <t>1902S41892</t>
  </si>
  <si>
    <t>Verrouillage de la base de données par un processus</t>
  </si>
  <si>
    <t>Redémarrage de la Base de données</t>
  </si>
  <si>
    <t>1902S43275</t>
  </si>
  <si>
    <t xml:space="preserve">Orange Money add-on /Webpayement </t>
  </si>
  <si>
    <t>Impossible d’effectuer des transactions en ligne</t>
  </si>
  <si>
    <t>Débordement ATP</t>
  </si>
  <si>
    <t>Le service est remonté à la fin de l’ATP</t>
  </si>
  <si>
    <t>1902S70193</t>
  </si>
  <si>
    <t>1902T08583</t>
  </si>
  <si>
    <t>1902T49473</t>
  </si>
  <si>
    <t>Orange Money add-on / Bank to wallet / UBA &amp; ECOBANK</t>
  </si>
  <si>
    <t>problème de base de données</t>
  </si>
  <si>
    <t>Augmentation du nombre maximum de connexions de 500 à 700 et Redémarrage du Cluster de Base de données</t>
  </si>
  <si>
    <t>1902T76184</t>
  </si>
  <si>
    <t>Dû à une opération effectuer par le partenaire Canal+</t>
  </si>
  <si>
    <t>Le service est remonté à la fin de l’opération</t>
  </si>
  <si>
    <t>1902T94777</t>
  </si>
  <si>
    <t>Paddock Services</t>
  </si>
  <si>
    <t>le trafic SMS était redirigé vers une autre instance de la base de données Redis.</t>
  </si>
  <si>
    <t>Redirection vers l'instance normale</t>
  </si>
  <si>
    <t>1902T99962</t>
  </si>
  <si>
    <t>1902U28145</t>
  </si>
  <si>
    <t>1902U37284</t>
  </si>
  <si>
    <t>retard dans le traitement des transactions internationales (Réception d'argent via OM)</t>
  </si>
  <si>
    <t>1902U56117</t>
  </si>
  <si>
    <t xml:space="preserve">1902U82909 </t>
  </si>
  <si>
    <t>1902V17995</t>
  </si>
  <si>
    <t>1902V46329</t>
  </si>
  <si>
    <t xml:space="preserve">Dû à un problème de capacité </t>
  </si>
  <si>
    <t>recréer des instances permettant de disposer de leurs propres ressources</t>
  </si>
  <si>
    <t>1902V68310</t>
  </si>
  <si>
    <t>1902W01329</t>
  </si>
  <si>
    <t>1902W21501</t>
  </si>
  <si>
    <t>Impossible de souscrire au service CMS (*111#)</t>
  </si>
  <si>
    <t>activité de travaux planifiée ( Hors délais )</t>
  </si>
  <si>
    <t>Le service est rétabli après un roll back effectué par le partenaire IMI</t>
  </si>
  <si>
    <t>1902W33145</t>
  </si>
  <si>
    <t>Orange Money add-on / Bank to wallet /Ecobank</t>
  </si>
  <si>
    <t>1902W48271</t>
  </si>
  <si>
    <t>Orange Money add-on / Bank to wallet / UBA &amp; Ecobank</t>
  </si>
  <si>
    <t>Problème avec la base de données</t>
  </si>
  <si>
    <t>Redémarrage de la base de donnée</t>
  </si>
  <si>
    <t>1903W79542</t>
  </si>
  <si>
    <t>SOS crédit &amp; Paie pour moi</t>
  </si>
  <si>
    <t>Impossible de souscrire au service Sos crédit (*121#) et paie for me (*101#)</t>
  </si>
  <si>
    <t>Le serveur SMP qui héberge le service SOS crédit &amp; P4Me était indisponible par ssh</t>
  </si>
  <si>
    <t>redémarrage du SMP1 via l'interface graphique IO et le service a basculé automatiquement vers SMP2</t>
  </si>
  <si>
    <t>1902W61594</t>
  </si>
  <si>
    <t>Correction du beug dans la version openvswitch pour minimiser le temps de réponse</t>
  </si>
  <si>
    <t>Problème de règles de la table IP suite à une augmentation des infrastructures Openswitch</t>
  </si>
  <si>
    <t>1903W88850</t>
  </si>
  <si>
    <t>1903X11649</t>
  </si>
  <si>
    <t>1903X13906 1903X14387</t>
  </si>
  <si>
    <t xml:space="preserve">Echec des transactions E-recharge </t>
  </si>
  <si>
    <t>Redémarrage du firewall</t>
  </si>
  <si>
    <t>1903X24049</t>
  </si>
  <si>
    <t>1903X16297</t>
  </si>
  <si>
    <t>1903X50710</t>
  </si>
  <si>
    <t xml:space="preserve">1903X70635 </t>
  </si>
  <si>
    <t>1903X81466</t>
  </si>
  <si>
    <t>1903X88560</t>
  </si>
  <si>
    <t>1903Y08863</t>
  </si>
  <si>
    <t>1903Y13015</t>
  </si>
  <si>
    <t>1903Y36023</t>
  </si>
  <si>
    <t>1903Y41775</t>
  </si>
  <si>
    <t>Impossible d’accéder au service  Google RCS / Core / Orange Cloud @ Google</t>
  </si>
  <si>
    <t>investigation en cours</t>
  </si>
  <si>
    <t>Myorange</t>
  </si>
  <si>
    <t>Impossible de consulter son solde où de gérer son compte via l’application Myorange</t>
  </si>
  <si>
    <t>Service remonté à la fin de l'ATP</t>
  </si>
  <si>
    <t>Paddock Services / AAS SMS Gate / SMSW  ( impact 100%)</t>
  </si>
  <si>
    <t>Impossible d’utiliser les fonctionnalité SMS</t>
  </si>
  <si>
    <t>Non identifiée</t>
  </si>
  <si>
    <t>CMS,Gameloft,OTAP, Paddock</t>
  </si>
  <si>
    <t>Indisponibilité des liens PKIP101 et PSON101</t>
  </si>
  <si>
    <t>Orange Cloud @ Google</t>
  </si>
  <si>
    <t>1903Y80167</t>
  </si>
  <si>
    <t xml:space="preserve">Requête sans réponse très élevé sur les DNSs </t>
  </si>
  <si>
    <t>Taux d’utilisation CPU élevé sur le fire Wall DMZ</t>
  </si>
  <si>
    <t>1903Z51379</t>
  </si>
  <si>
    <t>1903Z53249</t>
  </si>
  <si>
    <t>1903Z54585</t>
  </si>
  <si>
    <t>1903Z78885</t>
  </si>
  <si>
    <t>1903Z86019</t>
  </si>
  <si>
    <t xml:space="preserve">1903A20309 </t>
  </si>
  <si>
    <t>1903Z96665</t>
  </si>
  <si>
    <t>1903A33848</t>
  </si>
  <si>
    <t xml:space="preserve">1903A56085  </t>
  </si>
  <si>
    <t>1903A57465</t>
  </si>
  <si>
    <t>Investigations en cours (Ticket problème 1903Z65085)</t>
  </si>
  <si>
    <t>Orange Money /cross selling</t>
  </si>
  <si>
    <t>Instabilité des services Marchant P2P OM et Distributeur consultation solde OM</t>
  </si>
  <si>
    <t>Transfert Data et Report Avantage</t>
  </si>
  <si>
    <t>Indisponibilité des services Transfert Data et Report Avantage</t>
  </si>
  <si>
    <t>Time out entre le serveur d’application et la base de données</t>
  </si>
  <si>
    <t>Dégradation du service Réabonnements Canal+ via OM</t>
  </si>
  <si>
    <t>Redémarrage du Web service</t>
  </si>
  <si>
    <t>Indisponibilité du service Réabonnements Canal+ via OM</t>
  </si>
  <si>
    <t>Perte de connexion avec le partenaire Canal+</t>
  </si>
  <si>
    <t xml:space="preserve">Rétablissement de connexion </t>
  </si>
  <si>
    <t xml:space="preserve">Non réception de notifications après transactions E-recharge </t>
  </si>
  <si>
    <t>Perte de connexion entre les plateformes Zebra et SMSC</t>
  </si>
  <si>
    <t>Retablissement de connexion</t>
  </si>
  <si>
    <t>Indisponibilité du serveur Sigtran3</t>
  </si>
  <si>
    <t>BUG du serveur d’application (glassfish)</t>
  </si>
  <si>
    <t>Redéploiement du serveur d’application (glassfish) et du fichier war sur les deux serveurs webservice (sonfonia &amp; camayenne)</t>
  </si>
  <si>
    <t>1903Z62995</t>
  </si>
  <si>
    <t>Indisponibilité des services Marchant P2P OM et Distributeur consultation solde OM</t>
  </si>
  <si>
    <t>1903A80784</t>
  </si>
  <si>
    <t>1903A81639</t>
  </si>
  <si>
    <t>Orange Money, CMS, transfert data, consultation solde data et report avantage</t>
  </si>
  <si>
    <t>Consultation solde(*124#) consultation sms (*124*5#) friend and family (*125#)</t>
  </si>
  <si>
    <t xml:space="preserve">Orange Money add-on / Lanala assurance </t>
  </si>
  <si>
    <t>Dégradation des services Orange Money et quelques VAS (CMS, transfert data, consultation solde data, report avantage)</t>
  </si>
  <si>
    <t>Investigations en cours (Ticket problème 1903Z62707)</t>
  </si>
  <si>
    <t>Baisse de trafic Internet</t>
  </si>
  <si>
    <t>Indisponibilité des services Orange Money et quelques VAS (CMS, transfert data, consultation solde data, report avantage)</t>
  </si>
  <si>
    <t>Temps de réponse élevés uniquement sur l'API CheckAccount du serveur WS</t>
  </si>
  <si>
    <t>Indisponibilité des codes USSD de l'IN pour certains abonnés</t>
  </si>
  <si>
    <t>Impossible de consulter son solde où de gérer son compte via l’application MyOrange</t>
  </si>
  <si>
    <t>PFS</t>
  </si>
  <si>
    <t>1903A40668</t>
  </si>
  <si>
    <t>Paddock Services / AAS SMS Gate / SMSW</t>
  </si>
  <si>
    <t>Impossible d’utiliser les fonctionnalité SMS Paddock</t>
  </si>
  <si>
    <t>Perte de connexion entre Paddock et SMSC</t>
  </si>
  <si>
    <t>1903A98884</t>
  </si>
  <si>
    <t>1903B02161</t>
  </si>
  <si>
    <t>1903B68859</t>
  </si>
  <si>
    <t>1903B90041</t>
  </si>
  <si>
    <t>1903B90736</t>
  </si>
  <si>
    <t xml:space="preserve">Paddock Services / AAS SMS Gate </t>
  </si>
  <si>
    <t>1903B90888/1903B99425</t>
  </si>
  <si>
    <t>1903C04308</t>
  </si>
  <si>
    <t>1903C25571</t>
  </si>
  <si>
    <t>1903C36877</t>
  </si>
  <si>
    <t>1903C39661</t>
  </si>
  <si>
    <t>Impossible d’envoyer les settings (paramètres de configuration internet) aux abonnés</t>
  </si>
  <si>
    <t xml:space="preserve">Déconnexion du compte SMPP du GOS au SMSC </t>
  </si>
  <si>
    <t>Reconnexion du compte</t>
  </si>
  <si>
    <t>Soucis de connexion sur le load balancerF5</t>
  </si>
  <si>
    <t xml:space="preserve">Impossible d’effectuer des transactions ECOBANK et UBA / d’effectuer des Réabonnements Canal+ / de recevoir son code de paiement </t>
  </si>
  <si>
    <t xml:space="preserve">Plantage de la VM BROKER </t>
  </si>
  <si>
    <t>Redémarrage de la machine virtuelle</t>
  </si>
  <si>
    <t>Indisponiblite  du serveur dû à un problème sur l'onduleur central de Lanala</t>
  </si>
  <si>
    <t>Rémarrage du serveur</t>
  </si>
  <si>
    <t>Indisponibilité du report avantage</t>
  </si>
  <si>
    <t>Impossible d'utliser les fonctionalités SMS Paddock</t>
  </si>
  <si>
    <t>85% des clients ne peuvent consulter leur solde où de gérer leur compte via l’application MyOrange</t>
  </si>
  <si>
    <t>Saturation de mémoire sur les serveurs du DCACHE</t>
  </si>
  <si>
    <t>Réallocation de la mémoire et redémarrage du serveur DCACHE</t>
  </si>
  <si>
    <t>Chute de trafic sur les sorties Internet Sonatel et FT</t>
  </si>
  <si>
    <t>Néttoyage de la fibre optique de coté Banjul</t>
  </si>
  <si>
    <t>Rétablissement du service est due à l 'acceptation du bind suite à plusieurs tentatives sur le F5</t>
  </si>
  <si>
    <t>1903B32163</t>
  </si>
  <si>
    <t>1903C00118</t>
  </si>
  <si>
    <t>Indisponibilité du réseau mobile pour certains abonnés</t>
  </si>
  <si>
    <t>Rajout des plages d’adresse des VLR local et distant dans les paramètres roaming de l’ensemble des Prepaid</t>
  </si>
  <si>
    <t>Indisponibilité des services consultation (solde, 5 dernières transactions, solde Distributeur et solde Marchand)</t>
  </si>
  <si>
    <t>1903C47414</t>
  </si>
  <si>
    <t>1903C42781</t>
  </si>
  <si>
    <t xml:space="preserve">1903C42159 </t>
  </si>
  <si>
    <t>1903C71175</t>
  </si>
  <si>
    <r>
      <t>1903C78548</t>
    </r>
    <r>
      <rPr>
        <sz val="12"/>
        <color rgb="FF1F497D"/>
        <rFont val="Times New Roman"/>
        <family val="1"/>
      </rPr>
      <t xml:space="preserve"> </t>
    </r>
    <r>
      <rPr>
        <sz val="12"/>
        <color theme="1"/>
        <rFont val="Times New Roman"/>
        <family val="1"/>
      </rPr>
      <t> </t>
    </r>
  </si>
  <si>
    <t xml:space="preserve">1903D16863 </t>
  </si>
  <si>
    <t>1903D49724</t>
  </si>
  <si>
    <t>1903D63094</t>
  </si>
  <si>
    <t>1903D64306</t>
  </si>
  <si>
    <t>1903D88256</t>
  </si>
  <si>
    <t>1903D95991</t>
  </si>
  <si>
    <t>Orange Money add on / WebPayement OTP</t>
  </si>
  <si>
    <t>Orange Money / Cross selling</t>
  </si>
  <si>
    <t>Orange Money / LightBox Africa</t>
  </si>
  <si>
    <r>
      <t>Paddock Services /</t>
    </r>
    <r>
      <rPr>
        <sz val="8"/>
        <color theme="1"/>
        <rFont val="Arial"/>
        <family val="2"/>
      </rPr>
      <t xml:space="preserve"> AAS SMS GATE</t>
    </r>
  </si>
  <si>
    <t>PADDOCK(SMS API) &amp; CMS</t>
  </si>
  <si>
    <t>Paddock Services, DSTK, Google RCS</t>
  </si>
  <si>
    <t>Impossible de lancer des campagnes sur LMS</t>
  </si>
  <si>
    <t>Souci de connectivité entre le serveur et les ESXI de l’ancienne plateforme et la baie de stockage</t>
  </si>
  <si>
    <t>Désinscription du serveur sur l’environnement virtuel et inscription du serveur sur l’environnement</t>
  </si>
  <si>
    <t>Impossible de recevoir son code de paiement</t>
  </si>
  <si>
    <t>Plantage du serveur</t>
  </si>
  <si>
    <t xml:space="preserve">Redémarrage </t>
  </si>
  <si>
    <t>Indisponibilité des services Distributeur consultation solde OM, Marchand P2P OM</t>
  </si>
  <si>
    <t>Indisponibilité du service LightBox Africa</t>
  </si>
  <si>
    <t>Impossible d'utilisé les fonctionnalités SMS Paddock</t>
  </si>
  <si>
    <t>Perte de connexion entre paddock et SMSC</t>
  </si>
  <si>
    <t>Impossible aux B2B et les petites entreprises d'envoyer des SMS à leur clients finaux/Impossible de souscrire au service CMS (*111#)</t>
  </si>
  <si>
    <t>coupure de Fibre Optique</t>
  </si>
  <si>
    <t>soudure de la fibre optique</t>
  </si>
  <si>
    <t xml:space="preserve">Impossible d’utiliser les fonctionnalités SMS des services </t>
  </si>
  <si>
    <t>Indisponibilité du service Payement assurance Lanala via Orange money</t>
  </si>
  <si>
    <t xml:space="preserve">Non identifiée </t>
  </si>
  <si>
    <t>Indisponibilité du service  Report Avantage( Impossible de recevoir ses avantages à partir du *118*1#)</t>
  </si>
  <si>
    <t>ATP (Arrêt momentané du SI dû à une maintenance sur leur onduleur Central)</t>
  </si>
  <si>
    <t>IT Lanala</t>
  </si>
  <si>
    <t>Orange Money add-on / Bank to wallet / Ecobank / OpenWatt</t>
  </si>
  <si>
    <t>surcharge des sessions du firewall de l’IN</t>
  </si>
  <si>
    <t>ATP realisé le 4 mars sur le  serveur ACS Google</t>
  </si>
  <si>
    <t>Coupure de fibre à 12,2499 km dans la zone de WANIDARA</t>
  </si>
  <si>
    <t>Redemarrage du firewall DMZ</t>
  </si>
  <si>
    <t>Redémarrage du serveur d’application de webservers_udds (camayenne)/ Redémarrage de la carte réseau 3VOM sonfonia</t>
  </si>
  <si>
    <t xml:space="preserve">Connexion interrompue par le LB F5 </t>
  </si>
  <si>
    <t>Orange Money add on / WebPayement</t>
  </si>
  <si>
    <t>Orange Money add-on / Bank to wallet / Uba</t>
  </si>
  <si>
    <t>ASBD / DevOps</t>
  </si>
  <si>
    <t>Voix, Data Mobile, SMS, USSD, E-recharge, OM, Roaming voix, Roaming SMS et Roaming Data</t>
  </si>
  <si>
    <t>1904E11809</t>
  </si>
  <si>
    <t>1904E28569</t>
  </si>
  <si>
    <t>1904E70991/1904E71029</t>
  </si>
  <si>
    <t>CSD-23029</t>
  </si>
  <si>
    <t>Indisponibilité  un nœud de la DMZ de Sonfonia</t>
  </si>
  <si>
    <t>Plantage des switch DMZ sonfonia et camayenne</t>
  </si>
  <si>
    <t>Redémarrage manuel des deux switch</t>
  </si>
  <si>
    <t>Indisponiblite  du service dû à un problème sur l'onduleur central de Lanala</t>
  </si>
  <si>
    <r>
      <t>Orange Money add-on / Canal +</t>
    </r>
    <r>
      <rPr>
        <sz val="11"/>
        <color theme="1"/>
        <rFont val="Arial"/>
        <family val="2"/>
      </rPr>
      <t xml:space="preserve"> </t>
    </r>
  </si>
  <si>
    <t xml:space="preserve"> FFC </t>
  </si>
  <si>
    <t>Verrouillage  de la base de données</t>
  </si>
  <si>
    <t xml:space="preserve">Déverrouillage </t>
  </si>
  <si>
    <t>1904F98920</t>
  </si>
  <si>
    <t>1904G21213</t>
  </si>
  <si>
    <t>1904G24033</t>
  </si>
  <si>
    <t>1904G28363</t>
  </si>
  <si>
    <t>1904G39559</t>
  </si>
  <si>
    <t>1904G50886</t>
  </si>
  <si>
    <t>1904G52290</t>
  </si>
  <si>
    <t>1904G56304</t>
  </si>
  <si>
    <t>1904G65211</t>
  </si>
  <si>
    <t xml:space="preserve">1904G87609 </t>
  </si>
  <si>
    <t>1904G88865</t>
  </si>
  <si>
    <t>1904G96751</t>
  </si>
  <si>
    <t>1904H00658</t>
  </si>
  <si>
    <t>1904H08815</t>
  </si>
  <si>
    <t>Orange Money / Crosseling</t>
  </si>
  <si>
    <t>Indisponibilité du service Orange Money/Crosseling</t>
  </si>
  <si>
    <t xml:space="preserve">Temps de réponse du serveur élévé </t>
  </si>
  <si>
    <t xml:space="preserve">Investigations en cours avec le partenaire </t>
  </si>
  <si>
    <t>l'action sera founi par le partenaire</t>
  </si>
  <si>
    <t>Orange Money add-on / Lanala assurance</t>
  </si>
  <si>
    <t>Impossible d’effectuer des appels, de faire des transactions E-Recharge pour certains PQ (622, 627, 6294, 6296 )</t>
  </si>
  <si>
    <t>Le serveur OCS2 était injoignable</t>
  </si>
  <si>
    <t>Le trafic a été basculé sur l’ OCS1</t>
  </si>
  <si>
    <t>Paddock Services / AAS SMS GATE, Google RCS / SMSW</t>
  </si>
  <si>
    <t>Impossible de savoir si votre mobile et SIM sont compatibles avec la 4G via *444#</t>
  </si>
  <si>
    <t>Indisponibilité du Service Orange Money pour les codes ussd *142# et *143#</t>
  </si>
  <si>
    <t>Lenteur sur la reception sms aprés souscription du service cms</t>
  </si>
  <si>
    <t>Orange Money /consul solde/consul 5 dern trans OM /Crosseling</t>
  </si>
  <si>
    <t>Impossible de consulter son solde et de  de consulter  les 5 dernier tansaction OM</t>
  </si>
  <si>
    <t>Soucis  de connection entre SMSC etUSSD</t>
  </si>
  <si>
    <t>La connexion avec SMSC a été restaurée en adaptant l'adresse SMSC du côté USSD</t>
  </si>
  <si>
    <t>Instabilité du service Orange Money pour les SIMS marchandes ( *142 # )</t>
  </si>
  <si>
    <t>CMS via SMS</t>
  </si>
  <si>
    <t>Impossible de recevoir son contenu après avoir souscris au service CMS via SMS (8036)</t>
  </si>
  <si>
    <t>Déconnexion du compte Smpp “gos52” du SMSC</t>
  </si>
  <si>
    <t>Lenteur dans la réception des SMS après les transactions E-recharge</t>
  </si>
  <si>
    <t>Déconnexion d’un des serveurs Zebra du SMSC dû à un conflit entre le  F5 et le NLB Mavenir</t>
  </si>
  <si>
    <t>Désactivation de la VIP 192.168.215.202 sur le F5 (OGN)</t>
  </si>
  <si>
    <t>SMS/(E-Recharge, Paddock, DSTK, CMS, Orange Money (Consultation de solde), OTAP)</t>
  </si>
  <si>
    <t>Dû à des travaux sur la plateforme SMSC</t>
  </si>
  <si>
    <t>Fin des travaux</t>
  </si>
  <si>
    <t>1904G25680</t>
  </si>
  <si>
    <t>PFS/Mavenir</t>
  </si>
  <si>
    <t>1904H12329</t>
  </si>
  <si>
    <t>1904H29865</t>
  </si>
  <si>
    <t>1904H47581</t>
  </si>
  <si>
    <t>1904H71841</t>
  </si>
  <si>
    <t>1904H84962</t>
  </si>
  <si>
    <t>1904H91283</t>
  </si>
  <si>
    <t>1904I06944</t>
  </si>
  <si>
    <t xml:space="preserve">1904I18134 </t>
  </si>
  <si>
    <t>1904I25870</t>
  </si>
  <si>
    <t>1904I40423</t>
  </si>
  <si>
    <t>1904I35900</t>
  </si>
  <si>
    <t>1904I98596</t>
  </si>
  <si>
    <t>Impossible  de recevoir son code  de paymement  via OM</t>
  </si>
  <si>
    <t>Library java était obselète</t>
  </si>
  <si>
    <t>Consultation Profil 4G et Report Avantage</t>
  </si>
  <si>
    <t>Impossible de consulter son profil 4G / Impossible de recevoir ses avantages à partir du *118*1#</t>
  </si>
  <si>
    <t>Self Care</t>
  </si>
  <si>
    <t>Impossible d’accéder au self care (  pass.orange-guinee.com )</t>
  </si>
  <si>
    <t>Report Avantage,Consultation Profil 4G,Transfert Data,Paddock service,DSTK,Côté Orange Money :Web Payement,Réabonnement Startimes</t>
  </si>
  <si>
    <t>Indisponibilité du service Payement facture SEG</t>
  </si>
  <si>
    <t>Pas de communication entre les USSD et le serveur d’application</t>
  </si>
  <si>
    <t>Redémarrage du serveur d’application.</t>
  </si>
  <si>
    <t>Impossible d’effectuer des transaction OM</t>
  </si>
  <si>
    <t xml:space="preserve">Orange Money / Crosseling </t>
  </si>
  <si>
    <t>Balance non disponible dans l'application Orange et moi</t>
  </si>
  <si>
    <r>
      <t>Orange Money /</t>
    </r>
    <r>
      <rPr>
        <sz val="11"/>
        <color theme="1"/>
        <rFont val="Times New Roman"/>
        <family val="1"/>
      </rPr>
      <t xml:space="preserve"> </t>
    </r>
    <r>
      <rPr>
        <sz val="8"/>
        <color theme="1"/>
        <rFont val="Arial"/>
        <family val="2"/>
      </rPr>
      <t>Gateway</t>
    </r>
  </si>
  <si>
    <t>1904G45566</t>
  </si>
  <si>
    <t>Consultation Profil 4G</t>
  </si>
  <si>
    <t>1904H27013</t>
  </si>
  <si>
    <t>Impossible de faire une réactivation de SIM avec Nomad</t>
  </si>
  <si>
    <t>Indisponibilité du webservice</t>
  </si>
  <si>
    <t>Redemarrage du webservice</t>
  </si>
  <si>
    <t>Erreur de disque ( les deux SLIMs étaient passés en read-only)</t>
  </si>
  <si>
    <t>Redémarrage des VMs</t>
  </si>
  <si>
    <t>1904H94186</t>
  </si>
  <si>
    <t>1904J23927</t>
  </si>
  <si>
    <t>1904J33518</t>
  </si>
  <si>
    <t>1904J72148</t>
  </si>
  <si>
    <t>1904J82780</t>
  </si>
  <si>
    <t>1904K02989</t>
  </si>
  <si>
    <t>1904K12608</t>
  </si>
  <si>
    <t xml:space="preserve">Orange Money add-on / Bank to Wallet UBA / Openwatt </t>
  </si>
  <si>
    <t>Paddock Services / SMSW</t>
  </si>
  <si>
    <t>1904K45929</t>
  </si>
  <si>
    <t>Instabilité sur la réception de message après transactions Orange Money sur les service  Marchand P2POM, P2POM avec frais, P2POM sans frais</t>
  </si>
  <si>
    <t>Impossible de recevoir son contenu après avoir souscris au service via le canal ussd (*111#) et sms (8036)</t>
  </si>
  <si>
    <t>Impossible de vérifier / gérer les informations de compte dans l'application MyOrange</t>
  </si>
  <si>
    <t>Problème d’identification de certains clients</t>
  </si>
  <si>
    <t>Arrêt de la plateforme TEST BED SDP-GOS</t>
  </si>
  <si>
    <t>Dû à une Instabilité des serveurs SDP Dcache</t>
  </si>
  <si>
    <t>1904L69506</t>
  </si>
  <si>
    <t>1904L75894</t>
  </si>
  <si>
    <t xml:space="preserve">1905M22090 </t>
  </si>
  <si>
    <t xml:space="preserve">1905M64056 </t>
  </si>
  <si>
    <t>1905M90102</t>
  </si>
  <si>
    <t>1905M98274</t>
  </si>
  <si>
    <t>Achat PASS via USSD</t>
  </si>
  <si>
    <t>Webptop</t>
  </si>
  <si>
    <t>Indisponibilité du service Achat de Pass via USSD *222#</t>
  </si>
  <si>
    <t>Impossible d’accéder au self care ( pass.orange-guinee.com )</t>
  </si>
  <si>
    <t>Indisponibilité du service Orange Money pour les SIMs Marchandes (*142#  et *143#)</t>
  </si>
  <si>
    <t>Baisse du trafic sur la sortie internet Dalein-Kedougou</t>
  </si>
  <si>
    <t>la partition /Usr/ était full sur le ROAR</t>
  </si>
  <si>
    <t>Purge de la partition</t>
  </si>
  <si>
    <t>Plantage des Serveurs Windows  </t>
  </si>
  <si>
    <t>Redémarrage des Serveurs</t>
  </si>
  <si>
    <t>Temps de réponse du serveur d’application élévé  </t>
  </si>
  <si>
    <t>Redémarrage du serveur d’application Glassfish</t>
  </si>
  <si>
    <t>Probleme d’energie (Problème de générateur sur le site de Dalein)</t>
  </si>
  <si>
    <t>Basculement du trafic des Zones impactées vers les sorties Internet de Conakry</t>
  </si>
  <si>
    <t>Orange Money ,SMS control, Call center(genesys) et agence externalisé, SEG ,DISTRINET</t>
  </si>
  <si>
    <t>Retablissement de la connexion Internet</t>
  </si>
  <si>
    <t>Indisponibilité de la connexion Internet(soucis  avec le FAI de Lanala)</t>
  </si>
  <si>
    <t>Lenteur  avec OTAP</t>
  </si>
  <si>
    <t>DevOps/GOS</t>
  </si>
  <si>
    <t>Inconsistance sur les 2 serveurs radius</t>
  </si>
  <si>
    <t>Redémarrage de deux serveurs radius</t>
  </si>
  <si>
    <t>PFS/GNOC</t>
  </si>
  <si>
    <t>Indisponibilité du Webservice Crosselling</t>
  </si>
  <si>
    <t>PFS/Mavenir/GNOC</t>
  </si>
  <si>
    <t xml:space="preserve">Lenteur avec OTAP </t>
  </si>
  <si>
    <t>Orange Money add-on/Webpayment</t>
  </si>
  <si>
    <t>Upgrade del a  library et analyse des codes retours</t>
  </si>
  <si>
    <t>Orange Money / SEG</t>
  </si>
  <si>
    <t>Perte de connexion entre SMSC et les deux Kannel</t>
  </si>
  <si>
    <t>SMS || E-recharge</t>
  </si>
  <si>
    <t>ATP (migration du trafic SDP OML qui nécessitait le redémarrage du module UMPDS, le DRA (plateforme IN OGN) ne reconnaissait pas les informations en provenance de la plateforme SDP</t>
  </si>
  <si>
    <t>Maintenance et Redémarrage de la base de données</t>
  </si>
  <si>
    <t>Problème de capacité de la base de données</t>
  </si>
  <si>
    <t>ATP côté Lanala (Base de données du partenaire inaccessible)</t>
  </si>
  <si>
    <t>Conflit d'information sur MyOrange (le client se connecte sur l’appli et on lui affiche les infos compte d’un autre)</t>
  </si>
  <si>
    <t>ATP en cours ( Hors délais )</t>
  </si>
  <si>
    <t>VOIX, Data Mobile, SMS,E-RECHARGE</t>
  </si>
  <si>
    <t>Non réception de notifications après souscriptions aux services</t>
  </si>
  <si>
    <t>1905N08183</t>
  </si>
  <si>
    <t>1905N20133</t>
  </si>
  <si>
    <t>1905N30961  </t>
  </si>
  <si>
    <t>1905N38564</t>
  </si>
  <si>
    <t>1905N44115</t>
  </si>
  <si>
    <t>1905N46096</t>
  </si>
  <si>
    <t>1905N59854</t>
  </si>
  <si>
    <t>1905N62104</t>
  </si>
  <si>
    <t>1905N69100</t>
  </si>
  <si>
    <t>1905N94447</t>
  </si>
  <si>
    <t>1905O16578</t>
  </si>
  <si>
    <t>1905O18288</t>
  </si>
  <si>
    <t>1905O32091</t>
  </si>
  <si>
    <t>1905O32839</t>
  </si>
  <si>
    <t>1905O36236 </t>
  </si>
  <si>
    <t>1905O49584</t>
  </si>
  <si>
    <t>Orange Money Add-on / WebPayment</t>
  </si>
  <si>
    <t>Orange Money Add-on / Canal+, Ecobank, UBA, Web payement</t>
  </si>
  <si>
    <t>Orange Money add-on /StarTimes</t>
  </si>
  <si>
    <t xml:space="preserve">Orange Money / SEG </t>
  </si>
  <si>
    <t>DSTK/SMSC  </t>
  </si>
  <si>
    <t>Orange Money add-on / Lanala Assurance</t>
  </si>
  <si>
    <t>Orange Money Add-on / Canal+, Ecobank, UBA</t>
  </si>
  <si>
    <t>Paddock Services / AAS SMS Gate / SMSW  </t>
  </si>
  <si>
    <t>SMS (Orange Money||E-Recharge)</t>
  </si>
  <si>
    <t>Impossible d’effectuer des transactions Bancaires et webpayement via OM</t>
  </si>
  <si>
    <t xml:space="preserve">Perte de connexion du cluster de base de données </t>
  </si>
  <si>
    <t>Redémarrage des nœuds</t>
  </si>
  <si>
    <t>Indisponibilité des service Orange Money \All addons</t>
  </si>
  <si>
    <t>souci de capacité sur le serveur du Broker (max TPS autorisées 200, le nombre de requete sur le serveur d'application était de 292). Cette hausse était due à un incident sur IRT vpn (problème de connectivité)</t>
  </si>
  <si>
    <t>Rétablissement de la connectivité IRT VPN. Après cette action, toutes les transactions pending ont été envoyées pour traitement et réconcilisation</t>
  </si>
  <si>
    <t>Impossible de faire le réabonnement StarTimes via OM</t>
  </si>
  <si>
    <t>Indisponibilité du service Payement facture SEG Via Orange Money</t>
  </si>
  <si>
    <t>Indisponibilité de la Base de Données SEG</t>
  </si>
  <si>
    <t>Indisponibilité de certains Services OM</t>
  </si>
  <si>
    <t>Saturation de la partition / oradata / PRTP / a01</t>
  </si>
  <si>
    <t>Augmentation de la partition</t>
  </si>
  <si>
    <t>Impossible d'accéder à l'interface Web (NAMAD)</t>
  </si>
  <si>
    <t>Le service apache était planté sur le WAS</t>
  </si>
  <si>
    <t>Rédémarrage des services apache et tomcat</t>
  </si>
  <si>
    <t>Impossible d’effectuer des transactions webpayement via OM</t>
  </si>
  <si>
    <t>Perte de connexion du cluster de la base de données Maria</t>
  </si>
  <si>
    <t>Redémarrage du cluster</t>
  </si>
  <si>
    <t>Perte de trafic sur le lien CAMAYENNE – FT</t>
  </si>
  <si>
    <t>Coupure de fibre entre Camayenne et GUILAB</t>
  </si>
  <si>
    <t>Indisponibilité du serveur d’application</t>
  </si>
  <si>
    <t>Redémarrage  du serveur d’application</t>
  </si>
  <si>
    <t>Instabilité du service Cross selling</t>
  </si>
  <si>
    <t>Temps de réponse  du serveur élevé</t>
  </si>
  <si>
    <t>En attente du retour du partenaire</t>
  </si>
  <si>
    <t>Dû à une instabilité du VPN</t>
  </si>
  <si>
    <t>Redemarrage du VPN</t>
  </si>
  <si>
    <t>Indisponibilité des services (Consultation solde/marchand/distributeur, 5 dernières transactions)</t>
  </si>
  <si>
    <t>Indisponibilité SMS CONTROL CAMAYENNE</t>
  </si>
  <si>
    <t>Basculement manuelle des services SMS USSD de Camayenne vers Sonfonia</t>
  </si>
  <si>
    <t>IT StarTimes</t>
  </si>
  <si>
    <t>Orange Money/Cross Selling</t>
  </si>
  <si>
    <t>Orange Money Add-on / Ecobank, UBA, Cross Selling, Consultation OM, WebOTP</t>
  </si>
  <si>
    <t xml:space="preserve">1905O63920 </t>
  </si>
  <si>
    <t xml:space="preserve">1905O52707 </t>
  </si>
  <si>
    <t>1905O80699</t>
  </si>
  <si>
    <t>1905O80627</t>
  </si>
  <si>
    <t>1905O87547</t>
  </si>
  <si>
    <t xml:space="preserve">1905O91147 </t>
  </si>
  <si>
    <t>1905P01368/1905P16928</t>
  </si>
  <si>
    <t>1905P02401</t>
  </si>
  <si>
    <t>1905P05407</t>
  </si>
  <si>
    <t>1905P06772  </t>
  </si>
  <si>
    <t xml:space="preserve">1905P18389 </t>
  </si>
  <si>
    <t>1905P28622</t>
  </si>
  <si>
    <t>1905P32110</t>
  </si>
  <si>
    <t>1905P32000</t>
  </si>
  <si>
    <t>1905P65860</t>
  </si>
  <si>
    <t>1905P75091</t>
  </si>
  <si>
    <t>1905P98491</t>
  </si>
  <si>
    <t>Orange Money/Cross selling</t>
  </si>
  <si>
    <t>Paddock Services, Google RCS / AAS SMS GATE</t>
  </si>
  <si>
    <t>Orange Money add-on / Bank to Wallet Ecobank</t>
  </si>
  <si>
    <t>OTAP/ Profil 4G / Report avantage</t>
  </si>
  <si>
    <t>Transfert DATA  / Report avantage</t>
  </si>
  <si>
    <t>Achat de pass via USSD *222 #</t>
  </si>
  <si>
    <t>MyOrange / All Addons(Canal+,UBA/Ecobank\Webpayment)</t>
  </si>
  <si>
    <t>NOMAD, CMS (*111#), OTAP, MFM, CMS, WAAAT, GAMELOFT, WEBPAYEMENT OTP, MYORANGE</t>
  </si>
  <si>
    <t>Baisse de trafic sur la sortie internet Sonfonia vers Sonatel</t>
  </si>
  <si>
    <t>Le WO d’extension IP pool adresse n’a pas été réalisé avec succès</t>
  </si>
  <si>
    <t>Blocage des nouveaux sous réseaux configurés dans les EPG afin d’éviter une reprise des nouvelles IP par les clients / Nettoyage du Caches DNS dans les SGSN</t>
  </si>
  <si>
    <t>Les clients ne peuvent pas utiliser les fonctionnalités SMS</t>
  </si>
  <si>
    <t>Indisponibilité du service NOMAD</t>
  </si>
  <si>
    <t>le service apache était planté sur le WAS</t>
  </si>
  <si>
    <t>Redémarrage des services apache et tomcat</t>
  </si>
  <si>
    <t>Indisponibilité des services suivants :OTAP (envoi des settings aux abonnés )Profil 4G ( pour connaitre si le téléphone de l’abonné est compatible à la 4G )Report avantage ( permettre aux abonnés de recevoir leur avantages )</t>
  </si>
  <si>
    <t>Déconnexion du compte SMPP db2sms1.smpp_id=ota59</t>
  </si>
  <si>
    <t>Indisponibilité des services suivants : Transfert Data ( pour transférer la data au  *222*8#)/Report avantage ( permettre aux abonnés de recevoir leur avantages au *118*1*# )</t>
  </si>
  <si>
    <t>Temps de réponse du serveur d’application élevé</t>
  </si>
  <si>
    <t>certains abonnés ne parviennent pas à acheter des pass</t>
  </si>
  <si>
    <t>Identifié sur l’un des OCS (le cluster3) pour lequel il y a des incohérences dans la séquence des TT bal</t>
  </si>
  <si>
    <t>reconstruction de séquence BAL sur le serveur standby et Switch du server actif vers le server standby</t>
  </si>
  <si>
    <t>Indisponibilité des services  MyOrange / All Addons(Canal+,UBA/Ecobank\Webpayment)</t>
  </si>
  <si>
    <t>Mauvaise configuration du quota de stockage sur la plate-forme Openwatt</t>
  </si>
  <si>
    <t>Indisponibilité des services NOMAD, CMS (*111#), OTAP, MFM, CMS, WAAAT, GAMELOFT, WEBPAYEMENT OTP, MYORANGE</t>
  </si>
  <si>
    <t>Déconnexion involontaire du départ alimentant la rallonge où est connecté les serveurs JUNIPER</t>
  </si>
  <si>
    <t>Réconnexion de la ralonge sur un départ provisoire / Redemarrage des VMS</t>
  </si>
  <si>
    <t>Orange Money add-on / Global Reporting</t>
  </si>
  <si>
    <t>Paddock Services / AAS SMS GATE, GOOGLE RCS / SMSW</t>
  </si>
  <si>
    <t>Indisponibilité des services suivants :OTAP (envoi des settings aux abonnés )</t>
  </si>
  <si>
    <t>Impossible de vérifier / gérer les informations du compte dans l'application MyOrange</t>
  </si>
  <si>
    <t>Impossible d’effectuer le réabonnement canal+ via OM</t>
  </si>
  <si>
    <t xml:space="preserve">Indisponibilité des operations de vente et de Sim Swap </t>
  </si>
  <si>
    <t>Indisponibilité Orange Money add-on / Global Reporting</t>
  </si>
  <si>
    <t>Remplacement  de la carte</t>
  </si>
  <si>
    <t>Coupure du lien_ASBR_Medina1_to_GOS2</t>
  </si>
  <si>
    <t>Retablissement du lien</t>
  </si>
  <si>
    <t>Perte connexion entre SMSC et DSTK</t>
  </si>
  <si>
    <t>1905Q36922</t>
  </si>
  <si>
    <t>1905Q37737</t>
  </si>
  <si>
    <t>1905Q48963</t>
  </si>
  <si>
    <t>1905Q64993</t>
  </si>
  <si>
    <t>1905Q81330</t>
  </si>
  <si>
    <t>1905Q91049</t>
  </si>
  <si>
    <t xml:space="preserve">1905R16019 </t>
  </si>
  <si>
    <t>1905Q95916</t>
  </si>
  <si>
    <t>1905R32411</t>
  </si>
  <si>
    <t>Mémoire DIMM endommagée</t>
  </si>
  <si>
    <t>Non autorisation des @ après l'operation d'extension IP pool adresse</t>
  </si>
  <si>
    <t>DV</t>
  </si>
  <si>
    <t xml:space="preserve">1905Q75466 </t>
  </si>
  <si>
    <t>Support SBC</t>
  </si>
  <si>
    <t>Lien SIP logiquement bloqué (Planté) au niveau SBC pour le traffic entrant</t>
  </si>
  <si>
    <t>Redémarrage des liens et process SIP au niveau SBC</t>
  </si>
  <si>
    <t>Forte Baisse du trafic international entrant pour certains partenaires (SNT-OSN, BLG, OML, OCI)</t>
  </si>
  <si>
    <t>VOIX (Appels internationaux)</t>
  </si>
  <si>
    <t>DSO</t>
  </si>
  <si>
    <t>Nom de service</t>
  </si>
  <si>
    <t>1905R39264</t>
  </si>
  <si>
    <t>Indisponibilité des services  Orange money / All Addons</t>
  </si>
  <si>
    <t>Indisponibilité d’un des Serveurs d’Application (AS1)</t>
  </si>
  <si>
    <t>Redémarrage de la machine virtuelle et restauration des services</t>
  </si>
  <si>
    <t>1905R42568 </t>
  </si>
  <si>
    <t>Lenteurs (dû à des conflits de verrouillage internes liés au pool WebService partagé, ont consommé une part importante du temps de la base de données)</t>
  </si>
  <si>
    <t>Upgrade du paramètre Open_Cursors de 65000 à 65535/Upgrade du paramètre Session_Cached_Cursors de 100 à 10000 et Redémarrage de la Base</t>
  </si>
  <si>
    <t>Orange Money add-on/ All Addons (Canal+,UBA/Ecobank/Webpayment)</t>
  </si>
  <si>
    <t>1905R71099</t>
  </si>
  <si>
    <t>Impossible de recevoir son contenu après avoir souscris au service via le canal SMS (8036)</t>
  </si>
  <si>
    <t>1905R58209 </t>
  </si>
  <si>
    <t>Deconnexion du Compte Smpp "gos52"</t>
  </si>
  <si>
    <t>1905S07586</t>
  </si>
  <si>
    <t>Voix, Data Mobile, USSD, SMS, OM</t>
  </si>
  <si>
    <t>Perte de réseau OGN pour plusieurs abonnées</t>
  </si>
  <si>
    <t>Lien de signalisation instable et congestionné entre le HLR Mamou et les 2 STP</t>
  </si>
  <si>
    <t>Le HLR de Mamou a été isolé et le trafic routé sur les HLR Camayenne et Sonfonia</t>
  </si>
  <si>
    <t>Kalou/ Bertrand</t>
  </si>
  <si>
    <t>1905S46798</t>
  </si>
  <si>
    <t>Orange Money add-on/ All Addons (UBA/Ecobank/Webpayment)</t>
  </si>
  <si>
    <t>Indisponibilité de certains services  Orange money Addons</t>
  </si>
  <si>
    <t>Indisponibilité du cluster de la BD Maria dû à des erreurs de corruption de données dans l'espace de la table InnoDB lors de la tentative d'écriture</t>
  </si>
  <si>
    <t>Reconstruction du cluster de la BD Maria</t>
  </si>
  <si>
    <t>Orange Money Bank to Wallet ( UBA, Ecobank )</t>
  </si>
  <si>
    <t>Indisponibilité des services Orange Money add-on/Multibank</t>
  </si>
  <si>
    <t>Reconstruction du cluster Galera</t>
  </si>
  <si>
    <t>1905S65481  </t>
  </si>
  <si>
    <t>1905T10554</t>
  </si>
  <si>
    <t>1905T25819</t>
  </si>
  <si>
    <t>Orange Money / Cross Selling</t>
  </si>
  <si>
    <t>1906T57758</t>
  </si>
  <si>
    <t xml:space="preserve">Indisponibilité du service Lanala assurance </t>
  </si>
  <si>
    <t>1906T88805</t>
  </si>
  <si>
    <t>Degradation du service Orange Money</t>
  </si>
  <si>
    <t>Ticket probleme 1906T91188 pour identifier de la root cause</t>
  </si>
  <si>
    <t>Autorisation des @ IP</t>
  </si>
  <si>
    <t>Problème de capacité sur le cluster de stockage OpenWatt CEPH et Indisponibilité du cluster Galera, entrainant des lenteurs et Timeout</t>
  </si>
  <si>
    <t>Suppression du pool de tests SSD et des données inutiles et Ajout d'un disque supplémentaire aux baies de stockage</t>
  </si>
  <si>
    <t>Deconnection de deux des serveurs SDP Dcache du Stockage</t>
  </si>
  <si>
    <t>1906U18276</t>
  </si>
  <si>
    <t>Orange Money, transfert de credit, Achat pass &amp; Report avantage</t>
  </si>
  <si>
    <t xml:space="preserve">Dégradation de plusieurs codes courts (*126#, *144#, *222# *118#) </t>
  </si>
  <si>
    <t>Blocages de certaines requetes de transaction sur la base de données du deuxième serveur d'application</t>
  </si>
  <si>
    <t>Arrêt du service de transaction du deuxième serveur d'application Tango</t>
  </si>
  <si>
    <t>Application d'un patch correctif lors de l'upgrade de la version de l'application vers C5B2 entre le 17 et le 21 juin</t>
  </si>
  <si>
    <t xml:space="preserve">  1906U31131  </t>
  </si>
  <si>
    <t xml:space="preserve">Dégradation du service Orange Money </t>
  </si>
  <si>
    <t>Redemarrage du service de transaction sur le deuxième serveur d'application</t>
  </si>
  <si>
    <t>1906U71505</t>
  </si>
  <si>
    <t xml:space="preserve">Orange Money add-on / Bank to Wallet Ecobank </t>
  </si>
  <si>
    <t>Indisponibilité du service Orange Money add-on / Bank to Wallet Ecobank</t>
  </si>
  <si>
    <t>1906U56675</t>
  </si>
  <si>
    <t>Orange Money add-on /  Guinée Games</t>
  </si>
  <si>
    <t>Indisponibilité du service Guinée Games via OM (*144*8*1#)</t>
  </si>
  <si>
    <t>Plantage  du Serveur d’application</t>
  </si>
  <si>
    <t xml:space="preserve">ASBD </t>
  </si>
  <si>
    <t>1906U76520</t>
  </si>
  <si>
    <t>Problème de base de données chez Canal</t>
  </si>
  <si>
    <t>Redémarrage de la Base de Données</t>
  </si>
  <si>
    <t>1906V57678</t>
  </si>
  <si>
    <t>Degradation du service Internet Mobile</t>
  </si>
  <si>
    <t>Coupure de fibre entre Camayenne Kipe</t>
  </si>
  <si>
    <t>1906V75099</t>
  </si>
  <si>
    <t>ATP non programmé exécuté par le SI de startimes depuis la chine</t>
  </si>
  <si>
    <t>1906W20827</t>
  </si>
  <si>
    <t>1906X22550</t>
  </si>
  <si>
    <t>1906X31506</t>
  </si>
  <si>
    <t>Le support Immobile était confronté à un incident internet dans l'un de leur Data Center</t>
  </si>
  <si>
    <t xml:space="preserve">Rétablissement de l’internet </t>
  </si>
  <si>
    <t xml:space="preserve">1906X52394   </t>
  </si>
  <si>
    <r>
      <t>Paddock Services /</t>
    </r>
    <r>
      <rPr>
        <sz val="8"/>
        <color theme="1"/>
        <rFont val="Calibri"/>
        <family val="2"/>
        <scheme val="minor"/>
      </rPr>
      <t xml:space="preserve"> AAS SMS GATE, GOOGLE RCS / SMSW</t>
    </r>
  </si>
  <si>
    <t xml:space="preserve">1906Y41425 </t>
  </si>
  <si>
    <t>Indisponibilité du trafic sur la liaison Internet Dalein-Kedougou</t>
  </si>
  <si>
    <t>Perte de signal optique entre TAMBA et KEDOUGOU</t>
  </si>
  <si>
    <t>Basculement automatiquement du trafic sur le lien Backup</t>
  </si>
  <si>
    <t>1906Z24405</t>
  </si>
  <si>
    <t xml:space="preserve">Achat de pass pour tiers </t>
  </si>
  <si>
    <t>Indisponibilité du service Achat de pass pour tiers</t>
  </si>
  <si>
    <t>Lenteur sur la réponse de la requête de l’IN  due à un problème d’espace sur le serveur</t>
  </si>
  <si>
    <t>Déploiement du web service sur un second serveur</t>
  </si>
  <si>
    <t>1906Z42592</t>
  </si>
  <si>
    <t>Blocages de certaines requêtes de transaction sur la base de données du deuxième serveur d'application Tango</t>
  </si>
  <si>
    <t>1906Z72789</t>
  </si>
  <si>
    <t>1906A62306</t>
  </si>
  <si>
    <t>Indisponibilité du service  Orange Money add-on / Bank to Wallet Ecobank</t>
  </si>
  <si>
    <t>1906B42626</t>
  </si>
  <si>
    <t>My Orange</t>
  </si>
  <si>
    <t>Certificat SSL mal configuré sur l'équilibreur de charge WaaaT après l'opération planifiée.</t>
  </si>
  <si>
    <t>Reconfiguration du certificat SSL</t>
  </si>
  <si>
    <t>1906B53647</t>
  </si>
  <si>
    <t>Publication du défi de la route statique entre le fournisseur de services et UBA vers le protocole BGP</t>
  </si>
  <si>
    <t>L'itinéraire publié existant a été annulé et le service a été redirigé</t>
  </si>
  <si>
    <t>1906C00462</t>
  </si>
  <si>
    <t>Canal+, Ecobank, UBA, Web payement</t>
  </si>
  <si>
    <t>Indisponibilité des service Orange Money /All addons</t>
  </si>
  <si>
    <t>Dû un problème avec la connexion Internet sur OpenWatt</t>
  </si>
  <si>
    <t>1906C89567</t>
  </si>
  <si>
    <t>Rétablissement du connexion</t>
  </si>
  <si>
    <t>1906D17304</t>
  </si>
  <si>
    <t>1906D36556</t>
  </si>
  <si>
    <r>
      <t>1906D82335</t>
    </r>
    <r>
      <rPr>
        <b/>
        <sz val="12"/>
        <color theme="1"/>
        <rFont val="Times New Roman"/>
        <family val="1"/>
      </rPr>
      <t> </t>
    </r>
  </si>
  <si>
    <r>
      <t>Paddock Services / AAA SMS GATE, GOOGLES RCS / SMSW</t>
    </r>
    <r>
      <rPr>
        <b/>
        <sz val="12"/>
        <color theme="1"/>
        <rFont val="Calibri"/>
        <family val="2"/>
        <scheme val="minor"/>
      </rPr>
      <t/>
    </r>
  </si>
  <si>
    <t>Impossible aux B2B et les petites entreprises d'envoyer des SMS à leur clients finaux</t>
  </si>
  <si>
    <r>
      <t>1906D84134</t>
    </r>
    <r>
      <rPr>
        <b/>
        <sz val="12"/>
        <color rgb="FF1F497D"/>
        <rFont val="Times New Roman"/>
        <family val="1"/>
      </rPr>
      <t xml:space="preserve"> </t>
    </r>
  </si>
  <si>
    <t>supervision</t>
  </si>
  <si>
    <r>
      <t>Indisponibilité de la chaines RTG de mobile TV</t>
    </r>
    <r>
      <rPr>
        <sz val="12"/>
        <color theme="1"/>
        <rFont val="Times New Roman"/>
        <family val="1"/>
      </rPr>
      <t/>
    </r>
  </si>
  <si>
    <t>OLS/ASBD</t>
  </si>
  <si>
    <t>1906E06956</t>
  </si>
  <si>
    <t>CMS/OTAP/Gameloft USSD</t>
  </si>
  <si>
    <t>Indisponibilité du lien 10G entre SONFONIA et KIPE (OSN3500_SOFONIA et OSN3500_KIPE)</t>
  </si>
  <si>
    <t>Coupure de fibre entre Sonfonia et Kipé</t>
  </si>
  <si>
    <t>1906E07545</t>
  </si>
  <si>
    <r>
      <t>DSTK/SMSC</t>
    </r>
    <r>
      <rPr>
        <sz val="12"/>
        <color theme="1"/>
        <rFont val="Times New Roman"/>
        <family val="1"/>
      </rPr>
      <t xml:space="preserve"> </t>
    </r>
  </si>
  <si>
    <t>Perte de connexion entre DSTK et SMSC</t>
  </si>
  <si>
    <r>
      <t>1906E18373</t>
    </r>
    <r>
      <rPr>
        <b/>
        <sz val="12"/>
        <color theme="1"/>
        <rFont val="Times New Roman"/>
        <family val="1"/>
      </rPr>
      <t> </t>
    </r>
  </si>
  <si>
    <t>1906E40378</t>
  </si>
  <si>
    <t>1906E50871</t>
  </si>
  <si>
    <t>1906E78332</t>
  </si>
  <si>
    <t>Datamobile ( Il n'y a pas eu d'impact )</t>
  </si>
  <si>
    <t>Indisponibilité du lien 10G entre CAMAYENNE (PCAM101) et KIPE (PKIP101)</t>
  </si>
  <si>
    <t>Coupure de fibre entre Camayenne et Kipé</t>
  </si>
  <si>
    <t>1906G47015</t>
  </si>
  <si>
    <t>1906G49459</t>
  </si>
  <si>
    <t>OSLA</t>
  </si>
  <si>
    <t>Verrouillage de la base de donnée du partenaire</t>
  </si>
  <si>
    <t>deverrouillage de la base de donnée</t>
  </si>
  <si>
    <t>1907H39628</t>
  </si>
  <si>
    <t>1907I06968</t>
  </si>
  <si>
    <t>Orange Money add-on / Bank to Wallet  Orabank</t>
  </si>
  <si>
    <t>Degradation du service  Orange Money add-on / Bank to Wallet Orabank</t>
  </si>
  <si>
    <t>1907H89749</t>
  </si>
  <si>
    <t>Impossible d’effectuer le réabonnement StarTimes via OM</t>
  </si>
  <si>
    <t>ATP coté support startimes</t>
  </si>
  <si>
    <t xml:space="preserve"> 1907K48606</t>
  </si>
  <si>
    <t>Data Mobile / CMS / OTAP</t>
  </si>
  <si>
    <t>Perte de trafic sur le lien  sonfonia Sonatel</t>
  </si>
  <si>
    <t xml:space="preserve">Défaillance de câble ACE dans le secteur de BANJUL </t>
  </si>
  <si>
    <t>Reconfigurations de la BU de BANJUL</t>
  </si>
  <si>
    <t>GNOC/ ACE Gambie</t>
  </si>
  <si>
    <t>Support StarTimes</t>
  </si>
  <si>
    <t>1907L07916</t>
  </si>
  <si>
    <t>1907L46419</t>
  </si>
  <si>
    <t>1907L50111</t>
  </si>
  <si>
    <t>Orange Money add-on / Bank to Wallet UBA, Ecobank, Orabank</t>
  </si>
  <si>
    <t>Orange Money add-on / Bank to Wallet  UBA</t>
  </si>
  <si>
    <t>Soucis DNS interne</t>
  </si>
  <si>
    <t>Redémarrage du DNS interne</t>
  </si>
  <si>
    <t>Indisponibilité du service  Guinée Games via OM (*144*8*1#)</t>
  </si>
  <si>
    <t>Arret du service par le support Guinée Games en prévision d'un ATP pour l’installation d’une nouvelle option sur le jeu</t>
  </si>
  <si>
    <t>IT GUINEE GAMES</t>
  </si>
  <si>
    <t>Indisponibilité  du service  Orange Money add-on / Bank to Wallet Orabank</t>
  </si>
  <si>
    <t>Indisponibilité du service  Orange Money add-on /  Bank To Wallet  UBA</t>
  </si>
  <si>
    <t>Indisponibilité des services  Orange Money add-on / Bank to Wallet UBA, Ecobank, Orabank</t>
  </si>
  <si>
    <t>Indisponibilité du VPN du partenaire</t>
  </si>
  <si>
    <t>Création d'un nouveau VPN</t>
  </si>
  <si>
    <t>1907K66007|1907K66178</t>
  </si>
  <si>
    <t>1907L87700</t>
  </si>
  <si>
    <t>Coupure de FO au Senegal dans la localité de NIOKO -MAKO</t>
  </si>
  <si>
    <t>1907L92739</t>
  </si>
  <si>
    <r>
      <t>Paddock Services /</t>
    </r>
    <r>
      <rPr>
        <sz val="8"/>
        <color theme="1"/>
        <rFont val="Arial"/>
        <family val="2"/>
      </rPr>
      <t xml:space="preserve"> AAS SMS GATE, GOOGLE RCS / SMSW</t>
    </r>
  </si>
  <si>
    <t>1907M33306</t>
  </si>
  <si>
    <t>Coupure de FO au Senegal dans la zone SUD de NIOKO –MAKO</t>
  </si>
  <si>
    <t>Soudure de la fibre Réouverture du port PDAL103</t>
  </si>
  <si>
    <t xml:space="preserve">1907M64793 </t>
  </si>
  <si>
    <t>Orange Money add-on / Bank to Wallet Orabank</t>
  </si>
  <si>
    <t>1907M65585</t>
  </si>
  <si>
    <t>Orange Money add-on / Bank to Wallet UBA</t>
  </si>
  <si>
    <t>1907M97941</t>
  </si>
  <si>
    <t>Impossible d’acceder au lien Gameloft ( : http://gameloft.orange-guinee.com/)</t>
  </si>
  <si>
    <t>Support Gameloft</t>
  </si>
  <si>
    <t>1907M99682</t>
  </si>
  <si>
    <t>1907N37255</t>
  </si>
  <si>
    <t>Orangeetmoi et Orange Money</t>
  </si>
  <si>
    <t>Inconsistance des données dans l’application Orangeetmoi &amp; l’application Orange Money</t>
  </si>
  <si>
    <r>
      <t>Dû à une déconnexion NFS entre les ESXI et les Baies Netapp</t>
    </r>
    <r>
      <rPr>
        <b/>
        <sz val="12"/>
        <color rgb="FF000000"/>
        <rFont val="Times New Roman"/>
        <family val="1"/>
      </rPr>
      <t xml:space="preserve"> </t>
    </r>
  </si>
  <si>
    <r>
      <t>Purge de la base de données est terminée, le service radius est bien démarré sur les deux serveurs radius</t>
    </r>
    <r>
      <rPr>
        <b/>
        <sz val="12"/>
        <color rgb="FF000000"/>
        <rFont val="Times New Roman"/>
        <family val="1"/>
      </rPr>
      <t xml:space="preserve"> </t>
    </r>
  </si>
  <si>
    <t xml:space="preserve">1907N65137 </t>
  </si>
  <si>
    <t>Orange Money add-on / Guinéé Games</t>
  </si>
  <si>
    <t xml:space="preserve">Coupure de la liaison FO (VPN et Internet) du client </t>
  </si>
  <si>
    <t>Basculement du client vers le FH</t>
  </si>
  <si>
    <t>1907N72381</t>
  </si>
  <si>
    <t>Indisponibilité du service Lanala assurance via OM</t>
  </si>
  <si>
    <t>Support Lanala</t>
  </si>
  <si>
    <t>1907O48640</t>
  </si>
  <si>
    <t>Lenteur de connexion à l’interface WEB de l’outil  de gestion des contenus centralisés</t>
  </si>
  <si>
    <t>Nombre de session atteint sur le reverse proxy Alteon</t>
  </si>
  <si>
    <t>Extension de la limite de la session</t>
  </si>
  <si>
    <t>1907O51832</t>
  </si>
  <si>
    <t>Indisponibilité de simplissimo impactant l'activation et la réactiavtion des SIM</t>
  </si>
  <si>
    <t>Indisponibilité de la base de données</t>
  </si>
  <si>
    <t>En attente de la Sonatel</t>
  </si>
  <si>
    <t>1907O53427</t>
  </si>
  <si>
    <t>Indisponibilité du service  reabonnement startimes via OM</t>
  </si>
  <si>
    <t>Devops / IT StarTimes</t>
  </si>
  <si>
    <t>1907O65919</t>
  </si>
  <si>
    <t>Orange Money add-on / Guinée Games</t>
  </si>
  <si>
    <t xml:space="preserve">Lenteur de la liaison VPN du client </t>
  </si>
  <si>
    <t>1907P08002</t>
  </si>
  <si>
    <t>En attente de Huawei</t>
  </si>
  <si>
    <t>1907P12247</t>
  </si>
  <si>
    <t>Orange Money add-on / Maersk</t>
  </si>
  <si>
    <t>Indisponibilité du paiement des BL Maersk via OM</t>
  </si>
  <si>
    <t>1907P24974</t>
  </si>
  <si>
    <t>Impossible pour les clients de vérifier / gérer les informations du compte dans l'application MyOrange (impact 30% )</t>
  </si>
  <si>
    <t>Indisponibilité du serveur Dcache6</t>
  </si>
  <si>
    <t>souci  du démarrage de certains services du serveur d'Application</t>
  </si>
  <si>
    <t>1907P56097</t>
  </si>
  <si>
    <t>Dégradation de la data mobile dans la zone de Labé, Siguiri et Boké</t>
  </si>
  <si>
    <t>1907P81322</t>
  </si>
  <si>
    <t>1907P84552</t>
  </si>
  <si>
    <t>1907P87814</t>
  </si>
  <si>
    <t>1907Q16166</t>
  </si>
  <si>
    <t xml:space="preserve">Orange Money add-on / IRT V3 </t>
  </si>
  <si>
    <t>LMS (Envoie des bulk sms)</t>
  </si>
  <si>
    <t xml:space="preserve">1907Q28438 </t>
  </si>
  <si>
    <t>Transmission/ Indisponibilité du LH Dalein to Pilimini dû à une forte pluie</t>
  </si>
  <si>
    <t>IT Guinée Games</t>
  </si>
  <si>
    <t>Transfert Data, 3VOM &amp; Report avantage</t>
  </si>
  <si>
    <t>Impossible de transférer sa data à un autre ( *222*8# ), acheter sa vignette et de recevoir ses avantages ( *118*1# )</t>
  </si>
  <si>
    <t>Time Out entre le Glassfish (5.108) et les serveurs BD (Report Avantage, 3VOM et Transfert Data)</t>
  </si>
  <si>
    <t>Redemarrage des Serveurs</t>
  </si>
  <si>
    <t>Augmentation de la bande passante</t>
  </si>
  <si>
    <t>Lenteur de la réponse SOAP (VPN) côté partenaire</t>
  </si>
  <si>
    <t>Changement de la preprod vers la prod et le redéploiement de l’API</t>
  </si>
  <si>
    <t>L’API pointait sur la preprod tango</t>
  </si>
  <si>
    <t>Paddock Services / SMS_API</t>
  </si>
  <si>
    <t>1908Q40206</t>
  </si>
  <si>
    <t>Délai de traitement des messages en attente élevé dû à un problème réseau</t>
  </si>
  <si>
    <t>Redémarrage du composant de stockage et de transmission</t>
  </si>
  <si>
    <t xml:space="preserve">Orange Money add-on / All Bank </t>
  </si>
  <si>
    <t>Impossible d’effectuer des transactions bancaires ( Ecobank, Orabank, UBA ) via OM</t>
  </si>
  <si>
    <t>1908Q60267</t>
  </si>
  <si>
    <t>1908Q62845</t>
  </si>
  <si>
    <t>Impossible d’accéder à la page web d’orange ( www.orange-guinee.com )</t>
  </si>
  <si>
    <t xml:space="preserve">1908Q64518 </t>
  </si>
  <si>
    <t>Site Web Orange Guinée</t>
  </si>
  <si>
    <t>1908Q94421</t>
  </si>
  <si>
    <t>1908Q97060</t>
  </si>
  <si>
    <t>1908R07223</t>
  </si>
  <si>
    <t>ATP (Dû au deployement par le SSPO d'une nouvelle version Jenkins pour les addons Cameroun)</t>
  </si>
  <si>
    <t>Rédeployement de l'ancienne version</t>
  </si>
  <si>
    <t>Coupure de FO au Sénégal dans la localité de NIOKO -MAKO</t>
  </si>
  <si>
    <t>Rollback sur Dalein après soudure de la fibre  </t>
  </si>
  <si>
    <t>Expiration de la licence du certificat</t>
  </si>
  <si>
    <t xml:space="preserve">Réactualisation du certificat op.stariboss.com </t>
  </si>
  <si>
    <t>Redémarrage des services</t>
  </si>
  <si>
    <t xml:space="preserve">Souci  du démarrage de certains services après reboot du serveur </t>
  </si>
  <si>
    <t>1908R09241</t>
  </si>
  <si>
    <t>1908R15977</t>
  </si>
  <si>
    <t xml:space="preserve"> 1908R18201</t>
  </si>
  <si>
    <t>Indisponibilité du service réabonnement star times via OM</t>
  </si>
  <si>
    <t xml:space="preserve">Probleme de reseau chez le partenaire </t>
  </si>
  <si>
    <t>1908R18297</t>
  </si>
  <si>
    <t>1908R42438</t>
  </si>
  <si>
    <t>1908R94687</t>
  </si>
  <si>
    <t>1908S00560</t>
  </si>
  <si>
    <t>1908S05496</t>
  </si>
  <si>
    <t>1908S14621</t>
  </si>
  <si>
    <t>Non réception de notifications après transactions E-recharge /OM</t>
  </si>
  <si>
    <t>Déconnection du compte SMPP pour OM (OgMon29) et Zebra (przebra) au SMSC</t>
  </si>
  <si>
    <t>Reconnexion et redémarrage des serveurs</t>
  </si>
  <si>
    <t xml:space="preserve"> 1908S18786</t>
  </si>
  <si>
    <t>1908S25761</t>
  </si>
  <si>
    <t xml:space="preserve">1908T43300 </t>
  </si>
  <si>
    <t>Transfert Data, Report avantage et Vignette</t>
  </si>
  <si>
    <t>ASBD / Devops</t>
  </si>
  <si>
    <t xml:space="preserve">1908T46505 </t>
  </si>
  <si>
    <t>1908T83014</t>
  </si>
  <si>
    <t>Lenteur de la liaison VPN du client</t>
  </si>
  <si>
    <t>1908T92873</t>
  </si>
  <si>
    <t>Carte de Recharge</t>
  </si>
  <si>
    <t>Impossible de faire la recharge via Carte</t>
  </si>
  <si>
    <t>communiquer les serveurs de recharges (site sonfonia) avec la base de données de recharge du site de camayenne (DR_VC online)</t>
  </si>
  <si>
    <t>1908U01437</t>
  </si>
  <si>
    <t>1908U34256</t>
  </si>
  <si>
    <t>1908U35687</t>
  </si>
  <si>
    <t>1908U52376</t>
  </si>
  <si>
    <t>Orange Money add-on /  Lafarge Holcim</t>
  </si>
  <si>
    <t>Interruption de la communication entre le serveur Lafarge et tango Prod.</t>
  </si>
  <si>
    <t>1908U57017</t>
  </si>
  <si>
    <t>Impossible aux B2B et les petites entreprises d'envoyer des SMS à leur clients finaux.</t>
  </si>
  <si>
    <t>Correction de la configuration du VPN</t>
  </si>
  <si>
    <t xml:space="preserve">1908U82987 </t>
  </si>
  <si>
    <t>gnoc</t>
  </si>
  <si>
    <t>Chute de trafic sur le lien PSON101 et PFEL101</t>
  </si>
  <si>
    <t xml:space="preserve">Huawei </t>
  </si>
  <si>
    <t xml:space="preserve">1908U83883 </t>
  </si>
  <si>
    <t>1908U90400</t>
  </si>
  <si>
    <t>1908V10754</t>
  </si>
  <si>
    <t>Dépointage de l’antenne</t>
  </si>
  <si>
    <t>Alignement de l’antenne par la Local Activity</t>
  </si>
  <si>
    <t>1908V34821  </t>
  </si>
  <si>
    <t>Baisse de trafic sur la sortie Internet Camayenne_FT</t>
  </si>
  <si>
    <t>Un dysfonctionnement au niveau de la carte RPSW (Route Processor Switch Card) sur l'EPG de Camayenne (les analyse se poursuivent)</t>
  </si>
  <si>
    <r>
      <t xml:space="preserve">Impossible de transférer </t>
    </r>
    <r>
      <rPr>
        <sz val="8"/>
        <color rgb="FF1F497D"/>
        <rFont val="Arial"/>
        <family val="2"/>
      </rPr>
      <t>l</t>
    </r>
    <r>
      <rPr>
        <sz val="8"/>
        <color theme="1"/>
        <rFont val="Arial"/>
        <family val="2"/>
      </rPr>
      <t>a data à un autre ( *222*8# ) , de faire le payement de vignette via OM et  de recevoir ses avantages  via ( *118*1# )</t>
    </r>
  </si>
  <si>
    <r>
      <t>Indisponibilité du service Lafarge Holcim</t>
    </r>
    <r>
      <rPr>
        <sz val="8"/>
        <color theme="1"/>
        <rFont val="Arial"/>
        <family val="2"/>
      </rPr>
      <t xml:space="preserve">  via OM (*144*4*10*1#)</t>
    </r>
  </si>
  <si>
    <t>1908V88665</t>
  </si>
  <si>
    <t xml:space="preserve">1908V96808 </t>
  </si>
  <si>
    <t xml:space="preserve">1908W08625 </t>
  </si>
  <si>
    <t>Indisponibilité du service Lanala Assurance via OM</t>
  </si>
  <si>
    <t>Inconnue (TOC 1908W85437 pour la root cause)</t>
  </si>
  <si>
    <t>1908W12097</t>
  </si>
  <si>
    <t xml:space="preserve">Report Avantage </t>
  </si>
  <si>
    <t>Expiration du mot de passe de la BD</t>
  </si>
  <si>
    <t>Réinitialisation du mot de passe de la BD</t>
  </si>
  <si>
    <r>
      <t>1908W42416</t>
    </r>
    <r>
      <rPr>
        <b/>
        <sz val="12"/>
        <color rgb="FF000000"/>
        <rFont val="Times New Roman"/>
        <family val="1"/>
      </rPr>
      <t> </t>
    </r>
  </si>
  <si>
    <t>1908W42986</t>
  </si>
  <si>
    <t>1908W78132 </t>
  </si>
  <si>
    <t>1909X19429</t>
  </si>
  <si>
    <t>1909X35062</t>
  </si>
  <si>
    <t>Lenteur lorsque les utilisateurs essaient de se connecter à l’interface WEB de l’outil  de gestion des contenus centralisés</t>
  </si>
  <si>
    <t>1909X53098</t>
  </si>
  <si>
    <t>1909X57093</t>
  </si>
  <si>
    <t>1909X94494</t>
  </si>
  <si>
    <t>1909Y27242</t>
  </si>
  <si>
    <t>Baisse de trafic sur la sortie  Dalein Kedougou</t>
  </si>
  <si>
    <t xml:space="preserve"> Re-routage du trafic vers le lien principal.</t>
  </si>
  <si>
    <t xml:space="preserve">Voix,sms,Data,USSD </t>
  </si>
  <si>
    <t xml:space="preserve">Souci de hardware (VC online) affectant la Base de donnée </t>
  </si>
  <si>
    <t>Basculement du service du serveur de Lafarge vers un autre serveur</t>
  </si>
  <si>
    <t>Mauvaise configuration du VPN entre Orange et la Sonatel</t>
  </si>
  <si>
    <t>Dégradation des niveaux RSL sur les liens Sonfonia-Kouria; Debele-kouria impactant le Trafic IP et accès sur le BB Féllosore-sonfonia ; Cette dégradation est due à une forte pluie dans la zone</t>
  </si>
  <si>
    <t>ATP planifiée du côté du partenaire hors délai</t>
  </si>
  <si>
    <t>FIN ATP</t>
  </si>
  <si>
    <t>Redémarrage des serveurs</t>
  </si>
  <si>
    <t>Indisponibilité des 4 serveurs d'application du partenaire après un ATP</t>
  </si>
  <si>
    <t>SMS [Zebra &amp; OM]</t>
  </si>
  <si>
    <t>1909Y70930</t>
  </si>
  <si>
    <t>Verrouillage des lignes de la base de données tango dû à une réconciliation avec Zebra</t>
  </si>
  <si>
    <t>Déverrouillage des lignes de la base de données tango</t>
  </si>
  <si>
    <t>1909Y78952</t>
  </si>
  <si>
    <t>Impossible de télécharger des applications via AppsOrange</t>
  </si>
  <si>
    <t>1909Z18960</t>
  </si>
  <si>
    <t>1909Z34343</t>
  </si>
  <si>
    <t>1909Z34945</t>
  </si>
  <si>
    <t>1909Z47382</t>
  </si>
  <si>
    <t>1909A25093</t>
  </si>
  <si>
    <t>1909A25358</t>
  </si>
  <si>
    <t>Overload sur le FW GINAL sur le SI de France (problème de DNS interne qui a empêché la plate-forme de répondre)</t>
  </si>
  <si>
    <t>Connexion avec le partenaire rétablie</t>
  </si>
  <si>
    <t>Dégradation des services Orange Money (impact 15%)</t>
  </si>
  <si>
    <t>Orange Money(*144#, *142#, *143#) ;E-recharge(*126# , *200# ) ; CMS (*111#) ;Achat de pass (*222#), SMS_API et  Report_Avantage (*118*1#), oceane, centreon,Apps Orange,MyOrange</t>
  </si>
  <si>
    <t>Orange Money add-on / All Addons</t>
  </si>
  <si>
    <t>Indisponibilité des services All Addons(Canal+,UBA/Ecobank\Webpayment)</t>
  </si>
  <si>
    <t>Blacklister certaines adresses au niveau du pare-feu GINAL</t>
  </si>
  <si>
    <t xml:space="preserve">Impossible de plusieurs services passant par le GIN </t>
  </si>
  <si>
    <t>Messagerie Outlook</t>
  </si>
  <si>
    <t>Impossible pour certaines machines d’envoyer et recevoir des mails</t>
  </si>
  <si>
    <t>1909A28984</t>
  </si>
  <si>
    <t>Exclusion du Serveur Hubcast de Medina du Cluster pour forcer tous les utilisateurs à passer par le Hubcast  de technopole</t>
  </si>
  <si>
    <t>Serveur Hubcast de Medina inopérant</t>
  </si>
  <si>
    <t>1909A80261</t>
  </si>
  <si>
    <t>1909A93888</t>
  </si>
  <si>
    <t>Impossible de télécharger l’application via AppsOrange</t>
  </si>
  <si>
    <t>Surcharge du connecteur OBOS suite à une campagne de mise à jour massive déclenchée par l'Espagne</t>
  </si>
  <si>
    <t>Suppression des mises à jour automatique des catalogues de l'espagne</t>
  </si>
  <si>
    <t xml:space="preserve">1909B02446 </t>
  </si>
  <si>
    <t>1909B41613</t>
  </si>
  <si>
    <t>Dégradation des services Orange Money</t>
  </si>
  <si>
    <t>ATP (Surcharge de la base de données causée par l'exécution des statistiques et par la purge)</t>
  </si>
  <si>
    <t>Indisponibilité du service  d’achat  de crédit via OM</t>
  </si>
  <si>
    <t>Retard de rechargement du compte Tango Dummy</t>
  </si>
  <si>
    <t>rechargement du compte</t>
  </si>
  <si>
    <t>1909B90131</t>
  </si>
  <si>
    <t>OTAP/ Profil 4G / Report avantage / CMS / MyOrange</t>
  </si>
  <si>
    <t>Indisponibilité des services passant par le SDP de GOS</t>
  </si>
  <si>
    <t>1909B95207</t>
  </si>
  <si>
    <t>Indisponibilité des services Canal+, Ecobank, UBA,Orabank,IRT</t>
  </si>
  <si>
    <t>1909C38067</t>
  </si>
  <si>
    <t xml:space="preserve">1909B36955|1909B73435 </t>
  </si>
  <si>
    <t>1909C09100|1909C09696</t>
  </si>
  <si>
    <t>Arrêt du service de transport exchange de technopole</t>
  </si>
  <si>
    <t>Redémarrage du Service Transport de Technopole</t>
  </si>
  <si>
    <t>Arrêt de la purge</t>
  </si>
  <si>
    <t>Ré-enclenchement des disjoncteurs disjonctés au niveau du coffret onduleux
Redémarrage de l’ensemble des VMs des services
Redémarrage des services</t>
  </si>
  <si>
    <t>Coupure de tension du réseau CIE (Compagnie Ivoirienne d’Electricité) ont 
entrainés des disjonctions des deux (02) sources d’alimentation indépendantes de la baie de stockage NetApp</t>
  </si>
  <si>
    <t>Configuration  d’un nouveau routeur et migration du trafic (des Add-on et du Broker) de l'ancien routeur vers le nouveau</t>
  </si>
  <si>
    <t>1909C52283</t>
  </si>
  <si>
    <t xml:space="preserve">Orange Money add-on / Bank to Wallet Orabank </t>
  </si>
  <si>
    <t>1909C60586</t>
  </si>
  <si>
    <t>Internet sur le lan</t>
  </si>
  <si>
    <t xml:space="preserve">Impossible de naviguer sur internet et d'utiliser les applications passant par le LAN </t>
  </si>
  <si>
    <t>1909C97232</t>
  </si>
  <si>
    <t>Orange Money addon/ All Bank to Wallet</t>
  </si>
  <si>
    <t>Indisponibilité des services Orange Money addon/ All Bank to Wallet</t>
  </si>
  <si>
    <t xml:space="preserve">Indisponibilité de plusieurs VM dû à une charge élevée sur les machines. </t>
  </si>
  <si>
    <t>Migration des instances effectuer vers des nouveaux hyperviseurs
Isolement du mb_cache et suppression du cache de la base de donnée</t>
  </si>
  <si>
    <t>1909D17721</t>
  </si>
  <si>
    <t>1909D42478  </t>
  </si>
  <si>
    <t xml:space="preserve">Paddock Services, Google RCS, AAS SMS GATE / SMSW </t>
  </si>
  <si>
    <t>Redémarrage du VPN aux deux extrémités par DIF et l'affilié local</t>
  </si>
  <si>
    <t>1909D46549  </t>
  </si>
  <si>
    <t xml:space="preserve">FFC(football fans club) </t>
  </si>
  <si>
    <t>FFC(football fans club)</t>
  </si>
  <si>
    <t>Fin l’ATP</t>
  </si>
  <si>
    <t xml:space="preserve">1909D72011 </t>
  </si>
  <si>
    <t>1909D92622</t>
  </si>
  <si>
    <t>OTAP/ Profil 4G / Report avantage / CMS </t>
  </si>
  <si>
    <t>Indisponibilité des services KM4 du GOS</t>
  </si>
  <si>
    <t>Les interfaces d'un des switch dans le Datacenter de KM4 étaient down</t>
  </si>
  <si>
    <t>Redémarrage des interfaces</t>
  </si>
  <si>
    <t>Problème de connectivité entre les serveurs proxy et les Brokers IAS (Perte de Paquets)</t>
  </si>
  <si>
    <t>arrêt du service solr suite à un redémarrage de Vm de manière brusque</t>
  </si>
  <si>
    <t>Redémarrage du service solr</t>
  </si>
  <si>
    <t>1909E23031</t>
  </si>
  <si>
    <t>Paddock Services, Google RCS, AAS SMS GATE / SMSW</t>
  </si>
  <si>
    <t>1909E35765</t>
  </si>
  <si>
    <t>Indisponibilité serveur Guinee games</t>
  </si>
  <si>
    <t xml:space="preserve">1910E68308 </t>
  </si>
  <si>
    <t>OTAP, Profil 4G, Report Avantage, MyOrange et CMS</t>
  </si>
  <si>
    <t xml:space="preserve">Impossible d’envoyer les settings (paramètres de configuration internet) aux abonnés,
Impossible de recevoir les avantages via  *118*1#
Impossible de consulter le profil 4G
</t>
  </si>
  <si>
    <t xml:space="preserve">Panne du switch QFX 3500-05 sur le datacenter de KM4 </t>
  </si>
  <si>
    <t xml:space="preserve">Récupération des configurations du QFX 3500-03 et QFX 3500-05 via le rapport de sauvegarde
Configuration du switch QFX 3500-03Migration des câbles du switch QFX 3500-05 vers le switch QFX 3500-03 Redémarrage des machines virtuelles et des services  </t>
  </si>
  <si>
    <t>1910E82015</t>
  </si>
  <si>
    <t xml:space="preserve">Orange Money addon/ Canal+ </t>
  </si>
  <si>
    <t>Indisponibilité du services réabonnement Canal via Orange Money</t>
  </si>
  <si>
    <t>1910F43607</t>
  </si>
  <si>
    <t>1910F74641</t>
  </si>
  <si>
    <t>Orange Money add-on / Bank to Wallet  Ecobank</t>
  </si>
  <si>
    <t>Blocage du flux internet entre le Juniper de Medina et le CE de Medina sur le switch 4948 de Medina4</t>
  </si>
  <si>
    <t>Intégration de l’adresse MAC du juniper dans la table des adresses du Switch 4948 de Medina</t>
  </si>
  <si>
    <t>1909E24756  </t>
  </si>
  <si>
    <t>E-Recharge via OM</t>
  </si>
  <si>
    <t>1910F92652</t>
  </si>
  <si>
    <t>1910F94771</t>
  </si>
  <si>
    <t>OTAP, Profil 4G, Report Avantage</t>
  </si>
  <si>
    <t>Non identifié</t>
  </si>
  <si>
    <t>1910G25463</t>
  </si>
  <si>
    <t>Chute de trafic sur la sortie Internet DALEIN-KEDOUGOU</t>
  </si>
  <si>
    <t>Dûe à un ATP au Senegal (T910024165)</t>
  </si>
  <si>
    <t xml:space="preserve">1910G77525 </t>
  </si>
  <si>
    <t>Echec d’authentification de la messagerie sur certains postes</t>
  </si>
  <si>
    <t>1910G88663</t>
  </si>
  <si>
    <t xml:space="preserve">1910H08993 </t>
  </si>
  <si>
    <t>1910H17050</t>
  </si>
  <si>
    <t>1910H50643</t>
  </si>
  <si>
    <t>1910H53900</t>
  </si>
  <si>
    <t>CC</t>
  </si>
  <si>
    <t>1910H18488</t>
  </si>
  <si>
    <t>Mobile TV (RTG et Espace TV)</t>
  </si>
  <si>
    <t>Indisponibilité du chaines RTG et Espace</t>
  </si>
  <si>
    <t>1910H62848</t>
  </si>
  <si>
    <t>1910H85492</t>
  </si>
  <si>
    <t>1910I03032</t>
  </si>
  <si>
    <t>1910I11035</t>
  </si>
  <si>
    <t>Addon Locaux (SEG, 3VOM, Crosseling, Lafarge, identication OM, Consultation solde OM et Maersk), OPS, Data Mobile, EON et SMS</t>
  </si>
  <si>
    <t>Incident SI</t>
  </si>
  <si>
    <t>Plantage des deux switch SI / Identification de la root-cause en cours</t>
  </si>
  <si>
    <t>Redémarrage des switch</t>
  </si>
  <si>
    <t>1910I27266</t>
  </si>
  <si>
    <t>1910I26828</t>
  </si>
  <si>
    <t>1910I48607</t>
  </si>
  <si>
    <t>Coupure de la fibre optique à 34km de NIOKO vers MAKO</t>
  </si>
  <si>
    <t>1910I66857</t>
  </si>
  <si>
    <t>Impossible de souscrire au service CMS via le canal SMS (8036)</t>
  </si>
  <si>
    <t>Dû à d’énormes demandes de la part des abonnés sur le service , ce qui a créé une file d’attente</t>
  </si>
  <si>
    <t>1910I83734</t>
  </si>
  <si>
    <t>Orange Money add-on / Bank to Wallet (Ecobank, UBA et Orabank)</t>
  </si>
  <si>
    <t>Indisponibilité des inscriptions d'ouverture de compte sur l'ensemble des services Bank to Wallet</t>
  </si>
  <si>
    <t>1910J22899</t>
  </si>
  <si>
    <t>1910J26587</t>
  </si>
  <si>
    <t>Orange Money/Guinée Games</t>
  </si>
  <si>
    <t>1910J27854</t>
  </si>
  <si>
    <t xml:space="preserve">OTAP, Profil 4G, Report Avantage </t>
  </si>
  <si>
    <t>Impossible d’envoyer les settings (paramètres de configuration internet) aux abonnés,Impossible de recevoir les avantages via  *118*1#Impossible de consulter le profil 4G</t>
  </si>
  <si>
    <t>Coupure FO entre KAOLACK et KAFFRINE (SENEGAL).</t>
  </si>
  <si>
    <t>ATP (T910075746)</t>
  </si>
  <si>
    <t>IT Guinee Games</t>
  </si>
  <si>
    <t>Mise à jour d’un patch sécurité  depuis l’outil SCCM non planifié (serveur de gestion des déploiements) a entrainé un redémarrage du serveur</t>
  </si>
  <si>
    <t>Redémarrage du Serveur HUBCAST (serveur de connexion et d’envoi) de technopole (TNSVHC03) en vue de la resynchronisation du cluster Service</t>
  </si>
  <si>
    <t>Probleme de reception du signal par le dongle USB</t>
  </si>
  <si>
    <t xml:space="preserve">1910I03032 </t>
  </si>
  <si>
    <t>Réinitialisation du dongle usb et redémarrage de Mobiletv</t>
  </si>
  <si>
    <t>Donner à Exchange les autorisations d’écrire ces logs sur AD</t>
  </si>
  <si>
    <t>Ajout du compte de service ArcSight le 15/10 à 15h dans le default policy domain pour récupérer les logs de AD a perturbé l’accessibilité de Exchange</t>
  </si>
  <si>
    <t xml:space="preserve">1910J38439 </t>
  </si>
  <si>
    <t>Rétablissement de la  connexion</t>
  </si>
  <si>
    <t xml:space="preserve">1910J70325 </t>
  </si>
  <si>
    <t>Paddock Services / AAS SMS GATE, GOOGLE RCS</t>
  </si>
  <si>
    <t>1910J81103</t>
  </si>
  <si>
    <t>Redemarrade du serveur</t>
  </si>
  <si>
    <t>1910J90830 </t>
  </si>
  <si>
    <t xml:space="preserve">1910K29400 </t>
  </si>
  <si>
    <t>1910K56717/1910K56509</t>
  </si>
  <si>
    <t>Orange Money add-on / All Addon (Ecobank, UBA,  Orabank  et Canal +)</t>
  </si>
  <si>
    <t>1910L03246 </t>
  </si>
  <si>
    <t>Indisponibilité des services  Orange Money add-on / All Addon</t>
  </si>
  <si>
    <t>1910L25725 </t>
  </si>
  <si>
    <t>1910L42319</t>
  </si>
  <si>
    <t>VOIX, Orange Money, E-recharge</t>
  </si>
  <si>
    <t>ECHEC DANS LES TENTATIVES D’APPEL ET ECHEC D’INITIATION DES REQUETES USSD PAR INTERMITTENCE</t>
  </si>
  <si>
    <t>Dégradation du signal optique sur le tronçon Kipé-Sonfonia</t>
  </si>
  <si>
    <t>Fermeture de port  eth14 du routeur de Kipé</t>
  </si>
  <si>
    <t>Investigation en cours pour reparer l'incident</t>
  </si>
  <si>
    <t>1910L80377</t>
  </si>
  <si>
    <t>Impossibilité de se connecter à Outlook sur certains postes</t>
  </si>
  <si>
    <t>Lenteur d'accès au serveur et problème de (synchronisation des mails, de connexion client Outlook et d'accès au webmail).</t>
  </si>
  <si>
    <t>1910L82402</t>
  </si>
  <si>
    <t>1910L96929 </t>
  </si>
  <si>
    <t>Le processus httpd a été arreté par OOM Killer et redemarrage du processus</t>
  </si>
  <si>
    <t>Augmentation du nombre de transactions à partir du tampon httpd dû à des timeout</t>
  </si>
  <si>
    <t>1911M41424</t>
  </si>
  <si>
    <t>1911M58968</t>
  </si>
  <si>
    <t>1911N24228</t>
  </si>
  <si>
    <t>1911O01545 /1911O02195</t>
  </si>
  <si>
    <t>Orange Money add-on / All Addon</t>
  </si>
  <si>
    <t>Indisponibilité des  Services Orange Money add-on / (Ecobank, UBA, Orabank  et Webpayment)</t>
  </si>
  <si>
    <t>Pollution des deux serveurs  d’application Brokers par l’addon local du liberia
Plantage des deux serveurs d’application Brokers dû à un taux d’utilisation élevé du CPU</t>
  </si>
  <si>
    <t>Redémarrage des VM
Arrêt des deux serveurs Apache, suppression du Proxypass de l’Addon local du liberia et redémarrage à nouveau
Suppression du cache tango et redémarrage du tomcat</t>
  </si>
  <si>
    <t>**********</t>
  </si>
  <si>
    <t>SIMPLISSIMO et Platine</t>
  </si>
  <si>
    <t>Indisponibilité de SIMPLISSIMO et Platine</t>
  </si>
  <si>
    <t>1911O63596</t>
  </si>
  <si>
    <t xml:space="preserve">1911O65539 </t>
  </si>
  <si>
    <t>Identification de la root cause en cours</t>
  </si>
  <si>
    <t>1911O80362</t>
  </si>
  <si>
    <t xml:space="preserve">Perte de signal optique entre KEDOUGOU ET DIENOUDIALA </t>
  </si>
  <si>
    <t>1911P23392</t>
  </si>
  <si>
    <t>MESSAGERIE OUTLOOK et WEBMAIL</t>
  </si>
  <si>
    <t>Certains utilisateurs n’arrivent pas à se connecter sur Outlook et sur le Webmail</t>
  </si>
  <si>
    <t>1911P17957</t>
  </si>
  <si>
    <t>Orange Money add-on /IRT</t>
  </si>
  <si>
    <t xml:space="preserve">Echec de réception des transferts internationaux </t>
  </si>
  <si>
    <t>Défaut sur le load balancer d’Openwatt</t>
  </si>
  <si>
    <t>Reconfiguration du load balancer</t>
  </si>
  <si>
    <t>1911P35674</t>
  </si>
  <si>
    <t>Erreur de configuration du VPN proxy (dû à un ATP)</t>
  </si>
  <si>
    <t>Correction Manuelle de l’adresse du VPN</t>
  </si>
  <si>
    <t xml:space="preserve"> 1911P54545 </t>
  </si>
  <si>
    <t>************</t>
  </si>
  <si>
    <t xml:space="preserve">Dysfonctionnement sur le Serveur du partenaire GuineeGames </t>
  </si>
  <si>
    <t>1911P77978</t>
  </si>
  <si>
    <t>Consultation Pass</t>
  </si>
  <si>
    <t>Indisponibilité du service Consultation_pass Internet via (*222*5#)</t>
  </si>
  <si>
    <t>ATP (Pointage sur l’IN preprod lors de l’upgrade de l’IN)</t>
  </si>
  <si>
    <t>Repointage du service consultation  sur l’IN Prod et publication du menu</t>
  </si>
  <si>
    <t>1911P72954</t>
  </si>
  <si>
    <t>Coupure de fibre a 10KM de MIOKO vers MAKO(Sénégal)</t>
  </si>
  <si>
    <t>1911Q09258</t>
  </si>
  <si>
    <t>1911Q15621</t>
  </si>
  <si>
    <t>Guilab</t>
  </si>
  <si>
    <t>1911Q08761</t>
  </si>
  <si>
    <t>Indisponibilité de la 4G pour certains Abonnés</t>
  </si>
  <si>
    <t xml:space="preserve">Reconfiguration du SEG 2 ACE entre le Sénégal et la Guinée </t>
  </si>
  <si>
    <t>Perte de trafic entre ASBR et de OUAKAM (Un shunt fault probable entre le 1ier répéteur et le 2ième répéteur à partir de DAKAR)</t>
  </si>
  <si>
    <t>1911Q23350</t>
  </si>
  <si>
    <t>DSTK</t>
  </si>
  <si>
    <t>1911Q37217</t>
  </si>
  <si>
    <t>Les clients ne peuvent pas recevoir de contenus après souscription au service via *111# ou au 8036</t>
  </si>
  <si>
    <t>Erreur de configuration du compte test (gostest1) sur la prod lors de la migration sur SDP VITIB</t>
  </si>
  <si>
    <t>Desactivation du compte</t>
  </si>
  <si>
    <t>Action faite le 22/11/2019</t>
  </si>
  <si>
    <t>1911Q87509</t>
  </si>
  <si>
    <t>Data Mobile sur la 4G</t>
  </si>
  <si>
    <t>1911Q96388/pour identification de la root-cause et correction de l'incident</t>
  </si>
  <si>
    <t xml:space="preserve">1911Q89519 </t>
  </si>
  <si>
    <t>1911Q98149</t>
  </si>
  <si>
    <t>DMC</t>
  </si>
  <si>
    <t>Latence entre l'audio et la piste vidéo</t>
  </si>
  <si>
    <t>Plusieurs canaux IP entrainant une saturation du système</t>
  </si>
  <si>
    <t>Suppression de quelques canaux et redémarrage du serveur mobil TV</t>
  </si>
  <si>
    <t>Support Mobile TV</t>
  </si>
  <si>
    <t>1911R23419</t>
  </si>
  <si>
    <t>Orange Money add-on / Bank to Wallet UBA orabank Ecobank</t>
  </si>
  <si>
    <t>1911R29333</t>
  </si>
  <si>
    <t>1911R31851</t>
  </si>
  <si>
    <t>Indisponibilité réabonnement canal via OM</t>
  </si>
  <si>
    <t>surcharge du réseau du partenaire</t>
  </si>
  <si>
    <t>1911R35198</t>
  </si>
  <si>
    <t>Coupure de fibre côté Sonatel </t>
  </si>
  <si>
    <t>1911R48462</t>
  </si>
  <si>
    <t>Orange Money/ Guinée Games</t>
  </si>
  <si>
    <t>1911R86537</t>
  </si>
  <si>
    <t>1911R84716</t>
  </si>
  <si>
    <t>Débordement ATP chez le partenaire</t>
  </si>
  <si>
    <t>1911S22063</t>
  </si>
  <si>
    <t>Orange Money add-on / All Add-on</t>
  </si>
  <si>
    <t xml:space="preserve">1911S35146 </t>
  </si>
  <si>
    <t>Orange Money add-on / Webpayment</t>
  </si>
  <si>
    <t xml:space="preserve">Impossible de recevoir son code de payement via OM </t>
  </si>
  <si>
    <t>Non autorisation de l’IP du webservice OTP vers la gateway d’orange money</t>
  </si>
  <si>
    <t>Redirection de l’IP du webservice OTP vers l’adresse VIP de la gateway du firewall</t>
  </si>
  <si>
    <t xml:space="preserve">1911S29237 </t>
  </si>
  <si>
    <t>Basculement du trafic sur Camayenne /soudure de la fibre/réouverture du port PDAL103</t>
  </si>
  <si>
    <t>1911S18208</t>
  </si>
  <si>
    <t>SCD</t>
  </si>
  <si>
    <t>Achat de pass/ MyOrange</t>
  </si>
  <si>
    <t>Echec d’achat de pass via MyOrange</t>
  </si>
  <si>
    <t>la valeur TPS a été atteinte</t>
  </si>
  <si>
    <t>AUCUNE/ Revenue à la normale apres la busy hour</t>
  </si>
  <si>
    <t>1911S76512</t>
  </si>
  <si>
    <t>Orange Money Add-on / Canal+</t>
  </si>
  <si>
    <t>Impossible d’effectuer de réabonnement Canal via OM</t>
  </si>
  <si>
    <t>Blocage de la session du côté du partenaire</t>
  </si>
  <si>
    <t>Impossible de Consulter la compatibilité de sa SIM ou de son Mobile à la techno 4G</t>
  </si>
  <si>
    <t>Indisponibilité du Serveur d’application</t>
  </si>
  <si>
    <t>Redémarrage du serveur d’application</t>
  </si>
  <si>
    <t>1911S99850</t>
  </si>
  <si>
    <t>Instabilité des Services Orange Money</t>
  </si>
  <si>
    <t>Bagottement d’un switch à LYON / Echec des requetes ussd sur le serveur l'USSD1</t>
  </si>
  <si>
    <t>Remplacement du Switch défectueux/Redemarrage des process ussdserver sur l’USSD1</t>
  </si>
  <si>
    <t>SSPO/GNOC</t>
  </si>
  <si>
    <t>Report avantage et Transfert data</t>
  </si>
  <si>
    <t>Indisponibilité des services report avantage(*118*1#) et transfert data(*222*8 #)</t>
  </si>
  <si>
    <t>Plantage de la VM</t>
  </si>
  <si>
    <t>Indisponibilité du serveur du partenaire dû à un probleme d'energie</t>
  </si>
  <si>
    <t>Retablissement de l'energie</t>
  </si>
  <si>
    <t>Delai de traitement des transactions elevées</t>
  </si>
  <si>
    <t xml:space="preserve">Probleme de Connectivité entre OpenWatt (Pologne) et IAS (France) </t>
  </si>
  <si>
    <t>Upgrade de la RAM des serveurs Brokers de 2Gb à 4Gb et Partage du Trafic sur les deux routes disponibles: noprod et prod.</t>
  </si>
  <si>
    <t>1911O84347|1911O83981</t>
  </si>
  <si>
    <t>Déverrouillage de la base de données</t>
  </si>
  <si>
    <t>Verrouillage de la base de données du partenaire</t>
  </si>
  <si>
    <t>Problème de connectivité IP entre le MME CAM et le HSS | souci Capacitaire sur les EPG</t>
  </si>
  <si>
    <t xml:space="preserve">Dysfonctionnement sur le Serveur Ecahs (hebergeur du serveur USSD) du partenaire GuineeGames </t>
  </si>
  <si>
    <t>En attente du partenaire</t>
  </si>
  <si>
    <t>Non Identifiée</t>
  </si>
  <si>
    <t>Extension de la partition de stockage des logs (+ 500go Sur 2T initial)</t>
  </si>
  <si>
    <t>La partition contenant les logs s’est remplie impactant l’accessibilité des bases DB009 à DB017.</t>
  </si>
  <si>
    <t>Swappe du SPS (Déplacement d'équipement défectueux pour avoir au minimum un SPS fonctionnel par équipement)</t>
  </si>
  <si>
    <t>Energie (obsolescence de 5 des SPS qui gèrent l'alimentation électriques des processeurs de la baie et des disques)</t>
  </si>
  <si>
    <t xml:space="preserve">Indisponibilité des services report avantage(*118*1#) </t>
  </si>
  <si>
    <t>AUCUNE</t>
  </si>
  <si>
    <t>1912U12160</t>
  </si>
  <si>
    <t>**************</t>
  </si>
  <si>
    <t>DDV</t>
  </si>
  <si>
    <t>Indisponibilité de SIMPLISSIMO</t>
  </si>
  <si>
    <t>1912U34182</t>
  </si>
  <si>
    <t xml:space="preserve">OTAP, Profil 4G et Report Avantage </t>
  </si>
  <si>
    <t xml:space="preserve">Indisponibilité des services OTAP, consultation Profil 4G et Report avantage(*118*1#) </t>
  </si>
  <si>
    <t xml:space="preserve">Taux de charge du CPU élevé </t>
  </si>
  <si>
    <t>1912U50000</t>
  </si>
  <si>
    <t>1912U88724</t>
  </si>
  <si>
    <t>Indisponibilité Achat de crédit via OM</t>
  </si>
  <si>
    <t>Configurations d'une promotion.</t>
  </si>
  <si>
    <t>rollback</t>
  </si>
  <si>
    <t>1912V01758</t>
  </si>
  <si>
    <t>1912V16408</t>
  </si>
  <si>
    <t>1912V78586</t>
  </si>
  <si>
    <t>Paddock Services / AAS SMS GATE /SMSW</t>
  </si>
  <si>
    <t>1912V80849</t>
  </si>
  <si>
    <t>1912V91515</t>
  </si>
  <si>
    <t>1912V91920</t>
  </si>
  <si>
    <t>1912V92550</t>
  </si>
  <si>
    <t xml:space="preserve">1912V99766 </t>
  </si>
  <si>
    <t xml:space="preserve">1912W44684 </t>
  </si>
  <si>
    <t>1912W44816</t>
  </si>
  <si>
    <t>1911P27255</t>
  </si>
  <si>
    <t>1912W86450</t>
  </si>
  <si>
    <t>Impossible d’effectuer le réabonnement Canal via OM</t>
  </si>
  <si>
    <t>Impossible aux B2B et les petites entreprises d'envoyer des SMS à leur clients</t>
  </si>
  <si>
    <t>Impossible d’acheter du crédit via OM (*144*2# )</t>
  </si>
  <si>
    <t>Orange Money Add-on / Guinée Games</t>
  </si>
  <si>
    <t>Orange Money Add-on / Bank to Wallet Ecobank</t>
  </si>
  <si>
    <t>Perte de connexion entre SMSC et le Compte SMPP Paddock</t>
  </si>
  <si>
    <t>Problème d'equipement réseau chez le partenaire</t>
  </si>
  <si>
    <t>Reconnexion Manuelle du tunnel</t>
  </si>
  <si>
    <t>Non rechargement du compte DUMMY</t>
  </si>
  <si>
    <t>Rechargement du Compte</t>
  </si>
  <si>
    <t>SICLI</t>
  </si>
  <si>
    <t xml:space="preserve">1912V45720 </t>
  </si>
  <si>
    <t xml:space="preserve">OTAP </t>
  </si>
  <si>
    <t>Non envoi des settings aux abonnées</t>
  </si>
  <si>
    <t>Travaux de récuperation du shunt fault de Dakar par le SNOC de Dakar et la Guilab</t>
  </si>
  <si>
    <t>Basculement manuel du trafic sur le circuit d'abidjan</t>
  </si>
  <si>
    <t>NOC RAFIA</t>
  </si>
  <si>
    <t>Orange Money add-on / (Ecobank, UBA, Orabank  et Webpayment)</t>
  </si>
  <si>
    <t xml:space="preserve">1912X94096 </t>
  </si>
  <si>
    <t>Indisponibilité des  Services Orange Money add-on / ALL Addons</t>
  </si>
  <si>
    <t xml:space="preserve">Reconstructions du cluster de la base de données </t>
  </si>
  <si>
    <t>1912X94509</t>
  </si>
  <si>
    <t>Coupure de fibre coté Sénégal</t>
  </si>
  <si>
    <t>Mutation sur une nouvelle paire saine sur les sections NIOKO - MAKO et MAKO - KEDOUGOU</t>
  </si>
  <si>
    <t>1912Y03028</t>
  </si>
  <si>
    <t>Impossible pour les clients de vérifier / gérer les informations du compte dans l'application MyOrange</t>
  </si>
  <si>
    <t>Delai d'attente élevé entre le SDP et Local IS</t>
  </si>
  <si>
    <t xml:space="preserve">1912Y45845 </t>
  </si>
  <si>
    <t>Indisponibilité de Nomad via Web</t>
  </si>
  <si>
    <t xml:space="preserve">Remplissage du répertoire /var à 100% </t>
  </si>
  <si>
    <t xml:space="preserve">Redémarrage de la vm / Purge du répertoire /var </t>
  </si>
  <si>
    <t>*********</t>
  </si>
  <si>
    <t>Coupure d’électricité chez le partenaire</t>
  </si>
  <si>
    <t>Résolution de la coupure</t>
  </si>
  <si>
    <t>Indisponibilité du nœud (BD) principal</t>
  </si>
  <si>
    <t>Indisponibilité du cluster de la BD lors de la tentative de réajout du 3e nœud dans le cluster</t>
  </si>
  <si>
    <t>Arrêt et redemarrage de l'ensemble du cluster</t>
  </si>
  <si>
    <t>Plantage de la Machine Virtuelle (VM) de l’ADC opotagoswgnbw01 suite à un load average enregistré sur cette VM</t>
  </si>
  <si>
    <t>Redémarrage de l’ADC opotagoswgnbw01</t>
  </si>
  <si>
    <t>1912Z21405</t>
  </si>
  <si>
    <t>Debordement ATP dû à un bug de certaines versions des softs</t>
  </si>
  <si>
    <t>Correction du bug (Rétablissement de la connexion)</t>
  </si>
  <si>
    <t>1912Z29664/1912Z31702</t>
  </si>
  <si>
    <t>Dégradation  des transactions OM sur tous les Addon (20%)</t>
  </si>
  <si>
    <t>Perte de paquets entre les serveurs Broker et OpenWatt</t>
  </si>
  <si>
    <t>1912Z31702</t>
  </si>
  <si>
    <t>Dégradation  des transactions OM sur tous les Addon (5%)</t>
  </si>
  <si>
    <t>1912Z66275</t>
  </si>
  <si>
    <t>Degradation du signal optique entre DIENOUDIALA et KEDOUGOU</t>
  </si>
  <si>
    <t>Réajustement de la puissance</t>
  </si>
  <si>
    <t>1912Z67638</t>
  </si>
  <si>
    <t>Impossible pour les clients de vérifier / gérer les informations du compte dans l'application MyOrange (65% d'impact)</t>
  </si>
  <si>
    <t>Le nombre de TPS definie était atteint</t>
  </si>
  <si>
    <t>Upgrade du nombre de TPS après l'incident</t>
  </si>
  <si>
    <t>1912Z77358</t>
  </si>
  <si>
    <t>1912A00828</t>
  </si>
  <si>
    <t>Instabilité des Services Orange Money(100% d'impact)</t>
  </si>
  <si>
    <t>Plantage du serveur d’application</t>
  </si>
  <si>
    <t xml:space="preserve">Redemarrage du serveur de l’instance txn </t>
  </si>
  <si>
    <t>1912A18576</t>
  </si>
  <si>
    <t>1912A24673</t>
  </si>
  <si>
    <t>1912A25785</t>
  </si>
  <si>
    <t>1912A39144</t>
  </si>
  <si>
    <t>1912A40119</t>
  </si>
  <si>
    <t>Changement d'équipement réseau.</t>
  </si>
  <si>
    <t>Defaut du concentrateur VPN strongswan du partenaire</t>
  </si>
  <si>
    <t>Equilibrage du trafic sur les deux zones: (2 VM envoient du trafic vers Montsouri et 1 VM vers Aubervilliers) et Augmentation des paramètres tcp pour réutiliser la même session pour la transmission des paquets</t>
  </si>
  <si>
    <t>Redemarrage du module</t>
  </si>
  <si>
    <t>Instabilité d'un des modules AGW_DS de la plateforme SDP VITIB</t>
  </si>
  <si>
    <t>Freeze du Serveur d’application ( cache plein)</t>
  </si>
  <si>
    <t xml:space="preserve">Redémarrage du serveur </t>
  </si>
  <si>
    <t>MESSAGERIE (Webmail)</t>
  </si>
  <si>
    <t>Impossible de synchroniser les mails sur les tels mobiles</t>
  </si>
  <si>
    <t>1912A64476</t>
  </si>
  <si>
    <t xml:space="preserve">1912A74396 </t>
  </si>
  <si>
    <t>Orange Money add-on / All Addon (Ecobank, UBA,  Orabank, IRT et Canal +)</t>
  </si>
  <si>
    <t>Recréation du loadbalancer</t>
  </si>
  <si>
    <t>Dû à un ATP du côté partenaire</t>
  </si>
  <si>
    <t>E-recharge via OM</t>
  </si>
  <si>
    <t xml:space="preserve">Roll-back </t>
  </si>
  <si>
    <t>Dû à un ATP du côté Sonatel (Mise en place des prérequis sécurité pour le projet COMMON AD, il s’est avéré que Windows 2003 n’accepte pas la configuration « minimum session Security for NTLM)</t>
  </si>
  <si>
    <t>Indisponibilité du Loadbalancer Octavia</t>
  </si>
  <si>
    <t>DevOps/Sonatel</t>
  </si>
  <si>
    <t>Baisse de trafic sur la sortie Internet Dalein-Kedougou (Dégradation de la data mobile dans la zone de Labé, Siguiri et Boké)</t>
  </si>
  <si>
    <t>Bloquage du TPS OGN par un autre SLA configuré sur le même APP_ID et une desactivation de la config a été faite le 30/12/2019</t>
  </si>
  <si>
    <t>Perte de connexion du tunnel VPN avec le serveur Orange</t>
  </si>
  <si>
    <t>Redémarrage de la VM et des serveurs d’applications (GlassFish &amp; Weblogic)</t>
  </si>
  <si>
    <t>Fin retablissement</t>
  </si>
  <si>
    <t>Début</t>
  </si>
  <si>
    <t>Fin réparation</t>
  </si>
  <si>
    <t>Durée rétablissement (hh:mn)</t>
  </si>
  <si>
    <t>Durée rétablissement (mn)</t>
  </si>
  <si>
    <t>Durée réparation (hh:mn)</t>
  </si>
  <si>
    <t>Durée réparation (mn)</t>
  </si>
  <si>
    <t>Exlusion</t>
  </si>
  <si>
    <t>DSI</t>
  </si>
  <si>
    <t>8h</t>
  </si>
  <si>
    <t>RI</t>
  </si>
  <si>
    <t>Nom</t>
  </si>
  <si>
    <t>Commentaire</t>
  </si>
  <si>
    <t xml:space="preserve">Periode </t>
  </si>
  <si>
    <t>Mise à jour des fiches Consigne existantes et Elaboration des fiches de certains services</t>
  </si>
  <si>
    <t>PA</t>
  </si>
  <si>
    <t>Porteur</t>
  </si>
  <si>
    <t>Date d'affection</t>
  </si>
  <si>
    <t>Date de realisation</t>
  </si>
  <si>
    <t>Performances</t>
  </si>
  <si>
    <t>Mar</t>
  </si>
  <si>
    <t>Avr</t>
  </si>
  <si>
    <t>Team</t>
  </si>
  <si>
    <t>Alpho D</t>
  </si>
  <si>
    <t>Keita</t>
  </si>
  <si>
    <t>Alpha B</t>
  </si>
  <si>
    <t>Bobo</t>
  </si>
  <si>
    <t>Taux d'atteintes des Objectifs</t>
  </si>
  <si>
    <t>% Cloture des TQ</t>
  </si>
  <si>
    <t>Nombre Incidents</t>
  </si>
  <si>
    <t>% Reception et archivage RI</t>
  </si>
  <si>
    <t>Déc</t>
  </si>
  <si>
    <t>% PA Soldés</t>
  </si>
  <si>
    <t>Moy Global</t>
  </si>
  <si>
    <t>Durée</t>
  </si>
  <si>
    <t>Objectifs 2022</t>
  </si>
  <si>
    <t>Deadline</t>
  </si>
  <si>
    <t>Vulgarisation de l'utilisation des outils calipso (Swan et Oceane), Helios et brise</t>
  </si>
  <si>
    <t>Mise à jour de la base Marine des Produits (automatisation si possible)</t>
  </si>
  <si>
    <t>Mise à jour de la base Marine des ressources (automatisation si possible)</t>
  </si>
  <si>
    <t>Création de la dépendance ressource - produit et produit-produit</t>
  </si>
  <si>
    <t>Mise à jour des reporting des incidents, problemes, plaintes et changement sur brise</t>
  </si>
  <si>
    <t>Mise à Jour du Catalogue OGN Swan dans Marine (association des impacts (dépendance) par operation depuis la création du TQ)</t>
  </si>
  <si>
    <t>Mise en place d'un tableau de Bord Supervision des incident et ATP sur Helios</t>
  </si>
  <si>
    <t>Automatisation des notifications (mail et SMS) de la gestion des Incidents (la signalisation des incidents vers les TMC et le CCC)</t>
  </si>
  <si>
    <t>Développement de l'outil central de Knowledge Management des différentes supervisions (Services, Huawei, GNOC et IPT)</t>
  </si>
  <si>
    <t xml:space="preserve">POC Supervision du reseau (RAN, Network IP, Data Mobile et VAS) avec ELK (Elasticsearch &amp; Kibana), </t>
  </si>
  <si>
    <t>Mise en place de la supervision du réseaux IP sur OPMANAGER</t>
  </si>
  <si>
    <t>Mise en place de la supervision du réseaux IP sur Prometheus &amp; Grafana</t>
  </si>
  <si>
    <t>Extension parc kapptivate et mise en place de la supervision des services non supervisés et des nouveaux services</t>
  </si>
  <si>
    <t>S2</t>
  </si>
  <si>
    <t>:</t>
  </si>
  <si>
    <t>2601Q38109</t>
  </si>
  <si>
    <t>Orange Money add-on Local / EDG Prepaid</t>
  </si>
  <si>
    <t>Impossible d'effectuer des paiements de facture EDG via Orange Money</t>
  </si>
  <si>
    <t>NON</t>
  </si>
  <si>
    <t>2601Q39915</t>
  </si>
  <si>
    <t>Orange Money add-on / Bank to Wallet / FBNBank</t>
  </si>
  <si>
    <t>Impossible d’effectuer des transactions bancaires FBNBank via Orange Money</t>
  </si>
  <si>
    <t>IT FBNBANK</t>
  </si>
  <si>
    <t>Pas de RI</t>
  </si>
  <si>
    <t>2601Q41376</t>
  </si>
  <si>
    <t>Orange Money add-on Locaux / Douane REDEVANCE / Contravention_GN</t>
  </si>
  <si>
    <t>Indisponibilité du service Douane REDEVANCE et Contravention GN</t>
  </si>
  <si>
    <t>IT NGSER</t>
  </si>
  <si>
    <t>2601Q52339</t>
  </si>
  <si>
    <t>Orange Money add-on Local / CRG</t>
  </si>
  <si>
    <t>Impossible pour le client de faire des épargnes via Orange money</t>
  </si>
  <si>
    <t>IT CRG</t>
  </si>
  <si>
    <t>2601Q55215 &amp; 2601Q57185</t>
  </si>
  <si>
    <t>Orange Money add-on Locaux | Nimba Plus</t>
  </si>
  <si>
    <t>Instabilité sur plusieurs services Orange Money Addons-Locaux et Nimba Plus</t>
  </si>
  <si>
    <t>Problème de certificat observés sur plusieurs micro-services</t>
  </si>
  <si>
    <t>Une solution de contournement pour faire passer toutes les rêquetes https en http sur les intances de kira</t>
  </si>
  <si>
    <t>2601Q78476</t>
  </si>
  <si>
    <t>Orange Money add-on Local / Identification Compte</t>
  </si>
  <si>
    <t>Impossible pour les clients  d'identifier leur compte Orange Money via le *144#</t>
  </si>
  <si>
    <t>2601Q81413</t>
  </si>
  <si>
    <t>Problème de certificat sur les instances de kira </t>
  </si>
  <si>
    <t>2601Q81730</t>
  </si>
  <si>
    <t>Orange Money add-on Locaux / Guinée GAMES TICKET / Lafarge Client / Lanala Assurance / Ouverture de compte OM / PayCard / School Fees USSD / YellowBet
Orange Money Core / Achat Forfait Choco pour soi OM / Achat Forfait Choco pour tiers OM / Achat de credit pour tiers OM &amp; Consul 10 dern trans OM</t>
  </si>
  <si>
    <t>Indisponibilité de plusieurs services Orange Money add-on-Locaux et Orange Money Core</t>
  </si>
  <si>
    <t>2601Q87978 &amp; 2601R21759</t>
  </si>
  <si>
    <t>Orange Money add-on Locaux / Minigrid_Souscription / Minigrid_Paiement / UGAR-ACTIVA / School Fees USSD / MSC_GUI / Mouna / UBIPHARM Client / UBIPHARM Marchand / Paycard | Nimba Plus_API_SETTINGS / Nimba Plus_API_TELCO / Nimba Plus_API_Transaction OM &amp; Big Data Check MSISDN Frequent hbase</t>
  </si>
  <si>
    <t>Instabilité de plusieurs services Orange Money Add-ons Locaux, Nimba Plus &amp; Outils SI</t>
  </si>
  <si>
    <t>Souci sur Kira</t>
  </si>
  <si>
    <t>2511Z13777</t>
  </si>
  <si>
    <t>Orange Money add-on Locaux / UBIPHARM Client &amp; Marchand</t>
  </si>
  <si>
    <t>Impossible pour les clients et marchands de UBIPHARM de payer leur facture via Orange Money</t>
  </si>
  <si>
    <t>2601Q97232</t>
  </si>
  <si>
    <t>Impossible d’effectuer des transactions bancaires FBNBank via Orange Money</t>
  </si>
  <si>
    <t>2601R16562</t>
  </si>
  <si>
    <t>Orange Money add-on Local / Contravention_GN</t>
  </si>
  <si>
    <t>Indisponibilité du service Contravention GN</t>
  </si>
  <si>
    <t>2601R24677</t>
  </si>
  <si>
    <t>Indisponibilité du service Contravention_GN</t>
  </si>
  <si>
    <t>2601R34244</t>
  </si>
  <si>
    <t>Orange Money add-on / Bank to Wallet / VistaGUI</t>
  </si>
  <si>
    <t>Impossible d’effectuer des transactions bancaires VistaGUI via Orange Money</t>
  </si>
  <si>
    <t>IT VISTAGUI</t>
  </si>
  <si>
    <t>2601R41616</t>
  </si>
  <si>
    <t>Indisponibilité du service Douane REDEVANCE  ,  Indisponibilité du service Contravention GN</t>
  </si>
  <si>
    <t>2601R48657</t>
  </si>
  <si>
    <t>Impossible pour les clients de faire des épargnes via Orange money</t>
  </si>
  <si>
    <t>Saturation de la mémoire du POD</t>
  </si>
  <si>
    <t>Redémarrage du pod CRG</t>
  </si>
  <si>
    <t>2601R74248</t>
  </si>
  <si>
    <t>Orange Money add-on Locaux / VDC / Partenaires OM / Orange Energie &amp; CMA-CGM</t>
  </si>
  <si>
    <t>Indisponibilité de plusieurs services Orange Money Addons Locaux</t>
  </si>
  <si>
    <t>Déconnexion des applications </t>
  </si>
  <si>
    <t>2601R62520</t>
  </si>
  <si>
    <t>Orange Money | VOIX | DATA | USSD | SMS</t>
  </si>
  <si>
    <t>Indisponibilité de tous les services </t>
  </si>
  <si>
    <t>Coupure de la fibre entre Sonfonia-Daresalam et Sonfonia-Kipe</t>
  </si>
  <si>
    <t>GNOCa</t>
  </si>
  <si>
    <t>OUI</t>
  </si>
  <si>
    <t>2601R70717</t>
  </si>
  <si>
    <t>Orange Money add-on Locaux / Droits Routiers / Douane REDEVANCE &amp; Contravention GN</t>
  </si>
  <si>
    <t>Indisponibilité de plusieurs services Orange Money add-on Locaux</t>
  </si>
  <si>
    <t>Indisponibilité de l’API de paiement</t>
  </si>
  <si>
    <t>Rétablissement de l'API de paiement</t>
  </si>
  <si>
    <t>2601R75044</t>
  </si>
  <si>
    <t>Indisponibilité du service SVA USSD / Report Avantage via le short code *118# </t>
  </si>
  <si>
    <t>Problème de connectivité avec la base de données</t>
  </si>
  <si>
    <t>Redémarrage du Tomcat</t>
  </si>
  <si>
    <t>2601R73159</t>
  </si>
  <si>
    <t>Nimba Plus_API_INVENTORY MANAGEMENT</t>
  </si>
  <si>
    <t>Indisponibilité du service Inventory-management</t>
  </si>
  <si>
    <t>Déconnexion du service dû à un timeout observé sur la base de données</t>
  </si>
  <si>
    <t>2601R88660</t>
  </si>
  <si>
    <t>Max-it</t>
  </si>
  <si>
    <t>Indisponibilité de plusieurs services Max-it</t>
  </si>
  <si>
    <t>Redémarrage des pods du core</t>
  </si>
  <si>
    <t>Impossible pour les clients et marchands de UBIPHARM de payer leur facture via Orange Money</t>
  </si>
  <si>
    <t>2601S09531</t>
  </si>
  <si>
    <t>Orange Money add-on Local / SEG</t>
  </si>
  <si>
    <t>Impossible pour les clients de payer leur facture SEG via Orange Money</t>
  </si>
  <si>
    <t>Saturation de la queue dû au timeout d'un third party</t>
  </si>
  <si>
    <t>Purge de la queue</t>
  </si>
  <si>
    <t>2601S09661</t>
  </si>
  <si>
    <t>Orange Money add-on Local / LightBox Africa</t>
  </si>
  <si>
    <t>Impossible pour les clients de payer leurs abonnements LightBox Africa via Orange Money</t>
  </si>
  <si>
    <t>2601S10798</t>
  </si>
  <si>
    <t>2601S24078</t>
  </si>
  <si>
    <t>Nimba Plus_API_SETTINGS</t>
  </si>
  <si>
    <t>Indisponibilité du service  Nimba Plus_API_SETTINGS</t>
  </si>
  <si>
    <t>Mémoire cache full</t>
  </si>
  <si>
    <t>Redémarrage du pods</t>
  </si>
  <si>
    <t>2601S35984</t>
  </si>
  <si>
    <t>Orange Money add-on / PICO - Credit Tik Tak</t>
  </si>
  <si>
    <t>Impossible pour les clients de prendre du crédit ou rembourser leur emprunt sur PICO</t>
  </si>
  <si>
    <t>SSPO/OBA</t>
  </si>
  <si>
    <t>2601S49643</t>
  </si>
  <si>
    <t>Orange Money add-on Local / UGAR-ACTIVA</t>
  </si>
  <si>
    <t>Impossible pour les clients de payer leur quittance UGAR-ACTIVA via Orange Money</t>
  </si>
  <si>
    <t>Redémarrage du pod pour vider le cache</t>
  </si>
  <si>
    <t>2601S84813</t>
  </si>
  <si>
    <t>Coupure de la fibre optique inter-routeur entre CKY20143_YIMBAYA2 vers CKY20013_MATOTO</t>
  </si>
  <si>
    <t>Soudure de la fibre</t>
  </si>
  <si>
    <t>IPT</t>
  </si>
  <si>
    <t>2601S87237</t>
  </si>
  <si>
    <t>Orange Money add-on / PICO</t>
  </si>
  <si>
    <t>2601S91009</t>
  </si>
  <si>
    <t>2601T00877</t>
  </si>
  <si>
    <t>2601T25490</t>
  </si>
  <si>
    <t>Nimba Plus_API_INVENTORY MANAGEMENT / Nimba Plus_API_SETTINGS / Nimba Plus_API_TELCO / Nimba Plus_API_Transaction OM &amp; SVA USSD / Vente Sims 777 / Vérification Nombre Abonnement Telco</t>
  </si>
  <si>
    <t>Indisponibilités de plusieurs services Nimba Plus &amp; SVA USSD</t>
  </si>
  <si>
    <t>Base de données de simma DOWN  </t>
  </si>
  <si>
    <t>Redémarrage de la base de données de Simma</t>
  </si>
  <si>
    <t>2601T55665</t>
  </si>
  <si>
    <t>Orange Money add-on / PICO &amp; Orange Money  add-on Local / UBIPHARM Client</t>
  </si>
  <si>
    <t>Impossible pour les clients de prendre du crédit ou rembourser leurs emprunts sur PICO &amp; des clients UBIPHARM de payer leurs factures via Orange Money</t>
  </si>
  <si>
    <t>Surcharge du CPU au niveau du serveur WEB02</t>
  </si>
  <si>
    <t>Redémarrage du process USSDOPS responsable de la surcharge</t>
  </si>
  <si>
    <t>GNOC/6D</t>
  </si>
  <si>
    <t>2601T57807</t>
  </si>
  <si>
    <t>Orange Money add-on / Bank to Wallet / SKYBank</t>
  </si>
  <si>
    <t>Impossible d’effectuer des transactions bancaires SkyBank via Orange Money</t>
  </si>
  <si>
    <t>IT SkyBank</t>
  </si>
  <si>
    <t>2601T65976</t>
  </si>
  <si>
    <t>Orange Money add-on Locaux / Lafarge Marchand / Partenaires OM &amp; SVA USSD / Tr DATA</t>
  </si>
  <si>
    <t>Indisponibilité de plusieurs services Orange Money add-on Locaux &amp; SVA USSD</t>
  </si>
  <si>
    <t>2601T85614</t>
  </si>
  <si>
    <t>2601T89148</t>
  </si>
  <si>
    <t>USSD B2B FBNBank</t>
  </si>
  <si>
    <t>Indisponibilité du service B2B FbnBank</t>
  </si>
  <si>
    <t>2601U10989</t>
  </si>
  <si>
    <t>2601U13004</t>
  </si>
  <si>
    <t>USSD B2B AccessBank</t>
  </si>
  <si>
    <t>Indisponibilité du service USSD B2B AccessBank via le *0901#</t>
  </si>
  <si>
    <t>2601U15925</t>
  </si>
  <si>
    <t>Orange Money add-on / Bank to Wallet / AccessBank</t>
  </si>
  <si>
    <t>Impossible d’effectuer des transactions bancaire Access Bank via Orange Money </t>
  </si>
  <si>
    <t>IT AccessBank</t>
  </si>
  <si>
    <t>2601U25822</t>
  </si>
  <si>
    <t>IT EDG</t>
  </si>
  <si>
    <t>2601U26571</t>
  </si>
  <si>
    <t>Orange Money add-on / Bank to Wallet / CorisBank</t>
  </si>
  <si>
    <t>Impossible d’effectuer des transactions bancaires Coris Bank via Orange Money</t>
  </si>
  <si>
    <t>IT CorisBank</t>
  </si>
  <si>
    <t>2601U37381</t>
  </si>
  <si>
    <t>Indisponibilité de plusieurs services Max-it</t>
  </si>
  <si>
    <t>2601U39623</t>
  </si>
  <si>
    <t>2601U41496</t>
  </si>
  <si>
    <t>Orange Money add-on / Bank to Wallet / AccessBank &amp; USSD B2B AccessBank</t>
  </si>
  <si>
    <t>Impossible d’effectuer des transactions bancaire Access Bank via Orange Money et d’accéder au USSD B2B AccessBank via le *0901#</t>
  </si>
  <si>
    <t>2601U44769</t>
  </si>
  <si>
    <t>Orange Money add-on / Bank to Wallet / BSIC</t>
  </si>
  <si>
    <t>Impossible d’effectuer des transactions bancaires BSIC via Orange Money</t>
  </si>
  <si>
    <t>IT BSIC</t>
  </si>
  <si>
    <t>2601U45560</t>
  </si>
  <si>
    <t>Orange Money add-on / Bank to Wallet / NSIA</t>
  </si>
  <si>
    <t>Impossible d’effectuer des transactions bancaires NSIA via Orange Money</t>
  </si>
  <si>
    <t>Redémarrage des services sur la plateforme B2W</t>
  </si>
  <si>
    <t>IT NSIA</t>
  </si>
  <si>
    <t>2601U56929</t>
  </si>
  <si>
    <t>Impossible de payer sa contravention via Orange Money</t>
  </si>
  <si>
    <t>Impossible pour les marchands de UBIPHARM de payer leur facture via Orange Money</t>
  </si>
  <si>
    <t>2601U58252</t>
  </si>
  <si>
    <t>Orange Money add-on Group / Global Reporting</t>
  </si>
  <si>
    <t>Indisponibilité du service Global Reporting</t>
  </si>
  <si>
    <t>2601U60238</t>
  </si>
  <si>
    <t>Indisponibilité de plusieurs services Orange Money add-on Locaux &amp; SVA USSD</t>
  </si>
  <si>
    <t xml:space="preserve">Indisponibilité du Tomcat </t>
  </si>
  <si>
    <t>2601U73249</t>
  </si>
  <si>
    <t>Orange Money add-on / Bank to Wallet / VistaGui</t>
  </si>
  <si>
    <t>IT VistaGui</t>
  </si>
  <si>
    <t>2601U81986</t>
  </si>
  <si>
    <t>Vente Sims 777</t>
  </si>
  <si>
    <t>Indisponibilité du service Vente Sims 777</t>
  </si>
  <si>
    <t>2601U83697</t>
  </si>
  <si>
    <t>Nimba Plus &amp; SVA USSD / Vente Sims 777 / Vérification Nombre Abonnement Telco</t>
  </si>
  <si>
    <t>2601U92131</t>
  </si>
  <si>
    <t>2601V05404</t>
  </si>
  <si>
    <t>Orange Money add-on Local / Mouna</t>
  </si>
  <si>
    <t>Impossible pour les clients de payer leur facture Mouna via Orange Money</t>
  </si>
  <si>
    <t>Redémarrage du pod</t>
  </si>
  <si>
    <t>2601V11563</t>
  </si>
  <si>
    <t>2601V32714</t>
  </si>
  <si>
    <t>Forfait Swag</t>
  </si>
  <si>
    <t>Impossible d'acheter un forfait Swag</t>
  </si>
  <si>
    <t>Expiration du mot de passe de la base de données</t>
  </si>
  <si>
    <t>Réinitialisation du mot de passe de la base de données</t>
  </si>
  <si>
    <t>2601V43021</t>
  </si>
  <si>
    <t>2601V45788</t>
  </si>
  <si>
    <t>Maxit-orange illimite reconduire mon abonnement</t>
  </si>
  <si>
    <t>Impossible au client de reconduire son abonnement orange illimite</t>
  </si>
  <si>
    <t>2601V47867</t>
  </si>
  <si>
    <t>Orange Money add-on / Bank to Wallet / BIG</t>
  </si>
  <si>
    <t>Impossible d’effectuer des transactions bancaires BIG via Orange Money</t>
  </si>
  <si>
    <t xml:space="preserve">Coupure de fibre à Kaloum </t>
  </si>
  <si>
    <t>IT BIG</t>
  </si>
  <si>
    <t>2601V73678</t>
  </si>
  <si>
    <t>2601V87382</t>
  </si>
  <si>
    <t xml:space="preserve">Instabilité du service SVA USSD / Report Avantage via le short code *118# </t>
  </si>
  <si>
    <t>2601V78357</t>
  </si>
  <si>
    <t>2601V85677</t>
  </si>
  <si>
    <t>2601V89982</t>
  </si>
  <si>
    <t>Impossible d’effectuer des transactions bancaires SkyeBank via Orange Money</t>
  </si>
  <si>
    <t>2601V93249</t>
  </si>
  <si>
    <t>Orange Money add-on Locaux / Minigrid_Paiement / Minigrid_Souscription / Douane REDEVANCE / Mouna / EDG Prepaid</t>
  </si>
  <si>
    <t>Indisponibilités de plusieurs service Orange Money addons-Locaux</t>
  </si>
  <si>
    <t>Formation de la queue au niveau du web server2 Camayenne</t>
  </si>
  <si>
    <t>Purge de la queue formée</t>
  </si>
  <si>
    <t>2601V92763</t>
  </si>
  <si>
    <t>Orange Money add-on Local / Douane REDEVANCE</t>
  </si>
  <si>
    <t>Indisponibilité du service Douane REDEVANCE</t>
  </si>
  <si>
    <t>2601V98836</t>
  </si>
  <si>
    <t>2601W05073</t>
  </si>
  <si>
    <t>2601W11310</t>
  </si>
  <si>
    <t>2601W17185</t>
  </si>
  <si>
    <t>Problème de connexion en interne côté partenaire</t>
  </si>
  <si>
    <t>Redémarrage équipement réseau</t>
  </si>
  <si>
    <t>2601W28201</t>
  </si>
  <si>
    <t>API OTAP &amp; Report Avantage</t>
  </si>
  <si>
    <t>Indisponibilité des services report avantage (*118*1#) et du Lien OTAP</t>
  </si>
  <si>
    <t>2601W47297</t>
  </si>
  <si>
    <t>2601W47617</t>
  </si>
  <si>
    <t>2601W58566</t>
  </si>
  <si>
    <t>Instabilité du services report avantage (*118*1#) et du Lien OTAP</t>
  </si>
  <si>
    <t>2601W79067</t>
  </si>
  <si>
    <t>Redémarrage du pood où est déployé le service </t>
  </si>
  <si>
    <t>2601W81096</t>
  </si>
  <si>
    <t>Tomcat Down</t>
  </si>
  <si>
    <t>2601W87022</t>
  </si>
  <si>
    <t>DSI &amp; IT EDG</t>
  </si>
  <si>
    <t>2601W92280</t>
  </si>
  <si>
    <t>2601W92118</t>
  </si>
  <si>
    <t>2601W94757</t>
  </si>
  <si>
    <t>Insuffisance du solde sur le compte technique</t>
  </si>
  <si>
    <t>Rechargement du compte technique</t>
  </si>
  <si>
    <t>2601X10550</t>
  </si>
  <si>
    <t>2601X23175</t>
  </si>
  <si>
    <t>2601X29681</t>
  </si>
  <si>
    <t>2601X35525</t>
  </si>
  <si>
    <t>Coupure du site remote MATOTO13</t>
  </si>
  <si>
    <t>2601X49227</t>
  </si>
  <si>
    <t>2601X60709</t>
  </si>
  <si>
    <t>Orange Money add-on / Bank to Wallet / OraBank</t>
  </si>
  <si>
    <t>Impossible d’effectuer des transactions bancaires OraBank via Orange Money</t>
  </si>
  <si>
    <t>IT OraBank</t>
  </si>
  <si>
    <t>2601X66851</t>
  </si>
  <si>
    <t>2601X73532</t>
  </si>
  <si>
    <t>Indisponibilité du service Douane REDEVANCE &amp; Contravention_GN</t>
  </si>
  <si>
    <t>2601X78967</t>
  </si>
  <si>
    <t>2601X97177</t>
  </si>
  <si>
    <t>2601X98548</t>
  </si>
  <si>
    <t>2601Y05487</t>
  </si>
  <si>
    <t>2601Y08122</t>
  </si>
  <si>
    <t>Arrêt d’un équipement Télécom impactant le service</t>
  </si>
  <si>
    <t>Remplacement de l'équipement</t>
  </si>
  <si>
    <t>2601Y26605</t>
  </si>
  <si>
    <t>Forte augmentation des opérations de fin de mois</t>
  </si>
  <si>
    <t>2601Y29832</t>
  </si>
  <si>
    <t>Orange Money add-on / Bank to Wallet / VistaBank</t>
  </si>
  <si>
    <t>Impossible d’effectuer des transactions bancaires Vista Bank via Orange Money</t>
  </si>
  <si>
    <t>IT VistaBank</t>
  </si>
  <si>
    <t>2601Y52904</t>
  </si>
  <si>
    <t>Mémoire cache full  </t>
  </si>
  <si>
    <t>2601Y61341</t>
  </si>
  <si>
    <t>2601Y61792</t>
  </si>
  <si>
    <t>Indisponibilité des services Douane Redevance et Contravention GN</t>
  </si>
  <si>
    <t>2601Y65566</t>
  </si>
  <si>
    <t>Dysfonctionnement du Core Banking systemeT24</t>
  </si>
  <si>
    <t>Rétablissement du Core Banking systemeT24</t>
  </si>
  <si>
    <t>2601Y83799</t>
  </si>
  <si>
    <t>2601Y89635</t>
  </si>
  <si>
    <t>Impossible d’effectuer des transactions bancaire Access Bank via Orange Money</t>
  </si>
  <si>
    <t>2601Y93071</t>
  </si>
  <si>
    <t>2601Z04579</t>
  </si>
  <si>
    <t>Orange Money add-on / APIB2B CASH IN &amp; APIB2B CASH OUT</t>
  </si>
  <si>
    <t>Impossible pour les B2B d’effectuer des opérations de dépôts et de retrait avec leurs clients via L’API B2B d’Orange Money (*146 #)</t>
  </si>
  <si>
    <t>Migration de OCP3 vers OCP4</t>
  </si>
  <si>
    <t>2601Z06971</t>
  </si>
  <si>
    <t>Tomcat down</t>
  </si>
  <si>
    <t>Redémarrage du Tomcat</t>
  </si>
  <si>
    <t>2601Z16789</t>
  </si>
  <si>
    <t>2601Z18795</t>
  </si>
  <si>
    <t>USSD B2B CRG / B2B Ecobank Xpress / Portail Magic | SVA SMS / CMS | SVA Data / API OTAP</t>
  </si>
  <si>
    <t>Indisponibilité de plusieurs services : SVA USSD, SVA SMS et SVA DATA</t>
  </si>
  <si>
    <t>Brève indisponibilité des liens Internet côté GOS</t>
  </si>
  <si>
    <t>Stabilisation des liens Internet</t>
  </si>
  <si>
    <t>2601Z23240</t>
  </si>
  <si>
    <t>Interuption de la connexion entre l'application en local et celui du core banking sur le cloud</t>
  </si>
  <si>
    <t>2601Z26162</t>
  </si>
  <si>
    <t>2601Z27087</t>
  </si>
  <si>
    <t>Orange Money add-on / PICO | Orange Money add-on Locaux / UBIPHARM Client / Douane REDEVANCE / Droit routier | Orange Money Core / Self Reinitialisation</t>
  </si>
  <si>
    <t>Impossible pour les clients de prendre du crédit ou rembourser leur emprunt sur PICO &amp; Indisponibilité de plusieurs services Orange Money add-on-Locaux et Orange Money Core</t>
  </si>
  <si>
    <t>GNOC &amp; DSI</t>
  </si>
  <si>
    <t>2601Z27451</t>
  </si>
  <si>
    <t>USSD B2B Lonagui</t>
  </si>
  <si>
    <t>Impossible pour les clients d'effectuer des paris loto Lonagui via (*2424#)</t>
  </si>
  <si>
    <t xml:space="preserve">2601Z40524 </t>
  </si>
  <si>
    <t>2601Z51614</t>
  </si>
  <si>
    <t>Orange Celebrite</t>
  </si>
  <si>
    <t>Indisponibilité du service Orange Celebrite via le *440#</t>
  </si>
  <si>
    <t>Redémarrage du service</t>
  </si>
  <si>
    <t>IT Kirusa</t>
  </si>
  <si>
    <t>2601Z63051</t>
  </si>
  <si>
    <t>2601Z69699</t>
  </si>
  <si>
    <t>2601Z76516</t>
  </si>
  <si>
    <t>Indisponibilité de plusieurs services Orange Money add-on Locaux &amp; SVA USSD</t>
  </si>
  <si>
    <t>2601Z78792</t>
  </si>
  <si>
    <t>Orange Money add-on Locaux / LightBox Africa / School Fees USSD / UBIPHARM Client / UBIPHARM Marchand / UGAR-ACTIVA / Ya!GAZ Marchand</t>
  </si>
  <si>
    <t>2601Z80930</t>
  </si>
  <si>
    <t xml:space="preserve">Insuffisance du solde sur le compte technique </t>
  </si>
  <si>
    <t>Rechargement du compte technique</t>
  </si>
  <si>
    <t>2601Z83030</t>
  </si>
  <si>
    <t>Indisponibilité du service Douane Redevance</t>
  </si>
  <si>
    <t>2601Z95450</t>
  </si>
  <si>
    <t>Impossible d’effectuer des transactions bancaires CorisBank via Orange Money</t>
  </si>
  <si>
    <t>2601Z96640</t>
  </si>
  <si>
    <t>Problème de la liaison vpn</t>
  </si>
  <si>
    <t>Forçage de la mise en place du VPN de phase 2 par l'équipe réseau de SSPO</t>
  </si>
  <si>
    <t>2601A03530</t>
  </si>
  <si>
    <t>Orange money add-on / Bank to Wallet / UBA</t>
  </si>
  <si>
    <t>Impossible d’effectuer les transactions bancaires UBA via Orange Money</t>
  </si>
  <si>
    <t>IT UBA</t>
  </si>
  <si>
    <t>2601A05411</t>
  </si>
  <si>
    <t>Base de données down  </t>
  </si>
  <si>
    <t>2601A12810</t>
  </si>
  <si>
    <t>Impossible d’effectuer des transactions bancaires NSIA via Orange Money</t>
  </si>
  <si>
    <t>Orange Money add-ons Locaux / UBIPHARM Client &amp; Marchand</t>
  </si>
  <si>
    <t>2602A22385</t>
  </si>
  <si>
    <t>2602A24064</t>
  </si>
  <si>
    <t>2602A28649</t>
  </si>
  <si>
    <t>Orange Money add-ons Locaux / Lafarge Marchand / Partenaires OM &amp; SVA USSD / Tr DATA</t>
  </si>
  <si>
    <t>2602A33458</t>
  </si>
  <si>
    <t>2602A40212</t>
  </si>
  <si>
    <t>2602A40650</t>
  </si>
  <si>
    <t xml:space="preserve">2601A01077 </t>
  </si>
  <si>
    <t>Orange Money add-on / Bank to Wallet / SkyeBank</t>
  </si>
  <si>
    <t>2602A42785</t>
  </si>
  <si>
    <t>2602A56874</t>
  </si>
  <si>
    <t>2602A68446</t>
  </si>
  <si>
    <t>2602A84386</t>
  </si>
  <si>
    <t>2602A88613</t>
  </si>
  <si>
    <t>2602A98845</t>
  </si>
  <si>
    <t>Orange Money add-on Local / Orange Energie</t>
  </si>
  <si>
    <t>2602A97723</t>
  </si>
  <si>
    <t>2602B05010</t>
  </si>
  <si>
    <t>Orange Money add-on / Pico - Check KYC</t>
  </si>
  <si>
    <t>2602B15639</t>
  </si>
  <si>
    <t>Zebra / Recharge C2C &amp; Recharge C2S</t>
  </si>
  <si>
    <t>2602B21937</t>
  </si>
  <si>
    <t>ZEBRA-RMS</t>
  </si>
  <si>
    <t>2602B48509</t>
  </si>
  <si>
    <t>2602B56765</t>
  </si>
  <si>
    <t>2602B59294</t>
  </si>
  <si>
    <t>2602B81803</t>
  </si>
  <si>
    <t>Orange Money add-on Local / YellowBet</t>
  </si>
  <si>
    <t>2602B74894</t>
  </si>
  <si>
    <t>2602B88460</t>
  </si>
  <si>
    <t>Orange Money add-ons Locaux / Guinée GAMES TICKET / Ouverture de compte OM / PayCard</t>
  </si>
  <si>
    <t>2602C01734</t>
  </si>
  <si>
    <t>2602C02621</t>
  </si>
  <si>
    <t>2602C06392</t>
  </si>
  <si>
    <t>2602C13325</t>
  </si>
  <si>
    <t>2602C19736</t>
  </si>
  <si>
    <t>Orange Money add-on Pico</t>
  </si>
  <si>
    <t>2602C14992</t>
  </si>
  <si>
    <t>2602C25635</t>
  </si>
  <si>
    <t>2602C37261</t>
  </si>
  <si>
    <t>Nimba plus &amp; SVA USSD / Vente Sims 777 / Vérification Nombre Abonnement Telco</t>
  </si>
  <si>
    <t>2602C73122</t>
  </si>
  <si>
    <t>CRM (KIBARU)</t>
  </si>
  <si>
    <t>2602C89543</t>
  </si>
  <si>
    <t>2602C96557</t>
  </si>
  <si>
    <t>2602D01725</t>
  </si>
  <si>
    <t>2602D27074</t>
  </si>
  <si>
    <t>Orange Money add-ons Locaux / Douane REDEVANCE &amp; Contravention_GN</t>
  </si>
  <si>
    <t>2602D15620</t>
  </si>
  <si>
    <t>2602D45029</t>
  </si>
  <si>
    <t>Orange Money add-on / Bank to Wallet / Access Bank &amp; SVA USSD / B2B AccessBank</t>
  </si>
  <si>
    <t>2602D51768</t>
  </si>
  <si>
    <t>2602D56709</t>
  </si>
  <si>
    <t>2602D60280</t>
  </si>
  <si>
    <t>2602D60661</t>
  </si>
  <si>
    <t>2602D65826</t>
  </si>
  <si>
    <t>Orange Money add-ons Locaux / CRG/ EDG Prepaid / Maersk / Orange Energie / StarTimes / UBIPHARM Marchand / UGAR-ACTIVA</t>
  </si>
  <si>
    <t>2602D67031 &amp; 2602D66556</t>
  </si>
  <si>
    <t>2602D68627</t>
  </si>
  <si>
    <t>USSD B2B CRG</t>
  </si>
  <si>
    <t>2602D75756</t>
  </si>
  <si>
    <t>2602D86494</t>
  </si>
  <si>
    <t>2602D95010</t>
  </si>
  <si>
    <t>2602E02024</t>
  </si>
  <si>
    <t>Orange Money Core / P2P avec frais</t>
  </si>
  <si>
    <t>2602E08833</t>
  </si>
  <si>
    <t>Orange Money add-on / Bank to Wallet / Orabank</t>
  </si>
  <si>
    <t>2602E27343</t>
  </si>
  <si>
    <t>2602E28380</t>
  </si>
  <si>
    <t>2602E33397</t>
  </si>
  <si>
    <t>2602E45452</t>
  </si>
  <si>
    <t>2602E72169</t>
  </si>
  <si>
    <t>2602E85222</t>
  </si>
  <si>
    <t>Orange Money Core / Paiement marchand</t>
  </si>
  <si>
    <t>2602E84818</t>
  </si>
  <si>
    <t xml:space="preserve">2602F09128 </t>
  </si>
  <si>
    <t>2602E99682</t>
  </si>
  <si>
    <t>2602F06125</t>
  </si>
  <si>
    <t>2602F24520</t>
  </si>
  <si>
    <t>2602F27025</t>
  </si>
  <si>
    <t>2602F34022</t>
  </si>
  <si>
    <t>2602F50297</t>
  </si>
  <si>
    <t>2602F43094</t>
  </si>
  <si>
    <t>2602F63373</t>
  </si>
  <si>
    <t>Orange Money add-ons Locaux / LightBox Africa / MSC_GUI / Maersk / Mouna / Orange Energie / PayCard / UBIPHARM Client / UBIPHARM Marchand / VDC / Ya!GAZ Marchand &amp; Pico - Check KYC</t>
  </si>
  <si>
    <t>2602F84369</t>
  </si>
  <si>
    <t>2602F84746</t>
  </si>
  <si>
    <t>2602F98011</t>
  </si>
  <si>
    <t>2602G10262</t>
  </si>
  <si>
    <t>SVA USSD / M-Agri &amp; M-Agri Healthcheck</t>
  </si>
  <si>
    <t>2602G19048</t>
  </si>
  <si>
    <t>2602G77929</t>
  </si>
  <si>
    <t>Orange Money add-on Local / BNB Transfert</t>
  </si>
  <si>
    <t>2602G83276</t>
  </si>
  <si>
    <t>2602G89306</t>
  </si>
  <si>
    <t>Orange Money add-ons Locaux / Ya!GAZ Marchand / VDC / UGAR-ACTIVA / UBIPHARM Marchand &amp; Client / Orange Energie / Maersk / LightBox Africa / Lafarge Marchand &amp; Client</t>
  </si>
  <si>
    <t>2602H11337</t>
  </si>
  <si>
    <t>Orange Money add-on / Bank to Wallet / Ecobank &amp; SVA USSD / B2B Ecobank Xpress</t>
  </si>
  <si>
    <t>2602H27145</t>
  </si>
  <si>
    <t>2602H37436</t>
  </si>
  <si>
    <t>2602H43510</t>
  </si>
  <si>
    <t>2602H54105</t>
  </si>
  <si>
    <t>2602H53943</t>
  </si>
  <si>
    <t>2602H62293</t>
  </si>
  <si>
    <t>2602H73143</t>
  </si>
  <si>
    <t>2602H79118</t>
  </si>
  <si>
    <t>2602H84944</t>
  </si>
  <si>
    <t>2602H95682</t>
  </si>
  <si>
    <t>2602H99971</t>
  </si>
  <si>
    <t>Orange Celebrite </t>
  </si>
  <si>
    <t>2602I05192</t>
  </si>
  <si>
    <t>2602I08177</t>
  </si>
  <si>
    <t>2602I12258</t>
  </si>
  <si>
    <t>2602I51479</t>
  </si>
  <si>
    <t>2602I52542</t>
  </si>
  <si>
    <t>Orange Money add-ons Locaux / EDG Prepaid / MSC_GUI / Lafarge Marchand / Minigrid_Paiement / Minigrid_Souscription / PayCard / School Fees USSD / UBIPHARM Marchand &amp; Client / UGAR-ACTIVA / Ya!GAZ Marchand</t>
  </si>
  <si>
    <t>2602I61383</t>
  </si>
  <si>
    <t>2602I64329</t>
  </si>
  <si>
    <t>Orange Money add-on / Pico  &amp; Orange Money Bank to Wallet / AccessBank / BIG / BSIC / CORIS Bank / Cofina / EcoBank / FBNBank / NSIA / OraBank / SKYBank / UBA / VistaBank / VistaGUI</t>
  </si>
  <si>
    <t>2602I66859</t>
  </si>
  <si>
    <t>2602I68405</t>
  </si>
  <si>
    <t>2602I84723</t>
  </si>
  <si>
    <t>2602I92298</t>
  </si>
  <si>
    <t>Orange Money add-on Locaux / UBIPHARM Client / UBIPHARM Marchand &amp; UGAR-ACTIVA</t>
  </si>
  <si>
    <t>2602I92636</t>
  </si>
  <si>
    <t>2602J05342</t>
  </si>
  <si>
    <t>Orange Money add-on / Bank to Wallet / SFCI</t>
  </si>
  <si>
    <t>2602J06081</t>
  </si>
  <si>
    <t>Orange Money add-on Local / SUNU Assurances</t>
  </si>
  <si>
    <t>2602J14565</t>
  </si>
  <si>
    <t>2602J21653</t>
  </si>
  <si>
    <t>2602J25530</t>
  </si>
  <si>
    <t>2602J36743</t>
  </si>
  <si>
    <t>Orange Money add-on Local / Droits Routiers</t>
  </si>
  <si>
    <t>2602J44400</t>
  </si>
  <si>
    <t>Orange Money add-ons Locaux / UBIPHARM Client / UBIPHARM Marchand &amp; Guinée GAMES TICKET</t>
  </si>
  <si>
    <t>2602J46579</t>
  </si>
  <si>
    <t>USSD B2B AccessBank / USSD B2B CRG &amp; USSD B2B Ecobank Xpress</t>
  </si>
  <si>
    <t>2602J65383</t>
  </si>
  <si>
    <t>2602J86863</t>
  </si>
  <si>
    <t>2602J87192</t>
  </si>
  <si>
    <t>2602J87014</t>
  </si>
  <si>
    <t>Orange Money add-on Local / PayCard</t>
  </si>
  <si>
    <t>2602J91747</t>
  </si>
  <si>
    <t>2602J97358</t>
  </si>
  <si>
    <t>Nimba plus &amp; SVA USSD / Vente Sims 777</t>
  </si>
  <si>
    <t>Insdisponibilité du service Report Avantage via le short code *118# </t>
  </si>
  <si>
    <t>Impossible pour les clients de renouveler leur abonnement canal+ &amp; Easy TV via Orange Money</t>
  </si>
  <si>
    <t>DSI &amp; 6D</t>
  </si>
  <si>
    <t>Indisponibilité de plusieurs services Orange Money add-ons Locaux &amp; SVA USSD</t>
  </si>
  <si>
    <t>Baisse du trafic sur la sortie Internet 70 Go de Camayenne vers Abidjan </t>
  </si>
  <si>
    <t>IT SkyeBank</t>
  </si>
  <si>
    <t>Impossible pour le client de faire des épargnes via Orange money</t>
  </si>
  <si>
    <t>Impossible d’effectuer des transactions bancaires VistaGUI via Orange Money</t>
  </si>
  <si>
    <t>Impossible d'envoyer l'OTP au client </t>
  </si>
  <si>
    <t>Problème lié au channel utilisé </t>
  </si>
  <si>
    <t>Changement du channel</t>
  </si>
  <si>
    <t>Indisponibilité de l'API Pico - Check KYC</t>
  </si>
  <si>
    <t>Indisponibilité du service E-recharge</t>
  </si>
  <si>
    <t>Indisponibilité du service RMS Zebra via le *122*2*1#</t>
  </si>
  <si>
    <t>Indisponibilité de plusieurs service Orange Money via (*144#)</t>
  </si>
  <si>
    <t>Indisponibilité du service YellowBet (*144*8*2*#)</t>
  </si>
  <si>
    <t xml:space="preserve">Tomcat down </t>
  </si>
  <si>
    <t>Insuffisance du solde sur le compte technique </t>
  </si>
  <si>
    <t>DTO OFMG</t>
  </si>
  <si>
    <t>Indisponibilité de plusieurs services Orange Money add-ons-Locaux</t>
  </si>
  <si>
    <t>IT VistaGUI</t>
  </si>
  <si>
    <t>Problème de connexion Internet</t>
  </si>
  <si>
    <t>Rétablissement de la connexion Internet</t>
  </si>
  <si>
    <t>Impossible pour les clients de prendre du crédit ou rembourser leurs emprunts sur PICO</t>
  </si>
  <si>
    <t>Expiration du certificat</t>
  </si>
  <si>
    <t>Renouvellement et déploiement du nouveau certificat</t>
  </si>
  <si>
    <t>Souci de connectivité sur le VPN</t>
  </si>
  <si>
    <t>Redémarrage de la phase 2 du VPN</t>
  </si>
  <si>
    <t>Indisponibilité de l'outil  CRM (KIBARU)</t>
  </si>
  <si>
    <t>Problème sur le lien Internet ISP Orange</t>
  </si>
  <si>
    <t>Basculement vers le lien VPN secondaire</t>
  </si>
  <si>
    <t>Dysfonctionnements mineurs du réseau</t>
  </si>
  <si>
    <t>Rétablissement du service après correction des anomalies réseau</t>
  </si>
  <si>
    <t>Impossible d’effectuer des transactions bancaire Access Bank via Orange Money et d’accéder au USSD B2B AccessBank via le *0901#</t>
  </si>
  <si>
    <t>Instabilité de plusieurs services Orange Money add-onss Locaux</t>
  </si>
  <si>
    <t>Impossible d’effectuer des transactions bancaires CorisBank via Orange Money</t>
  </si>
  <si>
    <t>Indisponibilité du service USSD B2B CRG via le *1111#</t>
  </si>
  <si>
    <t>Impossible pour les clients d'effectuer des transferts P2P sans frais via OM (*144#)</t>
  </si>
  <si>
    <t>Impossible d’effectuer des transactions bancaires OraBank via Orange Money</t>
  </si>
  <si>
    <t>Impossible d’effectuer des transactions bancaire Access Bank via Orange Money et d’accéder au USSD B2B AccessBank via le *0901#</t>
  </si>
  <si>
    <t>Impossible d’accéder au USSD B2B AccessBank via le *0901#</t>
  </si>
  <si>
    <t>Indisponibilité du service Paiement Marchand via OM (*144#)</t>
  </si>
  <si>
    <t>Impossible pour les clients d'effectuer des transferts P2P avec frais via OM (*144#)</t>
  </si>
  <si>
    <t>Liaison primaire vpn down coté partenaire</t>
  </si>
  <si>
    <t>Basculement sur la liaison Backup</t>
  </si>
  <si>
    <t>Impossible d’accéder au USSD B2B AccessBank via le *0901#</t>
  </si>
  <si>
    <t>Indisponibilité des services  Orange Money</t>
  </si>
  <si>
    <t>Problème de stockage au niveau de la base de données coté Tango</t>
  </si>
  <si>
    <t>Redémarrage de tous les serveurs de base de données</t>
  </si>
  <si>
    <t>Instabilité de plusieurs services Orange Money add-onss Locaux et de Pico - Check KYC</t>
  </si>
  <si>
    <t>Indisponibilité de plusieurs services Pico</t>
  </si>
  <si>
    <t>Indisponibilité des services SVA USSD /M-Agri *113# &amp; M-Agri Healthcheck</t>
  </si>
  <si>
    <t>Perturbation de la connectivité internet</t>
  </si>
  <si>
    <t>Perturbations de la connexion côté FAI</t>
  </si>
  <si>
    <t>Indisponibilité du service BNB Transfert</t>
  </si>
  <si>
    <t>Impossible d'effectuer des paiements de facture EDG via Orange Money</t>
  </si>
  <si>
    <t>Soucis technique sur la plateforme côté Partenaire</t>
  </si>
  <si>
    <t>Instabilité de plusieurs services Orange Money add-ons Locaux</t>
  </si>
  <si>
    <t>Impossible d’effectuer des transactions bancaire Ecobank via Orange Money  Indisponibilité du menu USSD *326#</t>
  </si>
  <si>
    <t>IT ECOBANK</t>
  </si>
  <si>
    <t>Problème detecter sur le core Banking coté partenaire</t>
  </si>
  <si>
    <t>Indisponibilité des services Orange Money</t>
  </si>
  <si>
    <t>Redémarrage du serveur JBOSS côté partenaire</t>
  </si>
  <si>
    <t>IT FBNBank</t>
  </si>
  <si>
    <t>IT BNB</t>
  </si>
  <si>
    <t>Problème de réseau avec le serveur principal du partenaire</t>
  </si>
  <si>
    <t>Indisponibilité du service EDG via Orange Money</t>
  </si>
  <si>
    <t>Souci lié au Serveur du partenaire</t>
  </si>
  <si>
    <t>Indisponibilité du service BNB Transfert </t>
  </si>
  <si>
    <t>Problème de ressource CPU sur Kira</t>
  </si>
  <si>
    <t>Upgrade du CPU sur Kira</t>
  </si>
  <si>
    <t>Instabilité du service SVA USSD / Report Avantage via le short code *118# </t>
  </si>
  <si>
    <t>Indisponibilité de plusieurs services Pico &amp; des inscriptions Bank to Wallet</t>
  </si>
  <si>
    <t>Les modules complémentaires SSPO ont basculé le trafic CoreAPI vers le centre de données Charter pour OCM et OGN, afin de restaurer les services.</t>
  </si>
  <si>
    <t>Redémarrage des serveurs et des services</t>
  </si>
  <si>
    <t>Instabilité sur certains services Add-on Locaux</t>
  </si>
  <si>
    <t>Impossible d’effectuer des transactions bancaires SFCI via Orange Money</t>
  </si>
  <si>
    <t>IT SFCI</t>
  </si>
  <si>
    <t>Indisponibilité du service SUNU Assurances</t>
  </si>
  <si>
    <t>Problème de connexion chez le partenaire</t>
  </si>
  <si>
    <t>Instabilité du service Orange Money Add-on Local / Droits Routiers</t>
  </si>
  <si>
    <t>IT Droit Routier</t>
  </si>
  <si>
    <t>Instabilité de plusieurs services Orange Money add-ons Locaux</t>
  </si>
  <si>
    <t>Instabilité de plusieurs services USSD B2B</t>
  </si>
  <si>
    <t>Pertubation de la liaison télécom</t>
  </si>
  <si>
    <t>Indisponibilités de plusieurs services Nimba Plus &amp; SVA USSD</t>
  </si>
  <si>
    <t>Impossible pour les clients de payer leurs abonnements LightBox Africa via Orange Money</t>
  </si>
  <si>
    <t>Indisponibilité du service PayCard via Orange Money (*144#)</t>
  </si>
  <si>
    <t>Indisponibilité de plusieurs  services  Orange Money</t>
  </si>
  <si>
    <t>Erreur de certificat sur le lien Kira</t>
  </si>
  <si>
    <t>Problème</t>
  </si>
  <si>
    <t>PAS de RI</t>
  </si>
  <si>
    <t>IT Brastorne</t>
  </si>
  <si>
    <t>Redémarrage du lecteur réseau</t>
  </si>
  <si>
    <t>Orange Money add-on / Canal+ / Easy TV</t>
  </si>
  <si>
    <t>Orange Money add-on / Bank to Wallet / Access Bank &amp; USSD / B2B AccessBank</t>
  </si>
  <si>
    <t>Formation d'une queue sur l'USSD suite à l'indisponiblité de l'Url d'un third party</t>
  </si>
  <si>
    <t>Souci de connectivité les services Zebra RMS et USSD</t>
  </si>
  <si>
    <t>Orange Money Core / Achat de credit pour tiers OM/Solde Client/P2P sans frais/Recharge (Achat de crédit pour soi OM)</t>
  </si>
  <si>
    <t>2602K04139</t>
  </si>
  <si>
    <t>Nimba Plus_API_TELCO / Nimba Plus_E2E_01 Login &amp; Consultation Solde / Nimba Plus_E2E_02 Identification Compte / Nimba Plus_E2E_03 Depôt / Nimba Plus_E2E_04 Retrait</t>
  </si>
  <si>
    <t>2602K06569 &amp; 2603K16864</t>
  </si>
  <si>
    <t>Orange Money add-ons Locaux | Maxt-it | SVA USSD 
&amp; Orange money Core / Self Annulation PDV / Achat de Pass pour Tiers
SVA SMS / Paddock Paiement &amp; Paddock SMS</t>
  </si>
  <si>
    <t>Orange Money add-on Local / UBIPHARM Client &amp; Marchand</t>
  </si>
  <si>
    <t>2603K23306</t>
  </si>
  <si>
    <t>2603K47901</t>
  </si>
  <si>
    <t>2603K52487</t>
  </si>
  <si>
    <t>2603K49856</t>
  </si>
  <si>
    <t>2603K50412</t>
  </si>
  <si>
    <t>M-Agri</t>
  </si>
  <si>
    <t>2603K55534</t>
  </si>
  <si>
    <t>2603K64856</t>
  </si>
  <si>
    <t>USSD B2B Ecobank Xpress</t>
  </si>
  <si>
    <t>2603K67284</t>
  </si>
  <si>
    <t>2603K67249</t>
  </si>
  <si>
    <t>2603K75039</t>
  </si>
  <si>
    <t>2603K75014</t>
  </si>
  <si>
    <t>2603K73833</t>
  </si>
  <si>
    <t>2603K74254</t>
  </si>
  <si>
    <t>2603K83967</t>
  </si>
  <si>
    <t xml:space="preserve">Orange Money add-ons Locaux / BNB transfert / CFU / Contravention GN / Guinée GAMES TICKET
Orange Money Core / P2P sans frais / Self annulation / 5 dernières transactions Retailer / Consul 10 dern trans OM / Consul 5 dern Trans March / Solde Retailer (PDV)
Orange Money add-on group / IRT
</t>
  </si>
  <si>
    <t>2603K56705</t>
  </si>
  <si>
    <t>Max-IT</t>
  </si>
  <si>
    <t>2603L07849</t>
  </si>
  <si>
    <t>Orange Money add-on / Pico - Scoring tool</t>
  </si>
  <si>
    <t>2603L22040</t>
  </si>
  <si>
    <t>Orange Money add-on / Bank to Wallet / SKYEBANK</t>
  </si>
  <si>
    <t>2603L23831</t>
  </si>
  <si>
    <t>2603L31976</t>
  </si>
  <si>
    <t>2603L43870</t>
  </si>
  <si>
    <t>Orange Money add-ons Locaux / Identication Compte / Lafarge Client / Ouverture de compte OM / PayCard / School Fees USSD / YellowBet 
Orange Money Bank to wallet / BCI / BNIG / BSIC / Cofina / DIAMABANK / EcoBank / FBNBank / NSIA / OraBank / VistaGUI &amp;
Orange Money add-on Group / Canal+</t>
  </si>
  <si>
    <t>2603L60222</t>
  </si>
  <si>
    <t>OPS_Health Check</t>
  </si>
  <si>
    <t>2603L61558</t>
  </si>
  <si>
    <t>2603L99791</t>
  </si>
  <si>
    <t>2603L83786</t>
  </si>
  <si>
    <t>2603M00589</t>
  </si>
  <si>
    <t>2603L97109</t>
  </si>
  <si>
    <t>Orange Money add-on / Pico</t>
  </si>
  <si>
    <t>2603M01191</t>
  </si>
  <si>
    <t>2603M06591</t>
  </si>
  <si>
    <t>Orange Money add-ons Locaux / BNB transfert / Orange Energie / Permis de conduire / VDC</t>
  </si>
  <si>
    <t>2603M18103</t>
  </si>
  <si>
    <t>2603M30954</t>
  </si>
  <si>
    <t>Orange Money add-on Group / Global Reporting / Orange Money App Pro- Login et Depot / Orange Money App Pro- Login et Transfert / Portail Distributeurs Orange Money / Tango Pubic BO LAN - Login &amp; Costomer Care</t>
  </si>
  <si>
    <t>2603M46968</t>
  </si>
  <si>
    <t>2603M49546</t>
  </si>
  <si>
    <t xml:space="preserve">2603M55505 </t>
  </si>
  <si>
    <t>2603M81050</t>
  </si>
  <si>
    <t>2603M90058</t>
  </si>
  <si>
    <t>2603M88961</t>
  </si>
  <si>
    <t>2603N10244</t>
  </si>
  <si>
    <t>2603N35311</t>
  </si>
  <si>
    <t>Orange Money add-on / Bank to Wallet / AccessBank &amp; SVA USSD / B2B AccessBank</t>
  </si>
  <si>
    <t>2603N41827</t>
  </si>
  <si>
    <t>2603N55853</t>
  </si>
  <si>
    <t>2603N73842</t>
  </si>
  <si>
    <t>USSD B2B FBNBank</t>
  </si>
  <si>
    <t>2603N74083</t>
  </si>
  <si>
    <t>2603N77510</t>
  </si>
  <si>
    <t>2603N79735</t>
  </si>
  <si>
    <t>Orange Money Core / Vérification Statut Carte</t>
  </si>
  <si>
    <t>2603N85055</t>
  </si>
  <si>
    <t>2603N91807</t>
  </si>
  <si>
    <t>2603N94567</t>
  </si>
  <si>
    <t>2603O04032</t>
  </si>
  <si>
    <t>2603O16655</t>
  </si>
  <si>
    <t>2603O44773</t>
  </si>
  <si>
    <t>2603O55830</t>
  </si>
  <si>
    <t>2603O63048</t>
  </si>
  <si>
    <t>2603O65872</t>
  </si>
  <si>
    <t>2603O68885</t>
  </si>
  <si>
    <t>2603O71036</t>
  </si>
  <si>
    <t>2603O86085</t>
  </si>
  <si>
    <t>2603O92827</t>
  </si>
  <si>
    <t>Maxit - orange illimite reconduire mon abonnement &amp; Pico-Inscription(Max-it )</t>
  </si>
  <si>
    <t>2603O92557</t>
  </si>
  <si>
    <t>Nimba Plus_API_Authentification / Nimba Plus_API_SETTINGS / Nimba Plus_API_TELCO / Nimba Plus_API_Transaction OM / Nimba Plus_E2E_01 Login &amp; Consultation Solde / Nimba Plus_E2E_02 Identification Compte / Nimba Plus_E2E_03 Depôt / Nimba Plus_E2E_04 Retrait / Nimba Plus_Generateur Code QR_Offre Djoula / Nimba Plus_Generateur Contrat_Offre Djoula
 Big Data Check MSISDN Frequent hbase</t>
  </si>
  <si>
    <t>2603P05540</t>
  </si>
  <si>
    <t>Transfert DATA</t>
  </si>
  <si>
    <t>2603P07818</t>
  </si>
  <si>
    <t>2603P09303</t>
  </si>
  <si>
    <t>Vérification Nombre Abonnement Telco</t>
  </si>
  <si>
    <t>2603P28892</t>
  </si>
  <si>
    <t>2603P33728</t>
  </si>
  <si>
    <t>2603P34996</t>
  </si>
  <si>
    <t>Maxit - orange illimite reconduire mon abonnement / Carte Visa Virtuelle &amp; Pico-Inscription(Max-it )</t>
  </si>
  <si>
    <t>2603P39218</t>
  </si>
  <si>
    <t>2603P43283</t>
  </si>
  <si>
    <t>2603P52888</t>
  </si>
  <si>
    <t>2603P54630</t>
  </si>
  <si>
    <t>CRM(KIBARU)</t>
  </si>
  <si>
    <t>2603P60839</t>
  </si>
  <si>
    <t>2603P82028</t>
  </si>
  <si>
    <t>2603P86528</t>
  </si>
  <si>
    <t>2603P92771</t>
  </si>
  <si>
    <t>2603P95346</t>
  </si>
  <si>
    <t>2603Q03996</t>
  </si>
  <si>
    <t>2603Q13723</t>
  </si>
  <si>
    <t>2603Q24201</t>
  </si>
  <si>
    <t>2603Q26584</t>
  </si>
  <si>
    <t>2603Q34619</t>
  </si>
  <si>
    <t>2603Q35492</t>
  </si>
  <si>
    <t>2603Q37277</t>
  </si>
  <si>
    <t>2603Q41925</t>
  </si>
  <si>
    <t>2603Q82500</t>
  </si>
  <si>
    <t>2603Q94457</t>
  </si>
  <si>
    <t>2603Q96916</t>
  </si>
  <si>
    <t>Orange Money Core / Self annulation / Self annulation PDV</t>
  </si>
  <si>
    <t>2603Q99168</t>
  </si>
  <si>
    <t>2603R08968</t>
  </si>
  <si>
    <t>2603R30437</t>
  </si>
  <si>
    <t>2603R38269</t>
  </si>
  <si>
    <t>2603R41598</t>
  </si>
  <si>
    <t>2603R43932</t>
  </si>
  <si>
    <t>2603R45894</t>
  </si>
  <si>
    <t>2603R52111</t>
  </si>
  <si>
    <t>2603R61227</t>
  </si>
  <si>
    <t>2603R62813</t>
  </si>
  <si>
    <t>2603R73899</t>
  </si>
  <si>
    <t>Orange Money add-ons Locaux / CFU / Contravention GN / Droits Routiers / EDG Prepaid / Lafarge Client / Lafarge Marchand / MSC_GUI / Maersk / MedLog / Minigrid_Paiement / Minigrid_Souscription / NSIA Assurance / Orange Energie / Partenaires OM / PayCard / SUNU Assurances / School Fees USSD / VDC
Orange Money Core / Self Annulation / Self Annulation PDV / Verification Statut Carte
SVA USSD / Achat de Pass pour Tiers / Consultation Forfait Choco / Tr DATA / Consultation pass internet / Report Avantage</t>
  </si>
  <si>
    <t>2603R75226</t>
  </si>
  <si>
    <t>Orange Money add-on Group / Orange Money App Pro- Login et Transfert </t>
  </si>
  <si>
    <t>2603S07264</t>
  </si>
  <si>
    <t>2603S14570</t>
  </si>
  <si>
    <t>2603S18435</t>
  </si>
  <si>
    <t>2603S23724</t>
  </si>
  <si>
    <t>2603S38265</t>
  </si>
  <si>
    <t>2603S41843</t>
  </si>
  <si>
    <t>2603S43069</t>
  </si>
  <si>
    <t>2603S71550</t>
  </si>
  <si>
    <t>2603S76080</t>
  </si>
  <si>
    <t>2603S83452</t>
  </si>
  <si>
    <t>2603S85125</t>
  </si>
  <si>
    <t>2603S88003</t>
  </si>
  <si>
    <t>2603S94078</t>
  </si>
  <si>
    <t>Orange Money add-ons Locaux / Lafarge Marchand / MSC_GUI / Mouna / Minigrid_Souscription / EDG Prepaid / LightBox Africa / Orange Energie / StarTimes / UBIPHARM Client &amp; Marchand / UGAR-ACTIVA / CRG / Contravention GN / Lafarge Client / Minigrid_Paiement / PayCard / Permis de conduire / SUNU Assurances / School Fees USSD
SVA USSD / Achat de Pass pour Tiers / Report Avantage / Tr DATA / Self Identification / USSD B2B Lonagui / Forfait Choco pour tiers
OM Core / Self Annulation &amp; Self Annulation PDV</t>
  </si>
  <si>
    <t>2603T14850</t>
  </si>
  <si>
    <t>2603T20008</t>
  </si>
  <si>
    <t>2603T30041</t>
  </si>
  <si>
    <t>Orange Money add-ons Locaux / Lafarge Marchand / MSC_GUI / Mouna / Minigrid_Souscription / EDG Prepaid / LightBox Africa / Orange Energie / StarTimes / UBIPHARM Client &amp; Marchand / UGAR-ACTIVA / CRG / Contravention GN / Minigrid_Paiement / PayCard / Permis de conduire / SUNU Assurances / School Fees USSD
SVA USSD / Achat de Pass pour Tiers / Report Avantage / Tr DATA / Self Identification &amp; Forfait Choco pour tiers
OM Core / Self Annulation &amp; Self Annulation PDV</t>
  </si>
  <si>
    <t>2603T31670</t>
  </si>
  <si>
    <t>2603T79394</t>
  </si>
  <si>
    <t>2603T44493</t>
  </si>
  <si>
    <t>2603T51471 / 2603T51666</t>
  </si>
  <si>
    <t>2603T53279</t>
  </si>
  <si>
    <t>USSD PayCard</t>
  </si>
  <si>
    <t>2603T55860</t>
  </si>
  <si>
    <t>USSD B2B FBNBank &amp; API OTAP</t>
  </si>
  <si>
    <t>2603T60618</t>
  </si>
  <si>
    <t>2603T91173</t>
  </si>
  <si>
    <t>Nimba Plus_E2E_01 Login &amp; Consultation Solde / Nimba Plus_E2E_02 Identification Compte / Nimba Plus_E2E_03 Depôt / Nimba Plus_E2E_04 Retrait</t>
  </si>
  <si>
    <t>2603T81321</t>
  </si>
  <si>
    <t>2603T89737</t>
  </si>
  <si>
    <t>2603T90207</t>
  </si>
  <si>
    <t>2603T95380</t>
  </si>
  <si>
    <t>Nimba Plus_API_Authentification</t>
  </si>
  <si>
    <t>2603T99621</t>
  </si>
  <si>
    <t>2603U44512</t>
  </si>
  <si>
    <t>Indisponibilités de plusieurs services Nimba Plus</t>
  </si>
  <si>
    <t>Renouvèlement et déploiement d’un nouveau certificat</t>
  </si>
  <si>
    <t>Indisponibilité de plusieurs services Orange Money Add-on Locaux, Maxt-it, SVA USSD, Orange Money Core, SVA SMS</t>
  </si>
  <si>
    <t>Création de milliers de pods via des cron jobs automatiques</t>
  </si>
  <si>
    <t>Suppression des cron jobs et des pods générés par ces cron jobs</t>
  </si>
  <si>
    <t> Impossible pour les clients et marchands d'UBIPHARM de payer leur facture via Orange Money</t>
  </si>
  <si>
    <t>Impossible d’effectuer des transactions bancaires Ecobank via Orange Money</t>
  </si>
  <si>
    <t>Le compte a été rechargé</t>
  </si>
  <si>
    <t>Indisponibilité du service Maxit - Consult. Solde Telco</t>
  </si>
  <si>
    <t>Dysfonctionnement lié au certificat de Kira</t>
  </si>
  <si>
    <t>Le certificat a été renouvelé</t>
  </si>
  <si>
    <t>Désactivation du nom d'utilisateur ognapi dans la Base de Donnée</t>
  </si>
  <si>
    <t>Remise en ligne</t>
  </si>
  <si>
    <t>Indisponibilité du service SVA USSD / M-Agri  via le *113#</t>
  </si>
  <si>
    <t>Indisponibilité du service USSD B2B Ecobank Xpress</t>
  </si>
  <si>
    <t>Instabilité du service  Pico - Check KYC</t>
  </si>
  <si>
    <t>IT Ecobank</t>
  </si>
  <si>
    <t>Indisponibilité de plusieurs services : Orange Money Core et Orange Money Add-ons pour certains clients</t>
  </si>
  <si>
    <t>Souci de redirectionnement du flux</t>
  </si>
  <si>
    <t>le flux a été forcé sur un des serveurs qui fonctionne</t>
  </si>
  <si>
    <t>Indisponibilité du service Pico - Scoring tool</t>
  </si>
  <si>
    <t>Souci de connexion</t>
  </si>
  <si>
    <t>IT SKYEBANK</t>
  </si>
  <si>
    <t>Souci d'accès internet dû à une coupure de fibre</t>
  </si>
  <si>
    <t>Soudure de la fibre </t>
  </si>
  <si>
    <t>Travaux effectués sur le serveur dans le cadre de la mise à niveau de l’OS</t>
  </si>
  <si>
    <t>Indisponibilité de certains services utilisant le short code 144 pour les clients se trouvant sur le serveur Web1 de Camayenne</t>
  </si>
  <si>
    <t>Formation de queues sur le serveur web1 de Camayenne</t>
  </si>
  <si>
    <t>Indisponibilité du lien OPS_Health Check : (http://10.173.84.64:8181/ops/ops/provisioning/?login=simplissimo&amp;pass=orange)</t>
  </si>
  <si>
    <t>Déploiement du service sur le Local Paas</t>
  </si>
  <si>
    <t>Implémentation du nouveau lien après déploiement</t>
  </si>
  <si>
    <t xml:space="preserve">Problème de connexion chez le partenaire </t>
  </si>
  <si>
    <t>Indisponibilité du service Pico - Credit Tik Tak</t>
  </si>
  <si>
    <t>PICO OBA</t>
  </si>
  <si>
    <t>Impossible pour les clients d'acceder à certains services dans add-ons Group et à l'outil Customer Care</t>
  </si>
  <si>
    <t>Perturbation de la liaison principale du partanaire</t>
  </si>
  <si>
    <t>Rétablissement de la liaison</t>
  </si>
  <si>
    <t> Impossible pour les clients de UBIPHARM de payer leur facture via Orange Money</t>
  </si>
  <si>
    <t>Perturbation de la liaison principale du partanaire</t>
  </si>
  <si>
    <t>Rétablissement de la liaison</t>
  </si>
  <si>
    <t>Indisponibilité de l’outil M-Agri Healthcheck</t>
  </si>
  <si>
    <t>Indisponibilité du service SVA USSD / Vente Sims 777</t>
  </si>
  <si>
    <t>Problème de ressources</t>
  </si>
  <si>
    <t>Augmentation du nombre de pods</t>
  </si>
  <si>
    <t>Indisponibilité sur les services USSD B2B FbnBank via le *894#</t>
  </si>
  <si>
    <t>La totalité des transactions passait par une seule liaison proxy, au lieu de circuler sur les deux autres liaisons</t>
  </si>
  <si>
    <t>Toutes les transactions ont été forcées à se rediriger vers la seule liaison proxy autorisée par le partenaire</t>
  </si>
  <si>
    <t>mpossible pour les clients de vérifier leur statut carte via Orange Money</t>
  </si>
  <si>
    <t>Blocage des trafics et redimensionnement des ressources de l’ensemble des micro services</t>
  </si>
  <si>
    <t>DSI &amp;GOS</t>
  </si>
  <si>
    <t>Impossible d’effectuer des transactions bancaires FBNBank via Orange Money</t>
  </si>
  <si>
    <t>Panne sur deux des trois serveurs proxy côté partenaire</t>
  </si>
  <si>
    <t xml:space="preserve">L'équipe réseau de SSPO a procédé à une reconnexion de la deuxième phase pour rétablir les services pour OSN et OGN vu deux des trois proxys étaient hors service </t>
  </si>
  <si>
    <t>Indisponibilité des services Douane Redevance et Contravention GN</t>
  </si>
  <si>
    <t>Impossible d’accéder au USSD B2B FBNBank via le *894#</t>
  </si>
  <si>
    <t>L'équipe réseau de SSPO a procédé à une reconnexion de la deuxième phase pour rétablir les services pour OSN et OGN vu deux des trois proxys étaient hors service </t>
  </si>
  <si>
    <t>Impossible d’effectuer des transactions bancaires SkyeBank via Orange Money</t>
  </si>
  <si>
    <t>Impossible d’effectuer des transactions bancaires VistaGUI via Orange Money</t>
  </si>
  <si>
    <t>Impossible d’effectuer des transactions bancaires BSIC via Orange Money</t>
  </si>
  <si>
    <t>Indisponibilité du service Nimba Plus_API_SETTINGS</t>
  </si>
  <si>
    <t>Impossible d’effectuer des transactions bancaires CorisBank via Orange Money</t>
  </si>
  <si>
    <t>Interruption Reseau coté partenaire</t>
  </si>
  <si>
    <t>Impossible au client de reconduire son abonnement orange illimite , de souscrire au service OMIG via Max it</t>
  </si>
  <si>
    <t>Instabilité réseau au sein du cluster</t>
  </si>
  <si>
    <t>Indisponibilités de plusieurs services Nimba Plus</t>
  </si>
  <si>
    <t>Indisponibilité du service SVA USSD / Tr DATA</t>
  </si>
  <si>
    <t>Indisponibilité du service SVA USSD / Vérification Nombre Abonnement Telco</t>
  </si>
  <si>
    <t>Impossible au client de reconduire son abonnement orange illimite Impossible au client d'achété sa carte visa  via Max itImpossible au client de souscrire au service OMIG via Max it</t>
  </si>
  <si>
    <t>Timeouts vers le lien de Kira</t>
  </si>
  <si>
    <t>Impossible pour un client de reconduire son abonnement orange illimite, d'achété sa carte visa  et de souscrire au service OMIG via Max it</t>
  </si>
  <si>
    <t>Utilisation du CPU au-delà de la limite précédemment fixée à 1500 millicores par les pods du MS ouidesigner</t>
  </si>
  <si>
    <t>Réajustement de la valeur MAX du HPA du MS ouidesigner de 5 à 10</t>
  </si>
  <si>
    <t>Indisponibilité du port 443 sur l’un des serveurs du CRM</t>
  </si>
  <si>
    <t>Remise en service du port 443</t>
  </si>
  <si>
    <t>Indisponibilité de plusieurs services Pico</t>
  </si>
  <si>
    <t>Indisponibilité de KIRA_CVOGN </t>
  </si>
  <si>
    <t>Migration des services vers Kira (OPC)</t>
  </si>
  <si>
    <t>Soucis d’internet sur le lien principal</t>
  </si>
  <si>
    <t>Basculement du VPN sur le secondaire</t>
  </si>
  <si>
    <t>Instabilité sur les services  Orange Money</t>
  </si>
  <si>
    <t>Impossible d’effectuer des transactions bancaires Ecobank via Orange Money</t>
  </si>
  <si>
    <t>Une opération a été effectuée sur ce compte sans avoir été autorisée.</t>
  </si>
  <si>
    <t>Compte a été actif</t>
  </si>
  <si>
    <t>Indisponibilité des services Douane Redevance via le short code  *144#</t>
  </si>
  <si>
    <t>Soucis de connectivité avec l'environnement de la Douane</t>
  </si>
  <si>
    <t>Impossible pour les clients de payer leur facture SEG via Orange Money</t>
  </si>
  <si>
    <t>IT SEG</t>
  </si>
  <si>
    <t>Impossible pour les clients et les PDV d'annuler leurs transactions</t>
  </si>
  <si>
    <t>Indisponibilité du service M-Agri Healthcheck</t>
  </si>
  <si>
    <t>Impossible pour les clients de payer leur facture Mouna via Orange Money</t>
  </si>
  <si>
    <t>Impossible pour les clients de payer leur quittance UGAR-ACTIVA via Orange Money</t>
  </si>
  <si>
    <t>Indisponibilité sur certains services Orange Money add-on locaux, Orange Money Core et SVA USSD</t>
  </si>
  <si>
    <t>Arrêt de l'interface du serveur Maersk où la base de données partenaire OM se trouve </t>
  </si>
  <si>
    <t>Indisponibilité de l'application App Pro- Login, Depot et Transfert</t>
  </si>
  <si>
    <t>Arrêt du serveur Kaptibuilder</t>
  </si>
  <si>
    <t>Rallumage du serveur</t>
  </si>
  <si>
    <t>Connections time out constaté chez le partenaire</t>
  </si>
  <si>
    <t>Redémarrage du Core banking</t>
  </si>
  <si>
    <t>Impossible d’effectuer des transactions bancaires FBNBank via Orange Money</t>
  </si>
  <si>
    <t> Incident technique avec l’opérateur 1, le VPN Normandie est down coté partenaire</t>
  </si>
  <si>
    <t>Basculemant sur la connexion 2 avec le VPN CHARTES coté partenaire</t>
  </si>
  <si>
    <t>Indisponibilité des services Douane Redevance</t>
  </si>
  <si>
    <t>Les pods ne pouvaient pas supporter la charge de trafic</t>
  </si>
  <si>
    <t>L'équipe SSPO Add-ons a augmenté les ressources du service VistaGUI</t>
  </si>
  <si>
    <t>Instabilités de plusieurs services Orange Money Add-ons Locaux, SVA USSD et OM CORE</t>
  </si>
  <si>
    <t>Problème de ressource sur Kira suite au déploiement de face ID sur Nimba plus</t>
  </si>
  <si>
    <t>Upgrade des ressources</t>
  </si>
  <si>
    <t>Indisponibilité de l'API API_INVENTORY MANAGEMENT de Nimba Plus</t>
  </si>
  <si>
    <t>Plantage du serveur Tomcat</t>
  </si>
  <si>
    <t>Redémarrage du serveur Tomcat</t>
  </si>
  <si>
    <t>Instabilité de plusieurs services : Orange Money (Addons Locaux, Core) et SVA USSD</t>
  </si>
  <si>
    <t>Impossible d’effectuer des transactions bancaire AccessBank via Orange Money et d’accéder au USSD B2B AccessBank via le *0901#</t>
  </si>
  <si>
    <t>Impossible pour les clients et marchands UBIPHARM de payer leur facture via Orange Money</t>
  </si>
  <si>
    <t>Problème de démarrage du serveur concerné</t>
  </si>
  <si>
    <t>Indisponibilité du service PayCard via USSD (*717#)</t>
  </si>
  <si>
    <t>Indisponibilité du service B2B FbnBank et de l'API d'OTAP https://otapvtbogn.gos.orange.com/api/subscribers/224620691214?show=msisdn,imei,imsi,device_model,device_id&amp;username=ognapi&amp;password=ognapi</t>
  </si>
  <si>
    <t>Panne du Juniper master suite à une alarme PSU entraînant l’indisponibilité des services malgré la bascule automatique.</t>
  </si>
  <si>
    <t>Intervention physique sur l’équipement pour redémarrage du Juniper 1 et rebascule du trafic du Juniper 2 vers le Juniper 1.</t>
  </si>
  <si>
    <t>Indisponibilité de plusieurs services Nimba Plus</t>
  </si>
  <si>
    <t>Migration des bases de données des partenaires OM vers la nouvelle plateforme</t>
  </si>
  <si>
    <t>Réacheminement des services vers le nouveau cluster</t>
  </si>
  <si>
    <t>Problème de connectivité entre le partenaire et SSPO</t>
  </si>
  <si>
    <t>Mise à jour de la configuration du VPN sur Normandie
Redémarrage du serveur applicatif ainsi que du système Core Banking
Réduction du nombre de pods, passant de 80 à 20, afin de limiter les requêtes parallèles et stabiliser le service</t>
  </si>
  <si>
    <t>Indisponibilité de l'API_Authentification de Nimba Plus</t>
  </si>
  <si>
    <t>Migration des bases de données des partenaires OM vers une nouvelle plateforme</t>
  </si>
  <si>
    <t>Souci d'internet sur le lien principal</t>
  </si>
  <si>
    <t>Maxit - Consultation Solde Telco</t>
  </si>
  <si>
    <t>IT OFMG</t>
  </si>
  <si>
    <t>Crache des Pods</t>
  </si>
  <si>
    <t>Retard de chargement du fichier</t>
  </si>
  <si>
    <t>chargement du fichier</t>
  </si>
  <si>
    <t>2603T75825</t>
  </si>
  <si>
    <t>Orange Money add-ons Locaux / CRG / Douane REDEVANCE / Droits Routiers / Orange Énergie / Partenaires OM / SUNU Assurances / Lafarge Marchand &amp; Client /  Mouna / Ya!GAZ Marchand / Minigrid_Paiement &amp; Souscription / Contravention / UBIPHARM Client&amp;Marchand / UGAR-ACTIVA / Ouverture de Compte OM / LightBox Africa / EDG Prepaid / Permis de conduire / StarTimes /  Permis de conduire / Guinée GAMES TICKET</t>
  </si>
  <si>
    <t>2603U23054</t>
  </si>
  <si>
    <t>Orange Money add-on / Bank to Wallet / BNG</t>
  </si>
  <si>
    <t>2604U82297</t>
  </si>
  <si>
    <t>2604U49065</t>
  </si>
  <si>
    <t>2604U51438</t>
  </si>
  <si>
    <t>2604U51958</t>
  </si>
  <si>
    <t>2604U52660</t>
  </si>
  <si>
    <t>Orange Money add-on / Bank to Wallet / SkyBank</t>
  </si>
  <si>
    <t>2604U52420</t>
  </si>
  <si>
    <t>2604U79289</t>
  </si>
  <si>
    <t>Nimba Plus_API_SETTINGS / Nimba Plus_API_TELCO / Nimba Plus_API_Transaction OM</t>
  </si>
  <si>
    <t>2604U84343</t>
  </si>
  <si>
    <t>2604U94518</t>
  </si>
  <si>
    <t>2604V27968</t>
  </si>
  <si>
    <t>Orange Money add-ons Locaux / BNB transfert / Contravention GN / Douane REDEVANCE / Droits Routiers / EDG Prepaid / Lafarge Client/ Lafarge Marchand / LightBox Africa / Minigrid_Paiement / School Fees USSD / UBIPHARM Marchand / UGAR-ACTIVASVA USSD / Achat de Pass pour Tiers / Portail Magic / Tr DATA / B2B Lonagui /  PayCard,Nimba Plus_API_SETTINGS / Nimba Plus_API_TELCO / Nimba Plus_E2E_01 Login &amp; Consultation Solde / Nimba Plus_E2E_02 Identification Compte / Nimba Plus_E2E_03 Depôt / Nimba Plus_E2E_04 Retrait,OM Core / Self Annulation / Self Annulation PDV,SVA DATA  / API OTAP</t>
  </si>
  <si>
    <t>2604V50180</t>
  </si>
  <si>
    <t>Orange Money Core / Top up distri</t>
  </si>
  <si>
    <t>2604V32491</t>
  </si>
  <si>
    <t>2604V25941</t>
  </si>
  <si>
    <t>2604V26151</t>
  </si>
  <si>
    <t>2604V50941</t>
  </si>
  <si>
    <t>Orange Money add-on Group / Web payement OTP</t>
  </si>
  <si>
    <t>2604V67312</t>
  </si>
  <si>
    <t>Orange Money add-on Local / Douane REDEVANCE </t>
  </si>
  <si>
    <t>2604V67265</t>
  </si>
  <si>
    <t>Orange Money add-on / Bank to Wallet / AccessBank</t>
  </si>
  <si>
    <t>2604V74046</t>
  </si>
  <si>
    <t>2604V83500</t>
  </si>
  <si>
    <t>2604V88709</t>
  </si>
  <si>
    <t>2604V98805</t>
  </si>
  <si>
    <t>2604W05942</t>
  </si>
  <si>
    <t>Nimba Plus_API_SETTINGS / Nimba Plus_API_TELCO / Nimba Plus_API_Transaction OM / Nimba Plus_E2E_01 Login &amp; Consultation Solde / Nimba Plus_E2E_02 Identification Compte / Nimba Plus_E2E_03 Depôt / Nimba Plus_E2E_04 Retrait / Nimba Plus_API_INVENTORY MANAGEMENT &amp; SVA USSD / Vente Sims 777 / Verification Nombre Abonnement Telco</t>
  </si>
  <si>
    <t>2604W31033</t>
  </si>
  <si>
    <t>SMS A2P</t>
  </si>
  <si>
    <t>2604W44066</t>
  </si>
  <si>
    <t>2604W45256</t>
  </si>
  <si>
    <t>2604W55440</t>
  </si>
  <si>
    <t>2604W67942</t>
  </si>
  <si>
    <t>2604W73663</t>
  </si>
  <si>
    <t>Orange Money add-on Local / Maersk</t>
  </si>
  <si>
    <t>2604W72773</t>
  </si>
  <si>
    <t>USSD B2B FbnBank</t>
  </si>
  <si>
    <t>2604W78748</t>
  </si>
  <si>
    <t>2604W80258</t>
  </si>
  <si>
    <t>2604W90246 | 2604W89747</t>
  </si>
  <si>
    <t>2604X05406</t>
  </si>
  <si>
    <t>Orange Money add-on Local / School Fees USSD</t>
  </si>
  <si>
    <t>2604X10784</t>
  </si>
  <si>
    <t>2604X16682</t>
  </si>
  <si>
    <t>2604X17064</t>
  </si>
  <si>
    <t>2604X27937</t>
  </si>
  <si>
    <t>2604X57715</t>
  </si>
  <si>
    <t>2604X35033</t>
  </si>
  <si>
    <t>2604X37184</t>
  </si>
  <si>
    <t>2604X49573</t>
  </si>
  <si>
    <t>2604X71673</t>
  </si>
  <si>
    <t>2604X67729</t>
  </si>
  <si>
    <t>2604X72198</t>
  </si>
  <si>
    <t>2604X87008</t>
  </si>
  <si>
    <t>2604X90897</t>
  </si>
  <si>
    <t>2604X91487</t>
  </si>
  <si>
    <t>2604X94344</t>
  </si>
  <si>
    <t>2604X94585</t>
  </si>
  <si>
    <t>2604Y19911</t>
  </si>
  <si>
    <t>2604Y22340</t>
  </si>
  <si>
    <t>2604Y24658</t>
  </si>
  <si>
    <t>2604Y24351</t>
  </si>
  <si>
    <t>Orange Money add-on Local / APIOM</t>
  </si>
  <si>
    <t>2604Y51920</t>
  </si>
  <si>
    <t>Orange Money add-ons Locaux / CRG / Contravention GN / Douane REDEVANCE / Droits Routiers / EDG Prepaid / Lafarge Client / Lafarge Marchand / Lanala Assurance / LightBox Africa / MSC_GUI / Maersk / MedLog / Minigrid_Paiement / Minigrid_Souscription / Orange Energie / Ouverture de compte OM / Partenaires OM PayCard / Permis de conduire / Remboursement Marchand / SEG / SUNU Assurances / School Fees USSD / StarTimes / UBIPHARM Client / UBIPHARM Marchand / UGAR-ACTIVA / VDC / Ya!GAZ Marchand,SVA USSD / Forfait Choco pour tiers / Forfait Swag / Self Identification / B2B Lonagui / PayCard / Consultation pass internet,Nimba Plus_API_SETTINGS / Nimba Plus_API_TELCO / Nimba Plus_API_Transaction OM / Nimba Plus_E2E_01 Login &amp; Consultation Solde / Nimba Plus_E2E_02 Identification Compte / Nimba Plus_E2E_03 Depôt / Nimba Plus_E2E_04 Retrait,Orange Money add-on / Pico - Credit Tik Tak / Pico - Epargne / Pico - Inscription USSD /Pico - Mini releve / Pico - Scoring tool / Pico - Transfert Vers OM</t>
  </si>
  <si>
    <t>2604Y56801</t>
  </si>
  <si>
    <t>2604Y60875</t>
  </si>
  <si>
    <t xml:space="preserve">Orange Money add-ons Locaux / APIOM / BNB transfert / Contravention GN / EDG Prepaid / Orange Energie / Permis de conduire / VDC </t>
  </si>
  <si>
    <t>2604Y68361</t>
  </si>
  <si>
    <t>2604Y75646</t>
  </si>
  <si>
    <t>2604Y85920</t>
  </si>
  <si>
    <t>2604Y99068</t>
  </si>
  <si>
    <t>2604Y99533</t>
  </si>
  <si>
    <t>2604Z09575</t>
  </si>
  <si>
    <t>2604Z12006</t>
  </si>
  <si>
    <t>SVA USSD / Portail Magic / B2B AccessBank / B2B CRG / B2B Ecobank Xpress / B2B FbnBank &amp; SVA SMS / CMS</t>
  </si>
  <si>
    <t>2604Z17269</t>
  </si>
  <si>
    <t>2604Z17800|2604Z26974</t>
  </si>
  <si>
    <t>Facebook, Messenger, Tiktok et Youtube</t>
  </si>
  <si>
    <t>2604Z32107</t>
  </si>
  <si>
    <t>2604Z37298</t>
  </si>
  <si>
    <t>22604Z48026</t>
  </si>
  <si>
    <t>2604Z54533</t>
  </si>
  <si>
    <t>2604Z56769</t>
  </si>
  <si>
    <t>2604Z61465</t>
  </si>
  <si>
    <t>2604Z77828</t>
  </si>
  <si>
    <t>2604Z73910</t>
  </si>
  <si>
    <t>Orange Money add-ons Locaux/ CRG / Douane REDEVANCE / Droits Routiers / Lafarge Client / Lafarge Marchand / LightBox Africa / MSC_GUI / MedLog / Minigrid_Paiement / Minigrid_Souscription / NSIA Assurance / Ouverture de compte OM / Partenaires OM / SUNU Assurances / School Fees USSD / StarTimes / UBIPHARM Client / UBIPHARM Marchand / UGAR-ACTIVA / VDC / Ya!GAZ Marchand</t>
  </si>
  <si>
    <t>2604Z81363</t>
  </si>
  <si>
    <t>2604Z93527</t>
  </si>
  <si>
    <t>2604A22227</t>
  </si>
  <si>
    <t>2604A22989</t>
  </si>
  <si>
    <t>2604A43356</t>
  </si>
  <si>
    <t>2604A46111</t>
  </si>
  <si>
    <t>2604A56416</t>
  </si>
  <si>
    <t>2604A62978</t>
  </si>
  <si>
    <t>2604A72639</t>
  </si>
  <si>
    <t>2604A78550</t>
  </si>
  <si>
    <t>2604A87195</t>
  </si>
  <si>
    <t>Orange Money add-on Local / Partenaires OM</t>
  </si>
  <si>
    <t>2604A87656</t>
  </si>
  <si>
    <t>Orange Money add-on Local / Minigrid_Paiement</t>
  </si>
  <si>
    <t>2604A93120</t>
  </si>
  <si>
    <t>2604B04251</t>
  </si>
  <si>
    <t>2604B07297</t>
  </si>
  <si>
    <t>2604B12137</t>
  </si>
  <si>
    <t>2604B29130</t>
  </si>
  <si>
    <t>2604B40412</t>
  </si>
  <si>
    <t>OrangeBot / Djingo (Messenger &amp; WhatsApp Mobile)</t>
  </si>
  <si>
    <t>2604B49902</t>
  </si>
  <si>
    <t>2604B67244</t>
  </si>
  <si>
    <t>2604B81411</t>
  </si>
  <si>
    <t>2604B90519</t>
  </si>
  <si>
    <t>2604C09990</t>
  </si>
  <si>
    <t>2604C20716</t>
  </si>
  <si>
    <t>2604C18686</t>
  </si>
  <si>
    <t>2604C19085</t>
  </si>
  <si>
    <t>2604C30398</t>
  </si>
  <si>
    <t>2604C35734</t>
  </si>
  <si>
    <t>2604C58747</t>
  </si>
  <si>
    <t>2604C38384</t>
  </si>
  <si>
    <t>2604C39843</t>
  </si>
  <si>
    <t>2604C60418</t>
  </si>
  <si>
    <t>Orange Money add-ons Locaux / Minigrid_Paiement &amp; Partenaires OM</t>
  </si>
  <si>
    <t>2604C62856</t>
  </si>
  <si>
    <t>2604C63516</t>
  </si>
  <si>
    <t>2604C66486</t>
  </si>
  <si>
    <t>2604C69700</t>
  </si>
  <si>
    <t>2604C69884</t>
  </si>
  <si>
    <t>2604C73856</t>
  </si>
  <si>
    <t>2604C81755</t>
  </si>
  <si>
    <t>2604C86414</t>
  </si>
  <si>
    <t>Orange Money add-ons Locaux / UBIPHARM Client / UBIPHARM Marchand / UGAR-ACTIVA / Ya!GAZ Marchand / Minigrid_Paiement / Minigrid_Souscription / CMA-CGM / Douane REDEVANCE / Droits Routiers / MSC_GUI / MAERSK &amp; SVA USSD / B2B Lonagui / PayCard / Consultation Forfait Choco / Forfait Choco pour soi / Forfait Choco pour Tiers / Portail Magic / B2B Ecobank Xpress</t>
  </si>
  <si>
    <t>2604C87333</t>
  </si>
  <si>
    <t>2604D01837</t>
  </si>
  <si>
    <t>2604D13809</t>
  </si>
  <si>
    <t>2604D10297</t>
  </si>
  <si>
    <t>2604D30385</t>
  </si>
  <si>
    <t>2604D31876</t>
  </si>
  <si>
    <t>2604D51354</t>
  </si>
  <si>
    <t>2604D63869</t>
  </si>
  <si>
    <t>2604D64423</t>
  </si>
  <si>
    <t>2604D70120</t>
  </si>
  <si>
    <t>2604E09500</t>
  </si>
  <si>
    <t>2604E07120</t>
  </si>
  <si>
    <t>2604E08750</t>
  </si>
  <si>
    <t xml:space="preserve">Call Shine </t>
  </si>
  <si>
    <t>2604E25595</t>
  </si>
  <si>
    <t>22604E27904</t>
  </si>
  <si>
    <t>2604E30426</t>
  </si>
  <si>
    <t>Indisponibilités de plusieurs services Orange Money addons Locaux</t>
  </si>
  <si>
    <t xml:space="preserve">	
Impossible d’effectuer des transactions bancaires BNG via Orange Money</t>
  </si>
  <si>
    <t>Problème de certificat affectant le service</t>
  </si>
  <si>
    <t>IT BNG</t>
  </si>
  <si>
    <t>Impossible pour les clients du service PayCard de recharger leur compte via Orange Money (*144#)</t>
  </si>
  <si>
    <t>Abscence de la liste des imports dans la plateforme Scoring tool</t>
  </si>
  <si>
    <t>Indisponibilité de la plateforme Max-it</t>
  </si>
  <si>
    <t>Incident sur le serveur côté partenaire</t>
  </si>
  <si>
    <t>IT Orabank</t>
  </si>
  <si>
    <t>Indisponibilité de plusieurs services Nimba Plus</t>
  </si>
  <si>
    <t>Erreur de configuration d'une couche de sécurité sur l'un des APIs de Nimba+</t>
  </si>
  <si>
    <t>Changement d'état du ploguin de sécurité de global en scope</t>
  </si>
  <si>
    <t>Indisponibilités de plusieurs services Orange Money Add-ons Locaux, SVA USSD, OM Core, Nimba Plus et SVA DATA</t>
  </si>
  <si>
    <t>Indisponibilité du service Top up distri via Orange Money</t>
  </si>
  <si>
    <t>Plantage Tomcat</t>
  </si>
  <si>
    <t>Redémarrage Tomcat</t>
  </si>
  <si>
    <t>Indisponibilité du service Web payement via Orange Money</t>
  </si>
  <si>
    <t>Service down sur le Local PaaS</t>
  </si>
  <si>
    <t>Incident survenu dans l’environnement de la Douane ayant entraîné le redémarrage de certains serveurs</t>
  </si>
  <si>
    <t>Relance des services côté Core Banking</t>
  </si>
  <si>
    <t>Impossible d’effectuer des transactions bancaire Ecobank via Orange Money 
Indisponibilité du service Ecobank via le short code *326#</t>
  </si>
  <si>
    <t>Indisponibilité du système coté partenaire</t>
  </si>
  <si>
    <t>Indisponibilité de plusieurs services Nimba Plus et SVA USSD</t>
  </si>
  <si>
    <t>Non réception des SMS A2P pour certains clients</t>
  </si>
  <si>
    <t>Perte de synchronisation d’un des serveurs NTP entraînant le rejet des SMS par les MCO</t>
  </si>
  <si>
    <t>Redémarrage du webservice</t>
  </si>
  <si>
    <t>Indisponibilité du service Orange Money add-on local Maersk</t>
  </si>
  <si>
    <t>Suppression du compte technique MAERSK</t>
  </si>
  <si>
    <t>Recréation du compte technique MAERSK</t>
  </si>
  <si>
    <t>Impossible d’effectuer des transactions bancaires B2W sur toutes les banques</t>
  </si>
  <si>
    <t>Un déploiement erroné a dirigé le service CORE vers un nœud FQE (003) au lieu du nœud CORE (001), entraînant le maintien des transactions en statut 201</t>
  </si>
  <si>
    <t>Indisponibilité du service School Fees USSD via (*144#)</t>
  </si>
  <si>
    <t>Redémarrer le service pour vider la mémoire</t>
  </si>
  <si>
    <t>Retrait du serveur NTP défaillant et redémarrage des process</t>
  </si>
  <si>
    <t>Mavenir</t>
  </si>
  <si>
    <t>Migration du menu USSD de Accès Bank vers le nouveau environnement</t>
  </si>
  <si>
    <t>Fin de la migration</t>
  </si>
  <si>
    <t>Impossible d’accéder au USSD B2B Ecobank Xpress via le *326#</t>
  </si>
  <si>
    <t>Relancement des services sur les deux serveurs OM</t>
  </si>
  <si>
    <t>Rédémarrage des services </t>
  </si>
  <si>
    <t>Redémarrage des services sur le serveur DMZ et Core Banking système</t>
  </si>
  <si>
    <t>Instabilité sur le service EDG via Orange Money *144#</t>
  </si>
  <si>
    <t>Impossible d’effectuer des transactions bancaires FBN BANK via orange Money &amp; Indisponibilité du service via le *894#</t>
  </si>
  <si>
    <t>Impossible d’effectuer des transactions bancaires FBN BANK via orange Money</t>
  </si>
  <si>
    <t>Souci de reseau côté partenaire</t>
  </si>
  <si>
    <t>Retablissement du souci de reseau coté partenaire</t>
  </si>
  <si>
    <t>Indisponibilité due à une corruption des serveurs côté partenaire</t>
  </si>
  <si>
    <t>Restauration de la dernière sauvegarde viable</t>
  </si>
  <si>
    <t>Indisponibilité de plusieurs services Orange Money Addons locaux</t>
  </si>
  <si>
    <t>Impossible d’accéder au lien APIOM</t>
  </si>
  <si>
    <t>Indisponibilité de plusieurs services Orange Money Addons locaux, SVA USSD, Nimba plus, Pico</t>
  </si>
  <si>
    <t>Problème de ressources sur le cluster où kira est déployé  </t>
  </si>
  <si>
    <t>Redimensionnement des ressources</t>
  </si>
  <si>
    <t>Une lenteur sur la plateforme Max-it</t>
  </si>
  <si>
    <t>Restauration de la BD de reporting depuis la BD3 suite au redémarrage du serveur de Reporting de MAXIT entrainant l’arrêt de la BD</t>
  </si>
  <si>
    <t>Basculement du trafic vers la BD1 et Redémarrage des pods du microservice core</t>
  </si>
  <si>
    <t>Indisponibilité de certains services Orange Money Addons locaux</t>
  </si>
  <si>
    <t>Indisponibilité du service PayCard via USSD (*717#)</t>
  </si>
  <si>
    <t>IT BRASTORNE</t>
  </si>
  <si>
    <t>Souci avec  kira</t>
  </si>
  <si>
    <t>Redémarrage de Tomcat</t>
  </si>
  <si>
    <t>Instabilité du service EDG via Orange Money *144#</t>
  </si>
  <si>
    <t>Indisponibilté de plusieurs services SVA USSD et SVA SMS</t>
  </si>
  <si>
    <t>Indisponibilité du VPN entre le GOS et Sonatel</t>
  </si>
  <si>
    <t>Reconfiguration du VPN par la SONATEL</t>
  </si>
  <si>
    <t>IT YELLOWBET</t>
  </si>
  <si>
    <t>Inaccessibilité de Facebook,  Messenger, Tiktok, et YouTube</t>
  </si>
  <si>
    <t>Plantage du service d'application</t>
  </si>
  <si>
    <t>Incident lié à l’utilisation d’une ancienne version de l’API OM (APIOM) du service. Cette version présente des vulnérabilités de sécurité, entraînant un risque élevé et la désactivation préventive du service</t>
  </si>
  <si>
    <t>Migration vers la nouvelle version sécurisée de l’API OM Redéveloppement et mise à jour des pointeurs/appels API côté partenaire afin d’assurer la conformité et la stabilité du service avant remise en production</t>
  </si>
  <si>
    <t>Impossible d’accéder au menu USSD B2B AccessBank via le *0901#</t>
  </si>
  <si>
    <t>IT ACCESSBANK</t>
  </si>
  <si>
    <t>Tomcat était down</t>
  </si>
  <si>
    <t>Problème detecter sur base de donnée Galera</t>
  </si>
  <si>
    <t>DSI &amp; ASBD</t>
  </si>
  <si>
    <t>Impossible de generer le code OTP pour le Web payement OM   </t>
  </si>
  <si>
    <t>Le service a été arrêté car il était en preproduction</t>
  </si>
  <si>
    <t>Migration du service sur la production</t>
  </si>
  <si>
    <t>Lenteur au niveau de la passerelle monétique de NGSER</t>
  </si>
  <si>
    <t>Problème résolu</t>
  </si>
  <si>
    <t>Redémarrage du service  </t>
  </si>
  <si>
    <t>Indisponibilité de plusieurs services PICO</t>
  </si>
  <si>
    <t>OBA</t>
  </si>
  <si>
    <t>Impossible d’effectuer les transactions bancaires UBA via Orange Money</t>
  </si>
  <si>
    <t>Impossible d’accéder au menu USSD B2B AccessBank via le *0901#</t>
  </si>
  <si>
    <t>Indisponibilité du service Partenaires OM</t>
  </si>
  <si>
    <t>Indisponibilité du service Orange Money add-on Local Minigrid_Paiement</t>
  </si>
  <si>
    <t>Problème lié au format de la date lors de l'insertion des données</t>
  </si>
  <si>
    <t>Changement de format et redéploiement du service</t>
  </si>
  <si>
    <t>ATP côté SSPO/INNOV bloquant les requêtes avec sessionId sans en-tête Referer</t>
  </si>
  <si>
    <t>Autorisation des requêtes contenant sessionId sans en-tête Referer</t>
  </si>
  <si>
    <t>Souci VPN côté partenaire</t>
  </si>
  <si>
    <t>Indisponibilité du OrangeBot Djingo (Messenger &amp; WhatsApp Mobile)</t>
  </si>
  <si>
    <t>Services plantés côté partenaire</t>
  </si>
  <si>
    <t>Redémarrage des services côté partenaire</t>
  </si>
  <si>
    <t>Impossible d’effectuer des transactions bancaire Ecobank via Orange Money</t>
  </si>
  <si>
    <t>Instabilité de plusieurs services Pico</t>
  </si>
  <si>
    <t>Problème lié au VPN du partenaire</t>
  </si>
  <si>
    <t>Indisponibilité des services SVA USSD Tr DATA  *222# &amp;  Forfait Choco pour tiers via le *555#</t>
  </si>
  <si>
    <t>Redémarrage du Tomcat </t>
  </si>
  <si>
    <t>Indisponibilité de l'application App Pro- Login, Depot et Transfert</t>
  </si>
  <si>
    <t>Arrêt serveur coté DSI</t>
  </si>
  <si>
    <t>Remise sous tension serveur coté DSI</t>
  </si>
  <si>
    <t>Défaillance liée à des exceptions</t>
  </si>
  <si>
    <t>Redémarrage des services </t>
  </si>
  <si>
    <t>Mise à jour des ressources sur les serveurs Orange Money</t>
  </si>
  <si>
    <t>Impossible d'effectuer des paiements de facture EDG via Orange Money</t>
  </si>
  <si>
    <t>Indisponibilité du service SVA USSD / M-Agri  via le *113#</t>
  </si>
  <si>
    <t>IT Ubipharm</t>
  </si>
  <si>
    <t>Indisponibilité du service Contravention GN &amp; Douane REDEVANCE</t>
  </si>
  <si>
    <t>Indisponibilité du service Pico-Credit Tik Tak</t>
  </si>
  <si>
    <t>Impossible d’effectuer des transactions bancaire Ecobank via Orange Money </t>
  </si>
  <si>
    <t>Indisponibilité de la plate-forme Max-IT</t>
  </si>
  <si>
    <t>Retard temporaire de réponse de la sonde de liveness, entraînant l’arrêt du conteneur par le kubelet</t>
  </si>
  <si>
    <t>Indisponibilité du service Orange Money add-on Local Minigrid_Paiement</t>
  </si>
  <si>
    <t>Lenteur sur la plateforme Max-it</t>
  </si>
  <si>
    <t>Indisponibilité de l'outil  CRM (KIBARU)</t>
  </si>
  <si>
    <t>Arret du service ADFS sur la machine ADFS1-Sonf</t>
  </si>
  <si>
    <t>Redémarrage complet de la machine</t>
  </si>
  <si>
    <t>Indisponibilité du service SVA USSD Tr DATA via *222# </t>
  </si>
  <si>
    <t>Indisponibilité du service Call Shine via *550# </t>
  </si>
  <si>
    <t>Une indisponibilité de la plateforme Max-it</t>
  </si>
  <si>
    <t>Indisponibilité des service M-Agri via *113# &amp;  M-Agri Healthcheck</t>
  </si>
  <si>
    <t>Problème avec la connexion fibre d'accès Internet à Orange Botswana</t>
  </si>
  <si>
    <t>Orange Money add-on / Web payement OTP</t>
  </si>
  <si>
    <t>Orange Money add-on / All Bank to Wallet</t>
  </si>
  <si>
    <t>Orange Money add-on / Bank to Wallet / FBNBank &amp; USSD B2B FBNBank</t>
  </si>
  <si>
    <t>Orange Money add-on / Pico / Credit Tik Tak</t>
  </si>
  <si>
    <t>Transfert DATA &amp; Forfait Choco pour tiers</t>
  </si>
  <si>
    <t>Orange Money add-on / App Pro- Login et Transfert</t>
  </si>
  <si>
    <t>Orange Money add-on / Bank to Wallet / Ecobank &amp; USSD B2B Ecobank Xpress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</si>
</sst>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00\ _€_-;\-* #,##0.00\ _€_-;_-* &quot;-&quot;??\ _€_-;_-@_-"/>
    <numFmt numFmtId="165" formatCode="[h]:mm:ss;@"/>
    <numFmt numFmtId="167" formatCode="_(&quot;$&quot;* #,##0.00_);_(&quot;$&quot;* \(#,##0.00\);_(&quot;$&quot;* &quot;-&quot;??_);_(@_)"/>
  </numFmts>
  <fonts count="70" x14ac:knownFonts="1">
    <font>
      <sz val="11"/>
      <color theme="1"/>
      <name val="Calibri"/>
      <family val="2"/>
      <scheme val="minor"/>
    </font>
    <font>
      <sz val="8"/>
      <color theme="1"/>
      <name val="Arial"/>
      <family val="2"/>
    </font>
    <font>
      <sz val="8"/>
      <color rgb="FF000000"/>
      <name val="Arial"/>
      <family val="2"/>
    </font>
    <font>
      <sz val="10"/>
      <color rgb="FF000000"/>
      <name val="Arial"/>
      <family val="2"/>
    </font>
    <font>
      <sz val="8"/>
      <color rgb="FF0D0D0D"/>
      <name val="Arial"/>
      <family val="2"/>
    </font>
    <font>
      <i/>
      <sz val="8"/>
      <color rgb="FF000000"/>
      <name val="Arial"/>
      <family val="2"/>
    </font>
    <font>
      <sz val="8"/>
      <name val="Arial"/>
      <family val="2"/>
    </font>
    <font>
      <sz val="8"/>
      <color rgb="FF1F497D"/>
      <name val="Arial"/>
      <family val="2"/>
    </font>
    <font>
      <vertAlign val="superscript"/>
      <sz val="8"/>
      <color rgb="FF000000"/>
      <name val="Arial"/>
      <family val="2"/>
    </font>
    <font>
      <sz val="9"/>
      <color rgb="FF1F497D"/>
      <name val="Arial"/>
      <family val="2"/>
    </font>
    <font>
      <sz val="9"/>
      <color theme="1"/>
      <name val="Arial"/>
      <family val="2"/>
    </font>
    <font>
      <sz val="9"/>
      <color rgb="FF000000"/>
      <name val="Arial"/>
      <family val="2"/>
    </font>
    <font>
      <sz val="9"/>
      <color theme="1"/>
      <name val="Calibri"/>
      <family val="2"/>
      <scheme val="minor"/>
    </font>
    <font>
      <sz val="11"/>
      <color theme="1"/>
      <name val="Calibri"/>
      <family val="2"/>
      <scheme val="minor"/>
    </font>
    <font>
      <sz val="11"/>
      <color theme="0"/>
      <name val="Calibri"/>
      <family val="2"/>
      <scheme val="minor"/>
    </font>
    <font>
      <sz val="8"/>
      <color rgb="FFFFC000"/>
      <name val="Arial"/>
      <family val="2"/>
    </font>
    <font>
      <b/>
      <sz val="8"/>
      <color rgb="FFFFC000"/>
      <name val="Arial"/>
      <family val="2"/>
    </font>
    <font>
      <sz val="9"/>
      <color indexed="81"/>
      <name val="Tahoma"/>
      <family val="2"/>
    </font>
    <font>
      <b/>
      <sz val="9"/>
      <color indexed="81"/>
      <name val="Tahoma"/>
      <family val="2"/>
    </font>
    <font>
      <sz val="11"/>
      <color rgb="FF1F497D"/>
      <name val="Calibri"/>
      <family val="2"/>
    </font>
    <font>
      <sz val="11"/>
      <color rgb="FF000000"/>
      <name val="Calibri"/>
      <family val="2"/>
    </font>
    <font>
      <sz val="11"/>
      <color theme="1"/>
      <name val="Arial"/>
      <family val="2"/>
    </font>
    <font>
      <sz val="8"/>
      <color rgb="FFFF0000"/>
      <name val="Arial"/>
      <family val="2"/>
    </font>
    <font>
      <sz val="10"/>
      <name val="Arial"/>
      <family val="2"/>
    </font>
    <font>
      <sz val="11"/>
      <color theme="1"/>
      <name val="Calibri"/>
      <family val="2"/>
      <charset val="238"/>
      <scheme val="minor"/>
    </font>
    <font>
      <sz val="10"/>
      <name val="Arial"/>
      <family val="2"/>
      <charset val="238"/>
    </font>
    <font>
      <sz val="11"/>
      <color indexed="8"/>
      <name val="Calibri"/>
      <family val="2"/>
      <charset val="238"/>
    </font>
    <font>
      <sz val="11"/>
      <color indexed="9"/>
      <name val="Calibri"/>
      <family val="2"/>
      <charset val="238"/>
    </font>
    <font>
      <sz val="11"/>
      <color indexed="20"/>
      <name val="Calibri"/>
      <family val="2"/>
      <charset val="238"/>
    </font>
    <font>
      <b/>
      <sz val="11"/>
      <color indexed="52"/>
      <name val="Calibri"/>
      <family val="2"/>
      <charset val="238"/>
    </font>
    <font>
      <i/>
      <sz val="11"/>
      <color indexed="23"/>
      <name val="Calibri"/>
      <family val="2"/>
      <charset val="238"/>
    </font>
    <font>
      <sz val="11"/>
      <color indexed="17"/>
      <name val="Calibri"/>
      <family val="2"/>
      <charset val="238"/>
    </font>
    <font>
      <b/>
      <sz val="15"/>
      <color indexed="56"/>
      <name val="Calibri"/>
      <family val="2"/>
      <charset val="238"/>
    </font>
    <font>
      <b/>
      <sz val="13"/>
      <color indexed="56"/>
      <name val="Calibri"/>
      <family val="2"/>
      <charset val="238"/>
    </font>
    <font>
      <b/>
      <sz val="11"/>
      <color indexed="56"/>
      <name val="Calibri"/>
      <family val="2"/>
      <charset val="238"/>
    </font>
    <font>
      <b/>
      <sz val="11"/>
      <color indexed="9"/>
      <name val="Calibri"/>
      <family val="2"/>
      <charset val="238"/>
    </font>
    <font>
      <sz val="11"/>
      <color indexed="62"/>
      <name val="Calibri"/>
      <family val="2"/>
      <charset val="238"/>
    </font>
    <font>
      <sz val="11"/>
      <color indexed="52"/>
      <name val="Calibri"/>
      <family val="2"/>
      <charset val="238"/>
    </font>
    <font>
      <sz val="11"/>
      <color indexed="60"/>
      <name val="Calibri"/>
      <family val="2"/>
      <charset val="238"/>
    </font>
    <font>
      <b/>
      <sz val="11"/>
      <color indexed="63"/>
      <name val="Calibri"/>
      <family val="2"/>
      <charset val="238"/>
    </font>
    <font>
      <b/>
      <sz val="18"/>
      <color indexed="56"/>
      <name val="Cambria"/>
      <family val="2"/>
      <charset val="238"/>
    </font>
    <font>
      <b/>
      <sz val="11"/>
      <color indexed="8"/>
      <name val="Calibri"/>
      <family val="2"/>
      <charset val="238"/>
    </font>
    <font>
      <sz val="11"/>
      <color indexed="10"/>
      <name val="Calibri"/>
      <family val="2"/>
      <charset val="238"/>
    </font>
    <font>
      <u/>
      <sz val="11"/>
      <color theme="10"/>
      <name val="Calibri"/>
      <family val="2"/>
      <scheme val="minor"/>
    </font>
    <font>
      <sz val="12"/>
      <name val="Calibri"/>
      <family val="2"/>
      <scheme val="minor"/>
    </font>
    <font>
      <sz val="11"/>
      <color rgb="FF1F497D"/>
      <name val="Calibri"/>
      <family val="2"/>
      <scheme val="minor"/>
    </font>
    <font>
      <sz val="11"/>
      <name val="Calibri"/>
      <family val="2"/>
      <scheme val="minor"/>
    </font>
    <font>
      <b/>
      <sz val="12"/>
      <name val="Times New Roman"/>
      <family val="1"/>
    </font>
    <font>
      <sz val="12"/>
      <name val="Times New Roman"/>
      <family val="1"/>
    </font>
    <font>
      <u/>
      <sz val="11"/>
      <color rgb="FF000000"/>
      <name val="Times New Roman"/>
      <family val="1"/>
    </font>
    <font>
      <sz val="8"/>
      <color theme="0"/>
      <name val="Arial"/>
      <family val="2"/>
    </font>
    <font>
      <sz val="11"/>
      <color theme="0"/>
      <name val="Calibri"/>
      <family val="2"/>
    </font>
    <font>
      <sz val="12"/>
      <color rgb="FF1F497D"/>
      <name val="Cambria"/>
      <family val="1"/>
    </font>
    <font>
      <sz val="11"/>
      <color rgb="FFFF0000"/>
      <name val="Calibri"/>
      <family val="2"/>
      <scheme val="minor"/>
    </font>
    <font>
      <sz val="12"/>
      <color rgb="FF1F497D"/>
      <name val="Times New Roman"/>
      <family val="1"/>
    </font>
    <font>
      <sz val="12"/>
      <color theme="1"/>
      <name val="Times New Roman"/>
      <family val="1"/>
    </font>
    <font>
      <sz val="11"/>
      <color theme="1"/>
      <name val="Times New Roman"/>
      <family val="1"/>
    </font>
    <font>
      <sz val="8"/>
      <color theme="1"/>
      <name val="Calibri"/>
      <family val="2"/>
      <scheme val="minor"/>
    </font>
    <font>
      <b/>
      <sz val="12"/>
      <color theme="1"/>
      <name val="Times New Roman"/>
      <family val="1"/>
    </font>
    <font>
      <b/>
      <sz val="12"/>
      <color theme="1"/>
      <name val="Calibri"/>
      <family val="2"/>
      <scheme val="minor"/>
    </font>
    <font>
      <b/>
      <sz val="12"/>
      <color rgb="FF1F497D"/>
      <name val="Times New Roman"/>
      <family val="1"/>
    </font>
    <font>
      <b/>
      <sz val="12"/>
      <color rgb="FF000000"/>
      <name val="Times New Roman"/>
      <family val="1"/>
    </font>
    <font>
      <sz val="8"/>
      <name val="Calibri"/>
      <family val="2"/>
      <scheme val="minor"/>
    </font>
    <font>
      <b/>
      <sz val="10"/>
      <color theme="1"/>
      <name val="Arial"/>
      <family val="2"/>
    </font>
    <font>
      <sz val="10"/>
      <color theme="1"/>
      <name val="Arial"/>
      <family val="2"/>
    </font>
    <font>
      <sz val="11"/>
      <color theme="1"/>
      <name val="Calibri"/>
      <family val="2"/>
    </font>
    <font>
      <b/>
      <sz val="10"/>
      <color theme="9" tint="-0.249977111117893"/>
      <name val="Arial"/>
      <family val="2"/>
    </font>
    <font>
      <sz val="10"/>
      <color theme="1"/>
      <name val="Calibri"/>
      <family val="2"/>
      <scheme val="minor"/>
    </font>
    <font>
      <b/>
      <sz val="18"/>
      <color theme="0"/>
      <name val="Cambria"/>
      <family val="1"/>
      <scheme val="major"/>
    </font>
    <font>
      <b/>
      <sz val="22"/>
      <color theme="0"/>
      <name val="Cambria"/>
      <family val="2"/>
      <scheme val="major"/>
    </font>
  </fonts>
  <fills count="42">
    <fill>
      <patternFill patternType="none"/>
    </fill>
    <fill>
      <patternFill patternType="gray125"/>
    </fill>
    <fill>
      <patternFill patternType="solid">
        <fgColor rgb="FFE26B0A"/>
        <bgColor indexed="64"/>
      </patternFill>
    </fill>
    <fill>
      <patternFill patternType="solid">
        <fgColor rgb="FFFFFFFF"/>
        <bgColor indexed="64"/>
      </patternFill>
    </fill>
    <fill>
      <patternFill patternType="solid">
        <fgColor theme="0"/>
        <bgColor indexed="64"/>
      </patternFill>
    </fill>
    <fill>
      <patternFill patternType="solid">
        <fgColor rgb="FFFFC000"/>
        <bgColor indexed="64"/>
      </patternFill>
    </fill>
    <fill>
      <patternFill patternType="solid">
        <fgColor theme="1"/>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theme="4"/>
        <bgColor indexed="64"/>
      </patternFill>
    </fill>
    <fill>
      <patternFill patternType="solid">
        <fgColor theme="5" tint="0.59999389629810485"/>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rgb="FFFFFF00"/>
        <bgColor indexed="64"/>
      </patternFill>
    </fill>
    <fill>
      <patternFill patternType="solid">
        <fgColor rgb="FFFF00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bgColor indexed="64"/>
      </patternFill>
    </fill>
    <fill>
      <patternFill patternType="solid">
        <fgColor theme="2" tint="-0.249977111117893"/>
        <bgColor indexed="64"/>
      </patternFill>
    </fill>
    <fill>
      <patternFill patternType="solid">
        <fgColor theme="2"/>
        <bgColor indexed="64"/>
      </patternFill>
    </fill>
    <fill>
      <patternFill patternType="solid">
        <fgColor theme="0" tint="-0.14999847407452621"/>
        <bgColor indexed="64"/>
      </patternFill>
    </fill>
    <fill>
      <patternFill patternType="solid">
        <fgColor rgb="FF92D05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s>
  <cellStyleXfs count="61">
    <xf numFmtId="0" fontId="0" fillId="0" borderId="0"/>
    <xf numFmtId="9" fontId="13" fillId="0" borderId="0" applyFont="0" applyFill="0" applyBorder="0" applyAlignment="0" applyProtection="0"/>
    <xf numFmtId="0" fontId="23" fillId="0" borderId="0"/>
    <xf numFmtId="0" fontId="26"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18" borderId="0" applyNumberFormat="0" applyBorder="0" applyAlignment="0" applyProtection="0"/>
    <xf numFmtId="0" fontId="26" fillId="21" borderId="0" applyNumberFormat="0" applyBorder="0" applyAlignment="0" applyProtection="0"/>
    <xf numFmtId="0" fontId="26" fillId="24" borderId="0" applyNumberFormat="0" applyBorder="0" applyAlignment="0" applyProtection="0"/>
    <xf numFmtId="0" fontId="27" fillId="25"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27" fillId="31"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7" fillId="32" borderId="0" applyNumberFormat="0" applyBorder="0" applyAlignment="0" applyProtection="0"/>
    <xf numFmtId="0" fontId="28" fillId="16" borderId="0" applyNumberFormat="0" applyBorder="0" applyAlignment="0" applyProtection="0"/>
    <xf numFmtId="0" fontId="29" fillId="33" borderId="9" applyNumberFormat="0" applyAlignment="0" applyProtection="0"/>
    <xf numFmtId="0" fontId="30" fillId="0" borderId="0" applyNumberFormat="0" applyFill="0" applyBorder="0" applyAlignment="0" applyProtection="0"/>
    <xf numFmtId="0" fontId="31" fillId="17" borderId="0" applyNumberFormat="0" applyBorder="0" applyAlignment="0" applyProtection="0"/>
    <xf numFmtId="0" fontId="32" fillId="0" borderId="10" applyNumberFormat="0" applyFill="0" applyAlignment="0" applyProtection="0"/>
    <xf numFmtId="0" fontId="33" fillId="0" borderId="11" applyNumberFormat="0" applyFill="0" applyAlignment="0" applyProtection="0"/>
    <xf numFmtId="0" fontId="34" fillId="0" borderId="12" applyNumberFormat="0" applyFill="0" applyAlignment="0" applyProtection="0"/>
    <xf numFmtId="0" fontId="34" fillId="0" borderId="0" applyNumberFormat="0" applyFill="0" applyBorder="0" applyAlignment="0" applyProtection="0"/>
    <xf numFmtId="0" fontId="35" fillId="34" borderId="13" applyNumberFormat="0" applyAlignment="0" applyProtection="0"/>
    <xf numFmtId="0" fontId="36" fillId="20" borderId="9" applyNumberFormat="0" applyAlignment="0" applyProtection="0"/>
    <xf numFmtId="0" fontId="37" fillId="0" borderId="14" applyNumberFormat="0" applyFill="0" applyAlignment="0" applyProtection="0"/>
    <xf numFmtId="0" fontId="38" fillId="35" borderId="0" applyNumberFormat="0" applyBorder="0" applyAlignment="0" applyProtection="0"/>
    <xf numFmtId="0" fontId="25" fillId="36" borderId="15" applyNumberFormat="0" applyFont="0" applyAlignment="0" applyProtection="0"/>
    <xf numFmtId="0" fontId="39" fillId="33" borderId="16" applyNumberFormat="0" applyAlignment="0" applyProtection="0"/>
    <xf numFmtId="9" fontId="25" fillId="0" borderId="0" applyFont="0" applyFill="0" applyBorder="0" applyAlignment="0" applyProtection="0"/>
    <xf numFmtId="0" fontId="40" fillId="0" borderId="0" applyNumberFormat="0" applyFill="0" applyBorder="0" applyAlignment="0" applyProtection="0"/>
    <xf numFmtId="0" fontId="41" fillId="0" borderId="17" applyNumberFormat="0" applyFill="0" applyAlignment="0" applyProtection="0"/>
    <xf numFmtId="0" fontId="42" fillId="0" borderId="0" applyNumberFormat="0" applyFill="0" applyBorder="0" applyAlignment="0" applyProtection="0"/>
    <xf numFmtId="0" fontId="23" fillId="0" borderId="0"/>
    <xf numFmtId="0" fontId="24" fillId="0" borderId="0"/>
    <xf numFmtId="0" fontId="24" fillId="0" borderId="0"/>
    <xf numFmtId="0" fontId="29" fillId="33" borderId="9" applyNumberFormat="0" applyAlignment="0" applyProtection="0"/>
    <xf numFmtId="0" fontId="36" fillId="20" borderId="9" applyNumberFormat="0" applyAlignment="0" applyProtection="0"/>
    <xf numFmtId="0" fontId="25" fillId="36" borderId="15" applyNumberFormat="0" applyFont="0" applyAlignment="0" applyProtection="0"/>
    <xf numFmtId="0" fontId="39" fillId="33" borderId="16" applyNumberFormat="0" applyAlignment="0" applyProtection="0"/>
    <xf numFmtId="0" fontId="41" fillId="0" borderId="17" applyNumberFormat="0" applyFill="0" applyAlignment="0" applyProtection="0"/>
    <xf numFmtId="0" fontId="43" fillId="0" borderId="0" applyNumberFormat="0" applyFill="0" applyBorder="0" applyAlignment="0" applyProtection="0"/>
    <xf numFmtId="164" fontId="13" fillId="0" borderId="0" applyFont="0" applyFill="0" applyBorder="0" applyAlignment="0" applyProtection="0"/>
    <xf numFmtId="0" fontId="67" fillId="9" borderId="0"/>
    <xf numFmtId="167" fontId="13" fillId="0" borderId="0" applyFont="0" applyFill="0" applyBorder="0" applyAlignment="0" applyProtection="0"/>
    <xf numFmtId="0" fontId="68" fillId="9" borderId="0" applyNumberFormat="0" applyBorder="0" applyAlignment="0" applyProtection="0"/>
    <xf numFmtId="0" fontId="69"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cellStyleXfs>
  <cellXfs count="196">
    <xf numFmtId="0" fontId="0" fillId="0" borderId="0" xfId="0"/>
    <xf numFmtId="0" fontId="1" fillId="0" borderId="0" xfId="0" applyFont="1" applyAlignment="1">
      <alignment horizontal="left"/>
    </xf>
    <xf numFmtId="0" fontId="1" fillId="4" borderId="1" xfId="0" applyFont="1" applyFill="1" applyBorder="1" applyAlignment="1">
      <alignment horizontal="left" vertical="center"/>
    </xf>
    <xf numFmtId="0" fontId="1" fillId="4" borderId="0" xfId="0" applyFont="1" applyFill="1" applyAlignment="1">
      <alignment horizontal="left"/>
    </xf>
    <xf numFmtId="0" fontId="2" fillId="4" borderId="0" xfId="0" applyFont="1" applyFill="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xf>
    <xf numFmtId="22" fontId="2" fillId="0" borderId="1" xfId="0" applyNumberFormat="1" applyFont="1" applyBorder="1" applyAlignment="1">
      <alignment horizontal="left" vertical="center"/>
    </xf>
    <xf numFmtId="0" fontId="1" fillId="0" borderId="1" xfId="0" applyFont="1" applyBorder="1" applyAlignment="1">
      <alignment horizontal="left"/>
    </xf>
    <xf numFmtId="1" fontId="2" fillId="0" borderId="1" xfId="0" applyNumberFormat="1" applyFont="1" applyBorder="1" applyAlignment="1">
      <alignment horizontal="left" vertical="center"/>
    </xf>
    <xf numFmtId="0" fontId="1" fillId="0" borderId="1" xfId="0" applyFont="1" applyBorder="1" applyAlignment="1">
      <alignment horizontal="left" vertical="top" wrapText="1"/>
    </xf>
    <xf numFmtId="0" fontId="2" fillId="4" borderId="1" xfId="0" applyFont="1" applyFill="1" applyBorder="1" applyAlignment="1">
      <alignment horizontal="left" vertical="center"/>
    </xf>
    <xf numFmtId="0" fontId="1" fillId="3" borderId="1" xfId="0" applyFont="1" applyFill="1" applyBorder="1" applyAlignment="1">
      <alignment horizontal="left" vertical="center"/>
    </xf>
    <xf numFmtId="11" fontId="1" fillId="3" borderId="1" xfId="0" applyNumberFormat="1" applyFont="1" applyFill="1" applyBorder="1" applyAlignment="1">
      <alignment horizontal="left" vertical="center"/>
    </xf>
    <xf numFmtId="22" fontId="2" fillId="3" borderId="1" xfId="0" applyNumberFormat="1" applyFont="1" applyFill="1" applyBorder="1" applyAlignment="1">
      <alignment horizontal="left" vertical="center"/>
    </xf>
    <xf numFmtId="1" fontId="2" fillId="3" borderId="1" xfId="0" applyNumberFormat="1" applyFont="1" applyFill="1" applyBorder="1" applyAlignment="1">
      <alignment horizontal="left" vertical="center"/>
    </xf>
    <xf numFmtId="0" fontId="6" fillId="0" borderId="1" xfId="0" applyFont="1" applyBorder="1" applyAlignment="1">
      <alignment horizontal="left"/>
    </xf>
    <xf numFmtId="0" fontId="1" fillId="4" borderId="1" xfId="0" applyFont="1" applyFill="1" applyBorder="1" applyAlignment="1">
      <alignment horizontal="left"/>
    </xf>
    <xf numFmtId="0" fontId="6" fillId="4" borderId="1" xfId="0" applyFont="1" applyFill="1" applyBorder="1" applyAlignment="1">
      <alignment horizontal="left"/>
    </xf>
    <xf numFmtId="22" fontId="6" fillId="0" borderId="1" xfId="0" applyNumberFormat="1" applyFont="1" applyBorder="1" applyAlignment="1">
      <alignment horizontal="left"/>
    </xf>
    <xf numFmtId="22" fontId="1" fillId="0" borderId="1" xfId="0" applyNumberFormat="1" applyFont="1" applyBorder="1" applyAlignment="1">
      <alignment horizontal="left" vertical="center"/>
    </xf>
    <xf numFmtId="11" fontId="1" fillId="0" borderId="1" xfId="0" applyNumberFormat="1" applyFont="1" applyBorder="1" applyAlignment="1">
      <alignment horizontal="left" vertical="center"/>
    </xf>
    <xf numFmtId="22" fontId="6" fillId="4" borderId="1" xfId="0" applyNumberFormat="1" applyFont="1" applyFill="1" applyBorder="1" applyAlignment="1">
      <alignment horizontal="left"/>
    </xf>
    <xf numFmtId="11" fontId="6" fillId="4" borderId="1" xfId="0" applyNumberFormat="1" applyFont="1" applyFill="1" applyBorder="1" applyAlignment="1">
      <alignment horizontal="left"/>
    </xf>
    <xf numFmtId="1" fontId="6" fillId="4" borderId="1" xfId="0" applyNumberFormat="1" applyFont="1" applyFill="1" applyBorder="1" applyAlignment="1">
      <alignment horizontal="left"/>
    </xf>
    <xf numFmtId="1" fontId="6" fillId="0" borderId="1" xfId="0" applyNumberFormat="1" applyFont="1" applyBorder="1" applyAlignment="1">
      <alignment horizontal="left"/>
    </xf>
    <xf numFmtId="1" fontId="1" fillId="3" borderId="1" xfId="0" applyNumberFormat="1" applyFont="1" applyFill="1" applyBorder="1" applyAlignment="1">
      <alignment horizontal="left" vertical="center"/>
    </xf>
    <xf numFmtId="22" fontId="2" fillId="4" borderId="1" xfId="0" applyNumberFormat="1" applyFont="1" applyFill="1" applyBorder="1" applyAlignment="1">
      <alignment horizontal="left" vertical="center"/>
    </xf>
    <xf numFmtId="0" fontId="6" fillId="4" borderId="1" xfId="0" applyFont="1" applyFill="1" applyBorder="1" applyAlignment="1">
      <alignment horizontal="left" vertical="center"/>
    </xf>
    <xf numFmtId="22" fontId="1" fillId="3" borderId="1" xfId="0" applyNumberFormat="1" applyFont="1" applyFill="1" applyBorder="1" applyAlignment="1">
      <alignment horizontal="left" vertical="center"/>
    </xf>
    <xf numFmtId="0" fontId="3" fillId="2" borderId="3" xfId="0" applyFont="1" applyFill="1" applyBorder="1" applyAlignment="1">
      <alignment horizontal="left"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10" fillId="0" borderId="1" xfId="0" applyFont="1" applyBorder="1" applyAlignment="1">
      <alignment horizontal="left" vertical="center"/>
    </xf>
    <xf numFmtId="0" fontId="11" fillId="3" borderId="1" xfId="0" applyFont="1" applyFill="1" applyBorder="1" applyAlignment="1">
      <alignment horizontal="left" vertical="center"/>
    </xf>
    <xf numFmtId="0" fontId="11" fillId="0" borderId="1" xfId="0" applyFont="1" applyBorder="1" applyAlignment="1">
      <alignment horizontal="left" vertical="center"/>
    </xf>
    <xf numFmtId="0" fontId="4" fillId="3" borderId="1" xfId="0" applyFont="1" applyFill="1" applyBorder="1" applyAlignment="1">
      <alignment horizontal="left" vertical="center"/>
    </xf>
    <xf numFmtId="1" fontId="1" fillId="4" borderId="1" xfId="0" applyNumberFormat="1" applyFont="1" applyFill="1" applyBorder="1" applyAlignment="1">
      <alignment horizontal="center" vertical="center"/>
    </xf>
    <xf numFmtId="1" fontId="1" fillId="3" borderId="1" xfId="0" applyNumberFormat="1" applyFont="1" applyFill="1" applyBorder="1" applyAlignment="1">
      <alignment horizontal="center" vertical="center"/>
    </xf>
    <xf numFmtId="0" fontId="1" fillId="0" borderId="0" xfId="0" applyFont="1" applyAlignment="1">
      <alignment horizontal="center"/>
    </xf>
    <xf numFmtId="0" fontId="1" fillId="0" borderId="1" xfId="0" applyFont="1" applyBorder="1"/>
    <xf numFmtId="0" fontId="0" fillId="0" borderId="1" xfId="0" applyBorder="1"/>
    <xf numFmtId="0" fontId="16" fillId="6" borderId="1" xfId="0" applyFont="1" applyFill="1" applyBorder="1" applyAlignment="1">
      <alignment horizontal="left"/>
    </xf>
    <xf numFmtId="0" fontId="15" fillId="0" borderId="0" xfId="0" applyFont="1" applyAlignment="1">
      <alignment horizontal="left"/>
    </xf>
    <xf numFmtId="0" fontId="16" fillId="6" borderId="0" xfId="0" applyFont="1" applyFill="1"/>
    <xf numFmtId="0" fontId="16" fillId="6" borderId="4" xfId="0" applyFont="1" applyFill="1" applyBorder="1" applyAlignment="1">
      <alignment horizontal="left"/>
    </xf>
    <xf numFmtId="0" fontId="16" fillId="0" borderId="0" xfId="0" applyFont="1" applyAlignment="1">
      <alignment horizontal="left"/>
    </xf>
    <xf numFmtId="0" fontId="1" fillId="7" borderId="1" xfId="0" applyFont="1" applyFill="1" applyBorder="1" applyAlignment="1">
      <alignment horizontal="left"/>
    </xf>
    <xf numFmtId="0" fontId="1" fillId="7" borderId="5" xfId="0" applyFont="1" applyFill="1" applyBorder="1" applyAlignment="1">
      <alignment horizontal="left"/>
    </xf>
    <xf numFmtId="0" fontId="1" fillId="8" borderId="1" xfId="0" applyFont="1" applyFill="1" applyBorder="1" applyAlignment="1">
      <alignment horizontal="left"/>
    </xf>
    <xf numFmtId="0" fontId="1" fillId="9" borderId="1" xfId="0" applyFont="1" applyFill="1" applyBorder="1"/>
    <xf numFmtId="0" fontId="1" fillId="10" borderId="1" xfId="0" applyFont="1" applyFill="1" applyBorder="1"/>
    <xf numFmtId="9" fontId="1" fillId="0" borderId="0" xfId="1" applyFont="1" applyBorder="1" applyAlignment="1">
      <alignment horizontal="left"/>
    </xf>
    <xf numFmtId="9" fontId="1" fillId="0" borderId="0" xfId="1" applyFont="1" applyFill="1" applyBorder="1" applyAlignment="1">
      <alignment horizontal="left"/>
    </xf>
    <xf numFmtId="0" fontId="1" fillId="0" borderId="0" xfId="0" applyFont="1"/>
    <xf numFmtId="0" fontId="16" fillId="6" borderId="0" xfId="0" applyFont="1" applyFill="1" applyAlignment="1">
      <alignment horizontal="left"/>
    </xf>
    <xf numFmtId="0" fontId="16" fillId="6" borderId="1" xfId="0" applyFont="1" applyFill="1" applyBorder="1"/>
    <xf numFmtId="0" fontId="16" fillId="0" borderId="0" xfId="0" applyFont="1"/>
    <xf numFmtId="0" fontId="1" fillId="11" borderId="1" xfId="0" applyFont="1" applyFill="1" applyBorder="1" applyAlignment="1">
      <alignment horizontal="left"/>
    </xf>
    <xf numFmtId="0" fontId="1" fillId="12" borderId="1" xfId="0" applyFont="1" applyFill="1" applyBorder="1"/>
    <xf numFmtId="0" fontId="1" fillId="0" borderId="6" xfId="0" applyFont="1" applyBorder="1"/>
    <xf numFmtId="0" fontId="15" fillId="6" borderId="7" xfId="0" applyFont="1" applyFill="1" applyBorder="1"/>
    <xf numFmtId="0" fontId="15" fillId="6" borderId="8" xfId="0" applyFont="1" applyFill="1" applyBorder="1"/>
    <xf numFmtId="0" fontId="1" fillId="0" borderId="1" xfId="0" applyFont="1" applyBorder="1" applyAlignment="1">
      <alignment horizontal="left" vertical="top"/>
    </xf>
    <xf numFmtId="0" fontId="2" fillId="0" borderId="1" xfId="0" applyFont="1" applyBorder="1"/>
    <xf numFmtId="22" fontId="2" fillId="13" borderId="1" xfId="0" applyNumberFormat="1" applyFont="1" applyFill="1" applyBorder="1" applyAlignment="1">
      <alignment horizontal="left" vertical="center"/>
    </xf>
    <xf numFmtId="0" fontId="14" fillId="0" borderId="0" xfId="0" applyFont="1"/>
    <xf numFmtId="9" fontId="1" fillId="0" borderId="2" xfId="1" applyFont="1" applyFill="1" applyBorder="1" applyAlignment="1">
      <alignment horizontal="center" vertical="center"/>
    </xf>
    <xf numFmtId="0" fontId="1" fillId="0" borderId="1" xfId="0" applyFont="1" applyBorder="1"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2" fontId="2" fillId="13" borderId="1" xfId="0" applyNumberFormat="1" applyFont="1" applyFill="1" applyBorder="1" applyAlignment="1">
      <alignment horizontal="center" vertical="center"/>
    </xf>
    <xf numFmtId="2" fontId="2" fillId="13" borderId="1" xfId="0" applyNumberFormat="1" applyFont="1" applyFill="1" applyBorder="1" applyAlignment="1">
      <alignment horizontal="left"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22" fontId="2" fillId="3" borderId="1" xfId="0" applyNumberFormat="1" applyFont="1" applyFill="1" applyBorder="1" applyAlignment="1">
      <alignment horizontal="center" vertical="center"/>
    </xf>
    <xf numFmtId="1" fontId="2" fillId="3" borderId="1" xfId="0" applyNumberFormat="1" applyFont="1" applyFill="1" applyBorder="1" applyAlignment="1">
      <alignment horizontal="center" vertical="center" wrapText="1"/>
    </xf>
    <xf numFmtId="9" fontId="1" fillId="0" borderId="0" xfId="1" applyFont="1" applyFill="1" applyBorder="1" applyAlignment="1">
      <alignment horizontal="center"/>
    </xf>
    <xf numFmtId="9" fontId="1" fillId="0" borderId="0" xfId="1" applyFont="1" applyBorder="1" applyAlignment="1">
      <alignment horizontal="center"/>
    </xf>
    <xf numFmtId="9" fontId="1" fillId="0" borderId="0" xfId="1" applyFont="1" applyFill="1" applyBorder="1" applyAlignment="1">
      <alignment horizontal="center" vertical="center"/>
    </xf>
    <xf numFmtId="0" fontId="1" fillId="0" borderId="0" xfId="0" applyFont="1" applyAlignment="1">
      <alignment horizontal="center" vertical="center"/>
    </xf>
    <xf numFmtId="0" fontId="6" fillId="0" borderId="1" xfId="0" applyFont="1" applyBorder="1" applyAlignment="1">
      <alignment horizontal="center" vertical="center"/>
    </xf>
    <xf numFmtId="0" fontId="10" fillId="0" borderId="1" xfId="0" applyFont="1" applyBorder="1" applyAlignment="1">
      <alignment horizontal="center"/>
    </xf>
    <xf numFmtId="0" fontId="12" fillId="0" borderId="1" xfId="0" applyFont="1" applyBorder="1" applyAlignment="1">
      <alignment horizontal="center"/>
    </xf>
    <xf numFmtId="0" fontId="0" fillId="0" borderId="1" xfId="0" applyBorder="1" applyAlignment="1">
      <alignment horizontal="center" vertical="center"/>
    </xf>
    <xf numFmtId="0" fontId="4"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10" fillId="0" borderId="1" xfId="0" applyFont="1" applyBorder="1" applyAlignment="1">
      <alignment horizontal="center" vertical="center"/>
    </xf>
    <xf numFmtId="9" fontId="1" fillId="14" borderId="1" xfId="1" applyFont="1" applyFill="1" applyBorder="1" applyAlignment="1">
      <alignment horizontal="center" vertical="center"/>
    </xf>
    <xf numFmtId="0" fontId="43" fillId="0" borderId="0" xfId="53"/>
    <xf numFmtId="0" fontId="6" fillId="0" borderId="1" xfId="0" applyFont="1" applyBorder="1" applyAlignment="1">
      <alignment horizontal="left" vertical="center"/>
    </xf>
    <xf numFmtId="0" fontId="46" fillId="0" borderId="0" xfId="0" applyFont="1"/>
    <xf numFmtId="0" fontId="2" fillId="0" borderId="1" xfId="0" applyFont="1" applyBorder="1" applyAlignment="1">
      <alignment vertical="center"/>
    </xf>
    <xf numFmtId="11" fontId="2" fillId="0" borderId="1" xfId="0" applyNumberFormat="1" applyFont="1" applyBorder="1" applyAlignment="1">
      <alignment horizontal="center" vertical="center"/>
    </xf>
    <xf numFmtId="22"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wrapText="1"/>
    </xf>
    <xf numFmtId="11" fontId="2" fillId="0" borderId="1" xfId="0" applyNumberFormat="1" applyFont="1" applyBorder="1" applyAlignment="1">
      <alignment horizontal="left" vertical="center"/>
    </xf>
    <xf numFmtId="0" fontId="1" fillId="13" borderId="1" xfId="0" applyFont="1" applyFill="1" applyBorder="1" applyAlignment="1">
      <alignment horizontal="left" vertical="center"/>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20" fillId="0" borderId="1" xfId="0" applyFont="1" applyBorder="1" applyAlignment="1">
      <alignment horizontal="center" vertical="center"/>
    </xf>
    <xf numFmtId="0" fontId="2" fillId="3" borderId="1" xfId="0" applyFont="1" applyFill="1" applyBorder="1" applyAlignment="1">
      <alignment vertical="center" wrapText="1"/>
    </xf>
    <xf numFmtId="0" fontId="20" fillId="0" borderId="1" xfId="0" applyFont="1" applyBorder="1" applyAlignment="1">
      <alignment vertical="center"/>
    </xf>
    <xf numFmtId="1" fontId="20" fillId="0" borderId="1" xfId="0" applyNumberFormat="1" applyFont="1" applyBorder="1" applyAlignment="1">
      <alignment horizontal="center" vertical="center"/>
    </xf>
    <xf numFmtId="0" fontId="0" fillId="0" borderId="1" xfId="0" applyBorder="1" applyAlignment="1">
      <alignment horizontal="center"/>
    </xf>
    <xf numFmtId="0" fontId="2" fillId="0" borderId="0" xfId="0" applyFont="1" applyAlignment="1">
      <alignment horizontal="center" vertical="center"/>
    </xf>
    <xf numFmtId="0" fontId="2" fillId="0" borderId="0" xfId="0" applyFont="1" applyAlignment="1">
      <alignment vertical="center"/>
    </xf>
    <xf numFmtId="22" fontId="2" fillId="3" borderId="0" xfId="0" applyNumberFormat="1" applyFont="1" applyFill="1" applyAlignment="1">
      <alignment horizontal="center" vertical="center"/>
    </xf>
    <xf numFmtId="0" fontId="20" fillId="0" borderId="0" xfId="0" applyFont="1" applyAlignment="1">
      <alignment horizontal="center" vertical="center"/>
    </xf>
    <xf numFmtId="0" fontId="2" fillId="3" borderId="0" xfId="0" applyFont="1" applyFill="1" applyAlignment="1">
      <alignment vertical="center" wrapText="1"/>
    </xf>
    <xf numFmtId="0" fontId="20" fillId="0" borderId="0" xfId="0" applyFont="1" applyAlignment="1">
      <alignment vertical="center"/>
    </xf>
    <xf numFmtId="1" fontId="20" fillId="0" borderId="0" xfId="0" applyNumberFormat="1" applyFont="1" applyAlignment="1">
      <alignment horizontal="center" vertical="center"/>
    </xf>
    <xf numFmtId="0" fontId="0" fillId="0" borderId="0" xfId="0" applyAlignment="1">
      <alignment horizontal="center"/>
    </xf>
    <xf numFmtId="22" fontId="1" fillId="3" borderId="1" xfId="0" applyNumberFormat="1" applyFont="1" applyFill="1" applyBorder="1" applyAlignment="1">
      <alignment horizontal="center" vertical="center"/>
    </xf>
    <xf numFmtId="0" fontId="50" fillId="0" borderId="0" xfId="0" applyFont="1" applyAlignment="1">
      <alignment vertical="center"/>
    </xf>
    <xf numFmtId="22" fontId="50" fillId="3" borderId="0" xfId="0" applyNumberFormat="1" applyFont="1" applyFill="1" applyAlignment="1">
      <alignment horizontal="center" vertical="center"/>
    </xf>
    <xf numFmtId="0" fontId="51" fillId="0" borderId="0" xfId="0" applyFont="1" applyAlignment="1">
      <alignment horizontal="center" vertical="center"/>
    </xf>
    <xf numFmtId="0" fontId="50" fillId="3" borderId="0" xfId="0" applyFont="1" applyFill="1" applyAlignment="1">
      <alignment vertical="center" wrapText="1"/>
    </xf>
    <xf numFmtId="0" fontId="50" fillId="0" borderId="0" xfId="0" applyFont="1" applyAlignment="1">
      <alignment horizontal="center" vertical="center"/>
    </xf>
    <xf numFmtId="0" fontId="51" fillId="0" borderId="0" xfId="0" applyFont="1" applyAlignment="1">
      <alignment vertical="center"/>
    </xf>
    <xf numFmtId="0" fontId="53" fillId="0" borderId="0" xfId="0" applyFont="1"/>
    <xf numFmtId="9" fontId="0" fillId="0" borderId="0" xfId="1" applyFont="1"/>
    <xf numFmtId="0" fontId="2" fillId="13" borderId="1" xfId="0" applyFont="1" applyFill="1" applyBorder="1" applyAlignment="1">
      <alignment horizontal="center" vertical="center"/>
    </xf>
    <xf numFmtId="0" fontId="2" fillId="0" borderId="18" xfId="0" applyFont="1" applyBorder="1" applyAlignment="1">
      <alignment horizontal="center" vertical="center"/>
    </xf>
    <xf numFmtId="1" fontId="2" fillId="3" borderId="0" xfId="0" applyNumberFormat="1" applyFont="1" applyFill="1" applyAlignment="1">
      <alignment horizontal="center" vertical="center" wrapText="1"/>
    </xf>
    <xf numFmtId="0" fontId="2" fillId="4" borderId="1" xfId="0" applyFont="1" applyFill="1" applyBorder="1" applyAlignment="1">
      <alignment horizontal="center" vertical="center"/>
    </xf>
    <xf numFmtId="22" fontId="2" fillId="4" borderId="1" xfId="0" applyNumberFormat="1" applyFont="1" applyFill="1" applyBorder="1" applyAlignment="1">
      <alignment horizontal="center" vertical="center"/>
    </xf>
    <xf numFmtId="1" fontId="2" fillId="4" borderId="1" xfId="0" applyNumberFormat="1" applyFont="1" applyFill="1" applyBorder="1" applyAlignment="1">
      <alignment horizontal="center" vertical="center" wrapText="1"/>
    </xf>
    <xf numFmtId="0" fontId="2" fillId="4" borderId="1" xfId="0" applyFont="1" applyFill="1" applyBorder="1" applyAlignment="1">
      <alignment vertical="center"/>
    </xf>
    <xf numFmtId="0" fontId="1" fillId="4" borderId="1" xfId="0" applyFont="1" applyFill="1" applyBorder="1" applyAlignment="1">
      <alignment horizontal="center" vertical="center"/>
    </xf>
    <xf numFmtId="0" fontId="14" fillId="4" borderId="0" xfId="0" applyFont="1" applyFill="1"/>
    <xf numFmtId="0" fontId="2" fillId="0" borderId="1" xfId="0" applyFont="1" applyBorder="1" applyAlignment="1">
      <alignment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5" xfId="0" applyFont="1" applyBorder="1" applyAlignment="1">
      <alignment horizontal="center" vertical="center"/>
    </xf>
    <xf numFmtId="0" fontId="2" fillId="0" borderId="5" xfId="0" applyFont="1" applyBorder="1" applyAlignment="1">
      <alignment horizontal="left" vertical="center"/>
    </xf>
    <xf numFmtId="22" fontId="2" fillId="3" borderId="5" xfId="0" applyNumberFormat="1" applyFont="1" applyFill="1" applyBorder="1" applyAlignment="1">
      <alignment horizontal="center" vertical="center"/>
    </xf>
    <xf numFmtId="1" fontId="2" fillId="3" borderId="5" xfId="0" applyNumberFormat="1" applyFont="1" applyFill="1" applyBorder="1" applyAlignment="1">
      <alignment horizontal="center" vertical="center" wrapText="1"/>
    </xf>
    <xf numFmtId="0" fontId="2" fillId="0" borderId="5" xfId="0" applyFont="1" applyBorder="1" applyAlignment="1">
      <alignment vertical="center"/>
    </xf>
    <xf numFmtId="0" fontId="2" fillId="13" borderId="1" xfId="0" applyFont="1" applyFill="1" applyBorder="1" applyAlignment="1">
      <alignment vertical="center"/>
    </xf>
    <xf numFmtId="0" fontId="2" fillId="13" borderId="1" xfId="0" applyFont="1" applyFill="1" applyBorder="1" applyAlignment="1">
      <alignment horizontal="left" vertical="center"/>
    </xf>
    <xf numFmtId="22" fontId="2" fillId="3" borderId="1" xfId="0" applyNumberFormat="1" applyFont="1" applyFill="1" applyBorder="1" applyAlignment="1">
      <alignment vertical="center"/>
    </xf>
    <xf numFmtId="0" fontId="2" fillId="14" borderId="1" xfId="0" applyFont="1" applyFill="1" applyBorder="1" applyAlignment="1">
      <alignment horizontal="center" vertical="center"/>
    </xf>
    <xf numFmtId="0" fontId="2" fillId="5" borderId="1" xfId="0" applyFont="1" applyFill="1" applyBorder="1" applyAlignment="1">
      <alignment horizontal="center" vertical="center"/>
    </xf>
    <xf numFmtId="165" fontId="2" fillId="0" borderId="1" xfId="0" applyNumberFormat="1" applyFont="1" applyBorder="1" applyAlignment="1">
      <alignment horizontal="center" vertical="center"/>
    </xf>
    <xf numFmtId="22" fontId="2" fillId="0" borderId="5" xfId="0" applyNumberFormat="1" applyFont="1" applyBorder="1" applyAlignment="1">
      <alignment horizontal="center" vertical="center"/>
    </xf>
    <xf numFmtId="0" fontId="2" fillId="4" borderId="1" xfId="0" applyFont="1" applyFill="1" applyBorder="1" applyAlignment="1">
      <alignment horizontal="left" vertical="center" wrapText="1"/>
    </xf>
    <xf numFmtId="0" fontId="3" fillId="2" borderId="18" xfId="0" applyFont="1" applyFill="1" applyBorder="1" applyAlignment="1">
      <alignment horizontal="center" vertical="center"/>
    </xf>
    <xf numFmtId="0" fontId="3" fillId="2" borderId="5" xfId="0" applyFont="1" applyFill="1" applyBorder="1" applyAlignment="1">
      <alignment horizontal="left" vertical="center"/>
    </xf>
    <xf numFmtId="1" fontId="0" fillId="0" borderId="0" xfId="0" applyNumberFormat="1"/>
    <xf numFmtId="0" fontId="63" fillId="38" borderId="0" xfId="0" applyFont="1" applyFill="1" applyAlignment="1">
      <alignment horizontal="center" vertical="center"/>
    </xf>
    <xf numFmtId="0" fontId="64" fillId="0" borderId="1" xfId="0" applyFont="1" applyBorder="1" applyAlignment="1">
      <alignment horizontal="center" vertical="center"/>
    </xf>
    <xf numFmtId="0" fontId="64" fillId="0" borderId="1" xfId="0" applyFont="1" applyBorder="1" applyAlignment="1">
      <alignment horizontal="left" vertical="center"/>
    </xf>
    <xf numFmtId="0" fontId="65" fillId="0" borderId="0" xfId="0" applyFont="1"/>
    <xf numFmtId="0" fontId="2" fillId="0" borderId="5" xfId="0" applyFont="1" applyBorder="1" applyAlignment="1">
      <alignment vertical="center" wrapText="1"/>
    </xf>
    <xf numFmtId="0" fontId="64" fillId="0" borderId="0" xfId="0" applyFont="1"/>
    <xf numFmtId="0" fontId="64" fillId="0" borderId="1" xfId="0" applyFont="1" applyBorder="1"/>
    <xf numFmtId="0" fontId="64" fillId="39" borderId="1" xfId="0" applyFont="1" applyFill="1" applyBorder="1"/>
    <xf numFmtId="0" fontId="66" fillId="6" borderId="1" xfId="0" applyFont="1" applyFill="1" applyBorder="1"/>
    <xf numFmtId="0" fontId="66" fillId="6" borderId="1" xfId="0" applyFont="1" applyFill="1" applyBorder="1" applyAlignment="1">
      <alignment horizontal="center" vertical="center"/>
    </xf>
    <xf numFmtId="0" fontId="64" fillId="40" borderId="1" xfId="0" applyFont="1" applyFill="1" applyBorder="1" applyAlignment="1">
      <alignment horizontal="center" vertical="center"/>
    </xf>
    <xf numFmtId="9" fontId="64" fillId="0" borderId="1" xfId="1" applyFont="1" applyBorder="1" applyAlignment="1">
      <alignment horizontal="center" vertical="center"/>
    </xf>
    <xf numFmtId="0" fontId="10" fillId="0" borderId="1" xfId="0" applyFont="1" applyBorder="1" applyAlignment="1">
      <alignment vertical="center"/>
    </xf>
    <xf numFmtId="0" fontId="10" fillId="0" borderId="1" xfId="0" applyFont="1" applyBorder="1"/>
    <xf numFmtId="0" fontId="14" fillId="0" borderId="0" xfId="0" applyFont="1" applyAlignment="1">
      <alignment horizontal="center"/>
    </xf>
    <xf numFmtId="22" fontId="1" fillId="0" borderId="1" xfId="0" applyNumberFormat="1" applyFont="1" applyBorder="1" applyAlignment="1">
      <alignment horizontal="center" vertical="center"/>
    </xf>
    <xf numFmtId="11" fontId="2" fillId="0" borderId="1" xfId="0" applyNumberFormat="1" applyFont="1" applyBorder="1" applyAlignment="1">
      <alignment horizontal="left" vertical="center" wrapText="1"/>
    </xf>
    <xf numFmtId="11" fontId="2" fillId="0" borderId="1" xfId="0" applyNumberFormat="1" applyFont="1" applyBorder="1" applyAlignment="1">
      <alignment horizontal="center" vertical="center" wrapText="1"/>
    </xf>
    <xf numFmtId="9" fontId="53" fillId="0" borderId="0" xfId="1" applyFont="1"/>
    <xf numFmtId="11" fontId="2" fillId="13" borderId="1" xfId="0" applyNumberFormat="1" applyFont="1" applyFill="1" applyBorder="1" applyAlignment="1">
      <alignment horizontal="center" vertical="center"/>
    </xf>
    <xf numFmtId="11" fontId="2" fillId="41" borderId="1" xfId="0" applyNumberFormat="1" applyFont="1" applyFill="1" applyBorder="1" applyAlignment="1">
      <alignment horizontal="center" vertical="center"/>
    </xf>
    <xf numFmtId="22" fontId="1" fillId="0" borderId="1" xfId="0" applyNumberFormat="1" applyFont="1" applyBorder="1" applyAlignment="1">
      <alignment horizontal="center" vertical="center" wrapText="1"/>
    </xf>
    <xf numFmtId="0" fontId="0" fillId="0" borderId="0" xfId="0" applyAlignment="1">
      <alignment wrapText="1"/>
    </xf>
    <xf numFmtId="22" fontId="1" fillId="5"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2" fillId="13" borderId="1" xfId="0" applyFont="1" applyFill="1" applyBorder="1" applyAlignment="1">
      <alignment horizontal="left" vertical="center" wrapText="1"/>
    </xf>
    <xf numFmtId="22" fontId="2" fillId="13" borderId="1" xfId="0" applyNumberFormat="1" applyFont="1" applyFill="1" applyBorder="1" applyAlignment="1">
      <alignment horizontal="center" vertical="center"/>
    </xf>
    <xf numFmtId="9" fontId="46" fillId="0" borderId="0" xfId="1" applyFont="1"/>
    <xf numFmtId="10" fontId="0" fillId="0" borderId="0" xfId="1" applyNumberFormat="1" applyFont="1"/>
    <xf numFmtId="11" fontId="2" fillId="13" borderId="1" xfId="0" applyNumberFormat="1" applyFont="1" applyFill="1" applyBorder="1" applyAlignment="1">
      <alignment horizontal="left" vertical="center"/>
    </xf>
    <xf numFmtId="0" fontId="1" fillId="13" borderId="1" xfId="0" applyFont="1" applyFill="1" applyBorder="1" applyAlignment="1">
      <alignment horizontal="center" vertical="center"/>
    </xf>
    <xf numFmtId="0" fontId="2" fillId="0" borderId="5" xfId="0" applyFont="1" applyBorder="1" applyAlignment="1">
      <alignment horizontal="left" vertical="center" wrapText="1"/>
    </xf>
    <xf numFmtId="0" fontId="0" fillId="0" borderId="0" xfId="0" applyAlignment="1">
      <alignment horizontal="center" vertical="center"/>
    </xf>
    <xf numFmtId="0" fontId="63" fillId="37" borderId="1" xfId="0" applyFont="1" applyFill="1" applyBorder="1" applyAlignment="1">
      <alignment horizontal="left" vertical="center"/>
    </xf>
    <xf numFmtId="9" fontId="64" fillId="0" borderId="1" xfId="0" applyNumberFormat="1" applyFont="1" applyBorder="1" applyAlignment="1">
      <alignment horizontal="center" vertical="center"/>
    </xf>
    <xf numFmtId="0" fontId="64" fillId="0" borderId="1" xfId="0" applyFont="1" applyBorder="1" applyAlignment="1">
      <alignment horizontal="center" vertical="center"/>
    </xf>
    <xf numFmtId="0" fontId="63" fillId="37" borderId="0" xfId="0" applyFont="1" applyFill="1" applyAlignment="1">
      <alignment horizontal="center"/>
    </xf>
  </cellXfs>
  <cellStyles count="61">
    <cellStyle name="20 % - Accent1 2" xfId="3" xr:uid="{00000000-0005-0000-0000-000000000000}"/>
    <cellStyle name="20 % - Accent2 2" xfId="4" xr:uid="{00000000-0005-0000-0000-000001000000}"/>
    <cellStyle name="20 % - Accent3 2" xfId="5" xr:uid="{00000000-0005-0000-0000-000002000000}"/>
    <cellStyle name="20 % - Accent4 2" xfId="6" xr:uid="{00000000-0005-0000-0000-000003000000}"/>
    <cellStyle name="20 % - Accent5 2" xfId="7" xr:uid="{00000000-0005-0000-0000-000004000000}"/>
    <cellStyle name="20 % - Accent6 2" xfId="8" xr:uid="{00000000-0005-0000-0000-000005000000}"/>
    <cellStyle name="40 % - Accent1 2" xfId="9" xr:uid="{00000000-0005-0000-0000-000006000000}"/>
    <cellStyle name="40 % - Accent2 2" xfId="10" xr:uid="{00000000-0005-0000-0000-000007000000}"/>
    <cellStyle name="40 % - Accent3 2" xfId="11" xr:uid="{00000000-0005-0000-0000-000008000000}"/>
    <cellStyle name="40 % - Accent4 2" xfId="12" xr:uid="{00000000-0005-0000-0000-000009000000}"/>
    <cellStyle name="40 % - Accent5 2" xfId="13" xr:uid="{00000000-0005-0000-0000-00000A000000}"/>
    <cellStyle name="40 % - Accent6 2" xfId="14" xr:uid="{00000000-0005-0000-0000-00000B000000}"/>
    <cellStyle name="60 % - Accent1 2" xfId="15" xr:uid="{00000000-0005-0000-0000-00000C000000}"/>
    <cellStyle name="60 % - Accent2 2" xfId="16" xr:uid="{00000000-0005-0000-0000-00000D000000}"/>
    <cellStyle name="60 % - Accent3 2" xfId="17" xr:uid="{00000000-0005-0000-0000-00000E000000}"/>
    <cellStyle name="60 % - Accent4 2" xfId="18" xr:uid="{00000000-0005-0000-0000-00000F000000}"/>
    <cellStyle name="60 % - Accent5 2" xfId="19" xr:uid="{00000000-0005-0000-0000-000010000000}"/>
    <cellStyle name="60 %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Avertissement 2" xfId="44" xr:uid="{00000000-0005-0000-0000-000018000000}"/>
    <cellStyle name="Calcul 2" xfId="28" xr:uid="{00000000-0005-0000-0000-000019000000}"/>
    <cellStyle name="Calcul 2 2" xfId="48" xr:uid="{00000000-0005-0000-0000-00001A000000}"/>
    <cellStyle name="Cellule liée 2" xfId="37" xr:uid="{00000000-0005-0000-0000-00001B000000}"/>
    <cellStyle name="Commentaire 2" xfId="39" xr:uid="{00000000-0005-0000-0000-00001C000000}"/>
    <cellStyle name="Commentaire 2 2" xfId="50" xr:uid="{00000000-0005-0000-0000-00001D000000}"/>
    <cellStyle name="Entrée 2" xfId="36" xr:uid="{00000000-0005-0000-0000-00001E000000}"/>
    <cellStyle name="Entrée 2 2" xfId="49" xr:uid="{00000000-0005-0000-0000-00001F000000}"/>
    <cellStyle name="Insatisfaisant 2" xfId="27" xr:uid="{00000000-0005-0000-0000-000020000000}"/>
    <cellStyle name="Lien hypertexte" xfId="53" builtinId="8"/>
    <cellStyle name="Milliers 2" xfId="54" xr:uid="{00000000-0005-0000-0000-000023000000}"/>
    <cellStyle name="Milliers 3" xfId="59" xr:uid="{7925B862-E8E4-4615-9F44-078C346B77C5}"/>
    <cellStyle name="Milliers 3 2" xfId="60" xr:uid="{6840F76A-54CF-4DF2-B659-7FEBA94E9E46}"/>
    <cellStyle name="Monétaire 2" xfId="56" xr:uid="{28E074CF-C76C-4F98-91B4-1BBC9C9CF7E8}"/>
    <cellStyle name="Neutre 2" xfId="38" xr:uid="{00000000-0005-0000-0000-000024000000}"/>
    <cellStyle name="Normal" xfId="0" builtinId="0"/>
    <cellStyle name="Normal 2" xfId="45" xr:uid="{00000000-0005-0000-0000-000026000000}"/>
    <cellStyle name="Normal 3" xfId="46" xr:uid="{00000000-0005-0000-0000-000027000000}"/>
    <cellStyle name="Normal 4" xfId="47" xr:uid="{00000000-0005-0000-0000-000028000000}"/>
    <cellStyle name="Normal 5" xfId="2" xr:uid="{00000000-0005-0000-0000-000029000000}"/>
    <cellStyle name="Normal 6" xfId="55" xr:uid="{D0F1E99B-A77A-4098-B0D0-F47090ACCF69}"/>
    <cellStyle name="Pourcentage" xfId="1" builtinId="5"/>
    <cellStyle name="Pourcentage 2" xfId="41" xr:uid="{00000000-0005-0000-0000-00002B000000}"/>
    <cellStyle name="Satisfaisant 2" xfId="30" xr:uid="{00000000-0005-0000-0000-00002C000000}"/>
    <cellStyle name="Sortie 2" xfId="40" xr:uid="{00000000-0005-0000-0000-00002D000000}"/>
    <cellStyle name="Sortie 2 2" xfId="51" xr:uid="{00000000-0005-0000-0000-00002E000000}"/>
    <cellStyle name="Texte explicatif 2" xfId="29" xr:uid="{00000000-0005-0000-0000-00002F000000}"/>
    <cellStyle name="Titre 2" xfId="42" xr:uid="{00000000-0005-0000-0000-000030000000}"/>
    <cellStyle name="Titre 3" xfId="58" xr:uid="{52B9C2F7-5FDF-402B-91E4-FB8FE150E226}"/>
    <cellStyle name="Titre 1 2" xfId="31" xr:uid="{00000000-0005-0000-0000-000031000000}"/>
    <cellStyle name="Titre 1 3" xfId="57" xr:uid="{A6692FC6-1BDD-4728-8D31-6E88A3DA6843}"/>
    <cellStyle name="Titre 2 2" xfId="32" xr:uid="{00000000-0005-0000-0000-000032000000}"/>
    <cellStyle name="Titre 3 2" xfId="33" xr:uid="{00000000-0005-0000-0000-000033000000}"/>
    <cellStyle name="Titre 4 2" xfId="34" xr:uid="{00000000-0005-0000-0000-000034000000}"/>
    <cellStyle name="Total 2" xfId="43" xr:uid="{00000000-0005-0000-0000-000035000000}"/>
    <cellStyle name="Total 2 2" xfId="52" xr:uid="{00000000-0005-0000-0000-000036000000}"/>
    <cellStyle name="Vérification 2" xfId="35" xr:uid="{00000000-0005-0000-0000-000037000000}"/>
  </cellStyles>
  <dxfs count="115">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4"/>
        </patternFill>
      </fill>
    </dxf>
    <dxf>
      <fill>
        <patternFill>
          <bgColor theme="4" tint="-0.24994659260841701"/>
        </patternFill>
      </fill>
    </dxf>
    <dxf>
      <fill>
        <patternFill>
          <bgColor theme="4"/>
        </patternFill>
      </fill>
      <border diagonalUp="0" diagonalDown="0">
        <left/>
        <right/>
        <top style="thick">
          <color theme="0"/>
        </top>
        <bottom/>
        <vertical/>
        <horizontal/>
      </border>
    </dxf>
    <dxf>
      <font>
        <color theme="4" tint="-0.499984740745262"/>
      </font>
      <fill>
        <patternFill>
          <bgColor theme="4"/>
        </patternFill>
      </fill>
    </dxf>
    <dxf>
      <font>
        <color theme="0"/>
      </font>
      <border>
        <bottom/>
        <vertical style="thin">
          <color theme="4" tint="-0.499984740745262"/>
        </vertical>
      </border>
    </dxf>
  </dxfs>
  <tableStyles count="1" defaultTableStyle="TableStyleMedium2" defaultPivotStyle="PivotStyleLight16">
    <tableStyle name="Project To Do List" pivot="0" count="5" xr9:uid="{C7DF4C19-194F-4AAD-9E20-699CE2AF9A54}">
      <tableStyleElement type="wholeTable" dxfId="114"/>
      <tableStyleElement type="headerRow" dxfId="113"/>
      <tableStyleElement type="totalRow" dxfId="112"/>
      <tableStyleElement type="firstRowStripe" dxfId="111"/>
      <tableStyleElement type="secondRowStripe" dxfId="1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webpayement.orange-money.com/"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flottesmobiles.orange-guinee.com/home" TargetMode="External"/><Relationship Id="rId1" Type="http://schemas.openxmlformats.org/officeDocument/2006/relationships/hyperlink" Target="http://www.webpayement.orange-money.com/"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gameloft.orange-guinee.com/"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4E205-B74B-47ED-B96D-CBCAC27A280A}">
  <sheetPr codeName="Feuil40"/>
  <dimension ref="A1:G11"/>
  <sheetViews>
    <sheetView workbookViewId="0">
      <selection activeCell="F1" sqref="F1"/>
    </sheetView>
  </sheetViews>
  <sheetFormatPr baseColWidth="10" defaultRowHeight="14.6" x14ac:dyDescent="0.4"/>
  <cols>
    <col min="1" max="1" width="5" style="164" customWidth="1"/>
    <col min="2" max="3" width="11.4609375" style="164"/>
    <col min="4" max="4" width="15.07421875" style="164" bestFit="1" customWidth="1"/>
    <col min="5" max="5" width="15.07421875" style="164" customWidth="1"/>
    <col min="6" max="6" width="18.3046875" style="164" bestFit="1" customWidth="1"/>
    <col min="7" max="7" width="6.4609375" style="164" bestFit="1" customWidth="1"/>
  </cols>
  <sheetData>
    <row r="1" spans="1:7" x14ac:dyDescent="0.4">
      <c r="A1" s="168" t="s">
        <v>0</v>
      </c>
      <c r="B1" s="168" t="s">
        <v>2635</v>
      </c>
      <c r="C1" s="168" t="s">
        <v>2636</v>
      </c>
      <c r="D1" s="168" t="s">
        <v>2637</v>
      </c>
      <c r="E1" s="168" t="s">
        <v>2656</v>
      </c>
      <c r="F1" s="168" t="s">
        <v>2638</v>
      </c>
      <c r="G1" s="168" t="s">
        <v>2654</v>
      </c>
    </row>
    <row r="2" spans="1:7" x14ac:dyDescent="0.4">
      <c r="A2" s="169">
        <v>1</v>
      </c>
      <c r="B2" s="165"/>
      <c r="C2" s="165"/>
      <c r="D2" s="165"/>
      <c r="E2" s="165"/>
      <c r="F2" s="165"/>
      <c r="G2" s="165">
        <f>F2-D2</f>
        <v>0</v>
      </c>
    </row>
    <row r="3" spans="1:7" x14ac:dyDescent="0.4">
      <c r="A3" s="169">
        <v>2</v>
      </c>
      <c r="B3" s="165"/>
      <c r="C3" s="165"/>
      <c r="D3" s="165"/>
      <c r="E3" s="165"/>
      <c r="F3" s="165"/>
      <c r="G3" s="165"/>
    </row>
    <row r="4" spans="1:7" x14ac:dyDescent="0.4">
      <c r="A4" s="169">
        <v>3</v>
      </c>
      <c r="B4" s="165"/>
      <c r="C4" s="165"/>
      <c r="D4" s="165"/>
      <c r="E4" s="165"/>
      <c r="F4" s="165"/>
      <c r="G4" s="165"/>
    </row>
    <row r="5" spans="1:7" x14ac:dyDescent="0.4">
      <c r="A5" s="169">
        <v>4</v>
      </c>
      <c r="B5" s="165"/>
      <c r="C5" s="165"/>
      <c r="D5" s="165"/>
      <c r="E5" s="165"/>
      <c r="F5" s="165"/>
      <c r="G5" s="165"/>
    </row>
    <row r="6" spans="1:7" x14ac:dyDescent="0.4">
      <c r="A6" s="169">
        <v>5</v>
      </c>
      <c r="B6" s="165"/>
      <c r="C6" s="165"/>
      <c r="D6" s="165"/>
      <c r="E6" s="165"/>
      <c r="F6" s="165"/>
      <c r="G6" s="165"/>
    </row>
    <row r="7" spans="1:7" x14ac:dyDescent="0.4">
      <c r="A7" s="169">
        <v>6</v>
      </c>
      <c r="B7" s="165"/>
      <c r="C7" s="165"/>
      <c r="D7" s="165"/>
      <c r="E7" s="165"/>
      <c r="F7" s="165"/>
      <c r="G7" s="165"/>
    </row>
    <row r="8" spans="1:7" x14ac:dyDescent="0.4">
      <c r="A8" s="169">
        <v>7</v>
      </c>
      <c r="B8" s="165"/>
      <c r="C8" s="165"/>
      <c r="D8" s="165"/>
      <c r="E8" s="165"/>
      <c r="F8" s="165"/>
      <c r="G8" s="165"/>
    </row>
    <row r="9" spans="1:7" x14ac:dyDescent="0.4">
      <c r="A9" s="169">
        <v>8</v>
      </c>
      <c r="B9" s="165"/>
      <c r="C9" s="165"/>
      <c r="D9" s="165"/>
      <c r="E9" s="165"/>
      <c r="F9" s="165"/>
      <c r="G9" s="165"/>
    </row>
    <row r="10" spans="1:7" x14ac:dyDescent="0.4">
      <c r="A10" s="169">
        <v>9</v>
      </c>
      <c r="B10" s="165"/>
      <c r="C10" s="165"/>
      <c r="D10" s="165"/>
      <c r="E10" s="165"/>
      <c r="F10" s="165"/>
      <c r="G10" s="165"/>
    </row>
    <row r="11" spans="1:7" x14ac:dyDescent="0.4">
      <c r="A11" s="169">
        <v>10</v>
      </c>
      <c r="B11" s="165"/>
      <c r="C11" s="165"/>
      <c r="D11" s="165"/>
      <c r="E11" s="165"/>
      <c r="F11" s="165"/>
      <c r="G11" s="16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A06D2-3F70-4866-B4B8-D17F685DBF9C}">
  <sheetPr codeName="Feuil41"/>
  <dimension ref="B2:Q22"/>
  <sheetViews>
    <sheetView workbookViewId="0">
      <selection activeCell="D21" sqref="D21"/>
    </sheetView>
  </sheetViews>
  <sheetFormatPr baseColWidth="10" defaultColWidth="11.4609375" defaultRowHeight="12.45" x14ac:dyDescent="0.3"/>
  <cols>
    <col min="1" max="2" width="11.4609375" style="164"/>
    <col min="3" max="3" width="25.69140625" style="164" bestFit="1" customWidth="1"/>
    <col min="4" max="4" width="7.3046875" style="164" customWidth="1"/>
    <col min="5" max="5" width="7" style="164" customWidth="1"/>
    <col min="6" max="7" width="6.84375" style="164" customWidth="1"/>
    <col min="8" max="8" width="7.4609375" style="164" customWidth="1"/>
    <col min="9" max="9" width="6.84375" style="164" customWidth="1"/>
    <col min="10" max="10" width="6.53515625" style="164" bestFit="1" customWidth="1"/>
    <col min="11" max="11" width="5.07421875" style="164" bestFit="1" customWidth="1"/>
    <col min="12" max="12" width="6.3046875" style="164" customWidth="1"/>
    <col min="13" max="13" width="6.53515625" style="164" customWidth="1"/>
    <col min="14" max="14" width="7.07421875" style="164" customWidth="1"/>
    <col min="15" max="15" width="7.69140625" style="164" customWidth="1"/>
    <col min="16" max="16" width="5.69140625" style="164" bestFit="1" customWidth="1"/>
    <col min="17" max="16384" width="11.4609375" style="164"/>
  </cols>
  <sheetData>
    <row r="2" spans="2:17" x14ac:dyDescent="0.3">
      <c r="B2" s="167" t="s">
        <v>2642</v>
      </c>
      <c r="C2" s="167" t="s">
        <v>2639</v>
      </c>
      <c r="D2" s="167" t="s">
        <v>741</v>
      </c>
      <c r="E2" s="167" t="s">
        <v>742</v>
      </c>
      <c r="F2" s="167" t="s">
        <v>2640</v>
      </c>
      <c r="G2" s="167" t="s">
        <v>2641</v>
      </c>
      <c r="H2" s="167" t="s">
        <v>745</v>
      </c>
      <c r="I2" s="167" t="s">
        <v>746</v>
      </c>
      <c r="J2" s="167" t="s">
        <v>747</v>
      </c>
      <c r="K2" s="167" t="s">
        <v>748</v>
      </c>
      <c r="L2" s="167" t="s">
        <v>749</v>
      </c>
      <c r="M2" s="167" t="s">
        <v>750</v>
      </c>
      <c r="N2" s="167" t="s">
        <v>751</v>
      </c>
      <c r="O2" s="167" t="s">
        <v>2651</v>
      </c>
      <c r="P2" s="167" t="s">
        <v>759</v>
      </c>
      <c r="Q2" s="167" t="s">
        <v>2653</v>
      </c>
    </row>
    <row r="3" spans="2:17" x14ac:dyDescent="0.3">
      <c r="B3" s="192" t="s">
        <v>2643</v>
      </c>
      <c r="C3" s="166" t="s">
        <v>2652</v>
      </c>
      <c r="D3" s="165"/>
      <c r="E3" s="165"/>
      <c r="F3" s="165"/>
      <c r="G3" s="165"/>
      <c r="H3" s="165"/>
      <c r="I3" s="165"/>
      <c r="J3" s="165"/>
      <c r="K3" s="165"/>
      <c r="L3" s="165"/>
      <c r="M3" s="165"/>
      <c r="N3" s="165"/>
      <c r="O3" s="165"/>
      <c r="P3" s="170">
        <v>0.4</v>
      </c>
      <c r="Q3" s="193">
        <f>AVERAGE(P3:P7)</f>
        <v>0.67999999999999994</v>
      </c>
    </row>
    <row r="4" spans="2:17" x14ac:dyDescent="0.3">
      <c r="B4" s="192"/>
      <c r="C4" s="166" t="s">
        <v>2649</v>
      </c>
      <c r="D4" s="165"/>
      <c r="E4" s="165"/>
      <c r="F4" s="165"/>
      <c r="G4" s="165"/>
      <c r="H4" s="165"/>
      <c r="I4" s="165"/>
      <c r="J4" s="165"/>
      <c r="K4" s="165"/>
      <c r="L4" s="165"/>
      <c r="M4" s="165"/>
      <c r="N4" s="165"/>
      <c r="O4" s="165"/>
      <c r="P4" s="170">
        <v>0.7</v>
      </c>
      <c r="Q4" s="194"/>
    </row>
    <row r="5" spans="2:17" x14ac:dyDescent="0.3">
      <c r="B5" s="192"/>
      <c r="C5" s="166" t="s">
        <v>2650</v>
      </c>
      <c r="D5" s="165"/>
      <c r="E5" s="165"/>
      <c r="F5" s="165"/>
      <c r="G5" s="165"/>
      <c r="H5" s="165"/>
      <c r="I5" s="165"/>
      <c r="J5" s="165"/>
      <c r="K5" s="165"/>
      <c r="L5" s="165"/>
      <c r="M5" s="165"/>
      <c r="N5" s="165"/>
      <c r="O5" s="165"/>
      <c r="P5" s="170">
        <v>1</v>
      </c>
      <c r="Q5" s="194"/>
    </row>
    <row r="6" spans="2:17" x14ac:dyDescent="0.3">
      <c r="B6" s="192"/>
      <c r="C6" s="166" t="s">
        <v>2648</v>
      </c>
      <c r="D6" s="165"/>
      <c r="E6" s="165"/>
      <c r="F6" s="165"/>
      <c r="G6" s="165"/>
      <c r="H6" s="165"/>
      <c r="I6" s="165"/>
      <c r="J6" s="165"/>
      <c r="K6" s="165"/>
      <c r="L6" s="165"/>
      <c r="M6" s="165"/>
      <c r="N6" s="165"/>
      <c r="O6" s="165"/>
      <c r="P6" s="170">
        <v>1</v>
      </c>
      <c r="Q6" s="194"/>
    </row>
    <row r="7" spans="2:17" x14ac:dyDescent="0.3">
      <c r="B7" s="192"/>
      <c r="C7" s="166" t="s">
        <v>2647</v>
      </c>
      <c r="D7" s="165"/>
      <c r="E7" s="165"/>
      <c r="F7" s="165"/>
      <c r="G7" s="165"/>
      <c r="H7" s="165"/>
      <c r="I7" s="165"/>
      <c r="J7" s="165"/>
      <c r="K7" s="165"/>
      <c r="L7" s="165"/>
      <c r="M7" s="165"/>
      <c r="N7" s="165"/>
      <c r="O7" s="165"/>
      <c r="P7" s="170">
        <v>0.3</v>
      </c>
      <c r="Q7" s="194"/>
    </row>
    <row r="8" spans="2:17" x14ac:dyDescent="0.3">
      <c r="B8" s="192" t="s">
        <v>2644</v>
      </c>
      <c r="C8" s="166" t="s">
        <v>2652</v>
      </c>
      <c r="D8" s="165"/>
      <c r="E8" s="165"/>
      <c r="F8" s="165"/>
      <c r="G8" s="165"/>
      <c r="H8" s="165"/>
      <c r="I8" s="165"/>
      <c r="J8" s="165"/>
      <c r="K8" s="165"/>
      <c r="L8" s="165"/>
      <c r="M8" s="165"/>
      <c r="N8" s="165"/>
      <c r="O8" s="165"/>
      <c r="P8" s="170">
        <v>0.5</v>
      </c>
      <c r="Q8" s="193">
        <f>AVERAGE(P8:P12)</f>
        <v>0.7</v>
      </c>
    </row>
    <row r="9" spans="2:17" x14ac:dyDescent="0.3">
      <c r="B9" s="192"/>
      <c r="C9" s="166" t="s">
        <v>2649</v>
      </c>
      <c r="D9" s="165"/>
      <c r="E9" s="165"/>
      <c r="F9" s="165"/>
      <c r="G9" s="165"/>
      <c r="H9" s="165"/>
      <c r="I9" s="165"/>
      <c r="J9" s="165"/>
      <c r="K9" s="165"/>
      <c r="L9" s="165"/>
      <c r="M9" s="165"/>
      <c r="N9" s="165"/>
      <c r="O9" s="165"/>
      <c r="P9" s="170">
        <v>0.7</v>
      </c>
      <c r="Q9" s="194"/>
    </row>
    <row r="10" spans="2:17" x14ac:dyDescent="0.3">
      <c r="B10" s="192"/>
      <c r="C10" s="166" t="s">
        <v>2650</v>
      </c>
      <c r="D10" s="165"/>
      <c r="E10" s="165"/>
      <c r="F10" s="165"/>
      <c r="G10" s="165"/>
      <c r="H10" s="165"/>
      <c r="I10" s="165"/>
      <c r="J10" s="165"/>
      <c r="K10" s="165"/>
      <c r="L10" s="165"/>
      <c r="M10" s="165"/>
      <c r="N10" s="165"/>
      <c r="O10" s="165"/>
      <c r="P10" s="170">
        <v>1</v>
      </c>
      <c r="Q10" s="194"/>
    </row>
    <row r="11" spans="2:17" x14ac:dyDescent="0.3">
      <c r="B11" s="192"/>
      <c r="C11" s="166" t="s">
        <v>2648</v>
      </c>
      <c r="D11" s="165"/>
      <c r="E11" s="165"/>
      <c r="F11" s="165"/>
      <c r="G11" s="165"/>
      <c r="H11" s="165"/>
      <c r="I11" s="165"/>
      <c r="J11" s="165"/>
      <c r="K11" s="165"/>
      <c r="L11" s="165"/>
      <c r="M11" s="165"/>
      <c r="N11" s="165"/>
      <c r="O11" s="165"/>
      <c r="P11" s="170">
        <v>1</v>
      </c>
      <c r="Q11" s="194"/>
    </row>
    <row r="12" spans="2:17" x14ac:dyDescent="0.3">
      <c r="B12" s="192"/>
      <c r="C12" s="166" t="s">
        <v>2647</v>
      </c>
      <c r="D12" s="165"/>
      <c r="E12" s="165"/>
      <c r="F12" s="165"/>
      <c r="G12" s="165"/>
      <c r="H12" s="165"/>
      <c r="I12" s="165"/>
      <c r="J12" s="165"/>
      <c r="K12" s="165"/>
      <c r="L12" s="165"/>
      <c r="M12" s="165"/>
      <c r="N12" s="165"/>
      <c r="O12" s="165"/>
      <c r="P12" s="170">
        <v>0.3</v>
      </c>
      <c r="Q12" s="194"/>
    </row>
    <row r="13" spans="2:17" x14ac:dyDescent="0.3">
      <c r="B13" s="192" t="s">
        <v>2645</v>
      </c>
      <c r="C13" s="166" t="s">
        <v>2652</v>
      </c>
      <c r="D13" s="165"/>
      <c r="E13" s="165"/>
      <c r="F13" s="165"/>
      <c r="G13" s="165"/>
      <c r="H13" s="165"/>
      <c r="I13" s="165"/>
      <c r="J13" s="165"/>
      <c r="K13" s="165"/>
      <c r="L13" s="165"/>
      <c r="M13" s="165"/>
      <c r="N13" s="165"/>
      <c r="O13" s="165"/>
      <c r="P13" s="170">
        <v>0.4</v>
      </c>
      <c r="Q13" s="193">
        <f>AVERAGE(P13:P17)</f>
        <v>0.67999999999999994</v>
      </c>
    </row>
    <row r="14" spans="2:17" x14ac:dyDescent="0.3">
      <c r="B14" s="192"/>
      <c r="C14" s="166" t="s">
        <v>2649</v>
      </c>
      <c r="D14" s="165"/>
      <c r="E14" s="165"/>
      <c r="F14" s="165"/>
      <c r="G14" s="165"/>
      <c r="H14" s="165"/>
      <c r="I14" s="165"/>
      <c r="J14" s="165"/>
      <c r="K14" s="165"/>
      <c r="L14" s="165"/>
      <c r="M14" s="165"/>
      <c r="N14" s="165"/>
      <c r="O14" s="165"/>
      <c r="P14" s="170">
        <v>0.8</v>
      </c>
      <c r="Q14" s="194"/>
    </row>
    <row r="15" spans="2:17" x14ac:dyDescent="0.3">
      <c r="B15" s="192"/>
      <c r="C15" s="166" t="s">
        <v>2650</v>
      </c>
      <c r="D15" s="165"/>
      <c r="E15" s="165"/>
      <c r="F15" s="165"/>
      <c r="G15" s="165"/>
      <c r="H15" s="165"/>
      <c r="I15" s="165"/>
      <c r="J15" s="165"/>
      <c r="K15" s="165"/>
      <c r="L15" s="165"/>
      <c r="M15" s="165"/>
      <c r="N15" s="165"/>
      <c r="O15" s="165"/>
      <c r="P15" s="170">
        <v>0.9</v>
      </c>
      <c r="Q15" s="194"/>
    </row>
    <row r="16" spans="2:17" x14ac:dyDescent="0.3">
      <c r="B16" s="192"/>
      <c r="C16" s="166" t="s">
        <v>2648</v>
      </c>
      <c r="D16" s="165"/>
      <c r="E16" s="165"/>
      <c r="F16" s="165"/>
      <c r="G16" s="165"/>
      <c r="H16" s="165"/>
      <c r="I16" s="165"/>
      <c r="J16" s="165"/>
      <c r="K16" s="165"/>
      <c r="L16" s="165"/>
      <c r="M16" s="165"/>
      <c r="N16" s="165"/>
      <c r="O16" s="165"/>
      <c r="P16" s="170">
        <v>1</v>
      </c>
      <c r="Q16" s="194"/>
    </row>
    <row r="17" spans="2:17" x14ac:dyDescent="0.3">
      <c r="B17" s="192"/>
      <c r="C17" s="166" t="s">
        <v>2647</v>
      </c>
      <c r="D17" s="165"/>
      <c r="E17" s="165"/>
      <c r="F17" s="165"/>
      <c r="G17" s="165"/>
      <c r="H17" s="165"/>
      <c r="I17" s="165"/>
      <c r="J17" s="165"/>
      <c r="K17" s="165"/>
      <c r="L17" s="165"/>
      <c r="M17" s="165"/>
      <c r="N17" s="165"/>
      <c r="O17" s="165"/>
      <c r="P17" s="170">
        <v>0.3</v>
      </c>
      <c r="Q17" s="194"/>
    </row>
    <row r="18" spans="2:17" x14ac:dyDescent="0.3">
      <c r="B18" s="192" t="s">
        <v>2646</v>
      </c>
      <c r="C18" s="166" t="s">
        <v>2652</v>
      </c>
      <c r="D18" s="165"/>
      <c r="E18" s="165"/>
      <c r="F18" s="165"/>
      <c r="G18" s="165"/>
      <c r="H18" s="165"/>
      <c r="I18" s="165"/>
      <c r="J18" s="165"/>
      <c r="K18" s="165"/>
      <c r="L18" s="165"/>
      <c r="M18" s="165"/>
      <c r="N18" s="165"/>
      <c r="O18" s="165"/>
      <c r="P18" s="170">
        <v>0.3</v>
      </c>
      <c r="Q18" s="193">
        <f>AVERAGE(P18:P22)</f>
        <v>0.65999999999999992</v>
      </c>
    </row>
    <row r="19" spans="2:17" x14ac:dyDescent="0.3">
      <c r="B19" s="192"/>
      <c r="C19" s="166" t="s">
        <v>2649</v>
      </c>
      <c r="D19" s="165"/>
      <c r="E19" s="165"/>
      <c r="F19" s="165"/>
      <c r="G19" s="165"/>
      <c r="H19" s="165"/>
      <c r="I19" s="165"/>
      <c r="J19" s="165"/>
      <c r="K19" s="165"/>
      <c r="L19" s="165"/>
      <c r="M19" s="165"/>
      <c r="N19" s="165"/>
      <c r="O19" s="165"/>
      <c r="P19" s="170">
        <v>0.7</v>
      </c>
      <c r="Q19" s="194"/>
    </row>
    <row r="20" spans="2:17" x14ac:dyDescent="0.3">
      <c r="B20" s="192"/>
      <c r="C20" s="166" t="s">
        <v>2650</v>
      </c>
      <c r="D20" s="165"/>
      <c r="E20" s="165"/>
      <c r="F20" s="165"/>
      <c r="G20" s="165"/>
      <c r="H20" s="165"/>
      <c r="I20" s="165"/>
      <c r="J20" s="165"/>
      <c r="K20" s="165"/>
      <c r="L20" s="165"/>
      <c r="M20" s="165"/>
      <c r="N20" s="165"/>
      <c r="O20" s="165"/>
      <c r="P20" s="170">
        <v>1</v>
      </c>
      <c r="Q20" s="194"/>
    </row>
    <row r="21" spans="2:17" x14ac:dyDescent="0.3">
      <c r="B21" s="192"/>
      <c r="C21" s="166" t="s">
        <v>2648</v>
      </c>
      <c r="D21" s="165"/>
      <c r="E21" s="165"/>
      <c r="F21" s="165"/>
      <c r="G21" s="165"/>
      <c r="H21" s="165"/>
      <c r="I21" s="165"/>
      <c r="J21" s="165"/>
      <c r="K21" s="165"/>
      <c r="L21" s="165"/>
      <c r="M21" s="165"/>
      <c r="N21" s="165"/>
      <c r="O21" s="165"/>
      <c r="P21" s="170">
        <v>1</v>
      </c>
      <c r="Q21" s="194"/>
    </row>
    <row r="22" spans="2:17" x14ac:dyDescent="0.3">
      <c r="B22" s="192"/>
      <c r="C22" s="166" t="s">
        <v>2647</v>
      </c>
      <c r="D22" s="165"/>
      <c r="E22" s="165"/>
      <c r="F22" s="165"/>
      <c r="G22" s="165"/>
      <c r="H22" s="165"/>
      <c r="I22" s="165"/>
      <c r="J22" s="165"/>
      <c r="K22" s="165"/>
      <c r="L22" s="165"/>
      <c r="M22" s="165"/>
      <c r="N22" s="165"/>
      <c r="O22" s="165"/>
      <c r="P22" s="170">
        <v>0.3</v>
      </c>
      <c r="Q22" s="194"/>
    </row>
  </sheetData>
  <mergeCells count="8">
    <mergeCell ref="B18:B22"/>
    <mergeCell ref="Q3:Q7"/>
    <mergeCell ref="Q8:Q12"/>
    <mergeCell ref="Q13:Q17"/>
    <mergeCell ref="Q18:Q22"/>
    <mergeCell ref="B3:B7"/>
    <mergeCell ref="B8:B12"/>
    <mergeCell ref="B13:B17"/>
  </mergeCells>
  <phoneticPr fontId="62" type="noConversion"/>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CE77E-DFFC-47EE-B44B-A2CCB7E23DB1}">
  <sheetPr codeName="Feuil42"/>
  <dimension ref="A1:D18"/>
  <sheetViews>
    <sheetView topLeftCell="A2" zoomScale="130" zoomScaleNormal="130" workbookViewId="0">
      <selection activeCell="A3" sqref="A3:XFD10"/>
    </sheetView>
  </sheetViews>
  <sheetFormatPr baseColWidth="10" defaultRowHeight="14.6" x14ac:dyDescent="0.4"/>
  <cols>
    <col min="1" max="1" width="5.3046875" customWidth="1"/>
    <col min="2" max="2" width="120.3046875" bestFit="1" customWidth="1"/>
    <col min="3" max="3" width="13.3046875" bestFit="1" customWidth="1"/>
    <col min="4" max="4" width="8.69140625" bestFit="1" customWidth="1"/>
  </cols>
  <sheetData>
    <row r="1" spans="1:4" x14ac:dyDescent="0.4">
      <c r="B1" s="195" t="s">
        <v>2655</v>
      </c>
      <c r="C1" s="195"/>
      <c r="D1" s="195"/>
    </row>
    <row r="2" spans="1:4" x14ac:dyDescent="0.4">
      <c r="A2" s="159" t="s">
        <v>0</v>
      </c>
      <c r="B2" s="159" t="s">
        <v>2631</v>
      </c>
      <c r="C2" s="159" t="s">
        <v>2632</v>
      </c>
      <c r="D2" s="159" t="s">
        <v>2633</v>
      </c>
    </row>
    <row r="3" spans="1:4" x14ac:dyDescent="0.4">
      <c r="A3" s="160">
        <v>1</v>
      </c>
      <c r="B3" s="161" t="s">
        <v>2657</v>
      </c>
      <c r="C3" s="160"/>
      <c r="D3" s="160" t="s">
        <v>2670</v>
      </c>
    </row>
    <row r="4" spans="1:4" x14ac:dyDescent="0.4">
      <c r="A4" s="160">
        <v>2</v>
      </c>
      <c r="B4" s="161" t="s">
        <v>2658</v>
      </c>
      <c r="C4" s="160"/>
      <c r="D4" s="160" t="s">
        <v>2670</v>
      </c>
    </row>
    <row r="5" spans="1:4" x14ac:dyDescent="0.4">
      <c r="A5" s="160">
        <v>3</v>
      </c>
      <c r="B5" s="161" t="s">
        <v>2659</v>
      </c>
      <c r="C5" s="160"/>
      <c r="D5" s="160" t="s">
        <v>2670</v>
      </c>
    </row>
    <row r="6" spans="1:4" x14ac:dyDescent="0.4">
      <c r="A6" s="160">
        <v>4</v>
      </c>
      <c r="B6" s="161" t="s">
        <v>2660</v>
      </c>
      <c r="C6" s="160"/>
      <c r="D6" s="160" t="s">
        <v>2670</v>
      </c>
    </row>
    <row r="7" spans="1:4" x14ac:dyDescent="0.4">
      <c r="A7" s="160">
        <v>5</v>
      </c>
      <c r="B7" s="161" t="s">
        <v>2661</v>
      </c>
      <c r="C7" s="160"/>
      <c r="D7" s="160" t="s">
        <v>2670</v>
      </c>
    </row>
    <row r="8" spans="1:4" x14ac:dyDescent="0.4">
      <c r="A8" s="160">
        <v>6</v>
      </c>
      <c r="B8" s="161" t="s">
        <v>2662</v>
      </c>
      <c r="C8" s="160"/>
      <c r="D8" s="160" t="s">
        <v>2670</v>
      </c>
    </row>
    <row r="9" spans="1:4" x14ac:dyDescent="0.4">
      <c r="A9" s="160">
        <v>7</v>
      </c>
      <c r="B9" s="161" t="s">
        <v>2663</v>
      </c>
      <c r="C9" s="160"/>
      <c r="D9" s="160" t="s">
        <v>2670</v>
      </c>
    </row>
    <row r="10" spans="1:4" x14ac:dyDescent="0.4">
      <c r="A10" s="160">
        <v>8</v>
      </c>
      <c r="B10" s="161" t="s">
        <v>2664</v>
      </c>
      <c r="C10" s="160"/>
      <c r="D10" s="160" t="s">
        <v>2670</v>
      </c>
    </row>
    <row r="11" spans="1:4" x14ac:dyDescent="0.4">
      <c r="A11" s="160">
        <v>9</v>
      </c>
      <c r="B11" s="161" t="s">
        <v>2665</v>
      </c>
      <c r="C11" s="160"/>
      <c r="D11" s="160" t="s">
        <v>2670</v>
      </c>
    </row>
    <row r="12" spans="1:4" x14ac:dyDescent="0.4">
      <c r="A12" s="160">
        <v>10</v>
      </c>
      <c r="B12" s="161" t="s">
        <v>2666</v>
      </c>
      <c r="C12" s="160"/>
      <c r="D12" s="160" t="s">
        <v>2670</v>
      </c>
    </row>
    <row r="13" spans="1:4" x14ac:dyDescent="0.4">
      <c r="A13" s="160">
        <v>11</v>
      </c>
      <c r="B13" s="161" t="s">
        <v>2667</v>
      </c>
      <c r="C13" s="160"/>
      <c r="D13" s="160" t="s">
        <v>2670</v>
      </c>
    </row>
    <row r="14" spans="1:4" x14ac:dyDescent="0.4">
      <c r="A14" s="160">
        <v>12</v>
      </c>
      <c r="B14" s="161" t="s">
        <v>2668</v>
      </c>
      <c r="C14" s="160"/>
      <c r="D14" s="160" t="s">
        <v>2670</v>
      </c>
    </row>
    <row r="15" spans="1:4" x14ac:dyDescent="0.4">
      <c r="A15" s="160">
        <v>13</v>
      </c>
      <c r="B15" s="161" t="s">
        <v>2669</v>
      </c>
      <c r="C15" s="160"/>
      <c r="D15" s="160" t="s">
        <v>2670</v>
      </c>
    </row>
    <row r="16" spans="1:4" x14ac:dyDescent="0.4">
      <c r="A16" s="160">
        <v>14</v>
      </c>
      <c r="B16" s="161" t="s">
        <v>2634</v>
      </c>
      <c r="C16" s="160"/>
      <c r="D16" s="160" t="s">
        <v>2670</v>
      </c>
    </row>
    <row r="18" spans="2:2" x14ac:dyDescent="0.4">
      <c r="B18" s="162"/>
    </row>
  </sheetData>
  <mergeCells count="1">
    <mergeCell ref="B1:D1"/>
  </mergeCells>
  <phoneticPr fontId="6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0"/>
  <dimension ref="A1:U132"/>
  <sheetViews>
    <sheetView tabSelected="1" zoomScaleNormal="100" workbookViewId="0">
      <selection activeCell="E12" sqref="E12"/>
    </sheetView>
  </sheetViews>
  <sheetFormatPr baseColWidth="10" defaultRowHeight="14.6" x14ac:dyDescent="0.4"/>
  <cols>
    <col min="1" max="1" width="5.84375" customWidth="1"/>
    <col min="2" max="2" width="9.84375" style="120" bestFit="1" customWidth="1"/>
    <col min="3" max="3" width="6.84375" bestFit="1" customWidth="1"/>
    <col min="4" max="4" width="9.07421875" bestFit="1" customWidth="1"/>
    <col min="5" max="5" width="44.3046875" customWidth="1"/>
    <col min="6" max="6" width="13" bestFit="1" customWidth="1"/>
    <col min="7" max="9" width="17" customWidth="1"/>
    <col min="10" max="12" width="10.07421875" customWidth="1"/>
    <col min="13" max="13" width="61.07421875" customWidth="1"/>
    <col min="14" max="14" width="50.84375" customWidth="1"/>
    <col min="15" max="15" width="48" customWidth="1"/>
    <col min="16" max="16" width="11.4609375" bestFit="1" customWidth="1"/>
    <col min="17" max="17" width="7.07421875" customWidth="1"/>
    <col min="18" max="18" width="11.4609375" customWidth="1"/>
    <col min="19" max="19" width="5.07421875" customWidth="1"/>
    <col min="21" max="21" width="9.84375" bestFit="1" customWidth="1"/>
  </cols>
  <sheetData>
    <row r="1" spans="1:21" x14ac:dyDescent="0.4">
      <c r="A1" s="6" t="s">
        <v>0</v>
      </c>
      <c r="B1" s="7"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6" t="s">
        <v>684</v>
      </c>
      <c r="R1" s="7" t="s">
        <v>659</v>
      </c>
      <c r="S1" s="6" t="s">
        <v>888</v>
      </c>
      <c r="T1" s="156" t="s">
        <v>2627</v>
      </c>
      <c r="U1" s="156" t="s">
        <v>2630</v>
      </c>
    </row>
    <row r="2" spans="1:21" x14ac:dyDescent="0.4">
      <c r="A2" s="37">
        <v>1</v>
      </c>
      <c r="B2" s="37" t="s">
        <v>2672</v>
      </c>
      <c r="C2" s="37" t="s">
        <v>2</v>
      </c>
      <c r="D2" s="37" t="s">
        <v>702</v>
      </c>
      <c r="E2" s="12" t="s">
        <v>2673</v>
      </c>
      <c r="F2" s="102">
        <v>46023.732638888891</v>
      </c>
      <c r="G2" s="102">
        <v>46024.240277777775</v>
      </c>
      <c r="H2" s="102">
        <v>46024.240277777775</v>
      </c>
      <c r="I2" s="153">
        <f t="shared" ref="I2:I33" si="0">G2-F2</f>
        <v>0.507638888884685</v>
      </c>
      <c r="J2" s="103">
        <f t="shared" ref="J2:J33" si="1">I2*1440</f>
        <v>730.9999999939464</v>
      </c>
      <c r="K2" s="153">
        <f t="shared" ref="K2:K33" si="2">H2-F2</f>
        <v>0.507638888884685</v>
      </c>
      <c r="L2" s="103">
        <f t="shared" ref="L2:L33" si="3">K2*1440</f>
        <v>730.9999999939464</v>
      </c>
      <c r="M2" s="12" t="s">
        <v>2674</v>
      </c>
      <c r="N2" s="9" t="s">
        <v>20</v>
      </c>
      <c r="O2" s="9" t="s">
        <v>20</v>
      </c>
      <c r="P2" s="102" t="s">
        <v>2628</v>
      </c>
      <c r="Q2" s="37" t="s">
        <v>678</v>
      </c>
      <c r="R2" s="12"/>
      <c r="S2" s="38" t="str">
        <f t="shared" ref="S2:S33" si="4">IF(AND(C2="P1",J2&lt;=240),"ISLA",IF((AND(C2="P2",J2&lt;=480)),"ISLA",IF((AND(C2="P3",J2&lt;=2880)),"ISLA","OSLA")))</f>
        <v>OSLA</v>
      </c>
      <c r="T2" s="37" t="str">
        <f t="shared" ref="T2:T33" si="5">IF((AND(MID(P2,1,2)="IT",S2="OSLA")),"OUI","NON")</f>
        <v>NON</v>
      </c>
      <c r="U2" s="37" t="s">
        <v>2675</v>
      </c>
    </row>
    <row r="3" spans="1:21" x14ac:dyDescent="0.4">
      <c r="A3" s="37">
        <v>2</v>
      </c>
      <c r="B3" s="37" t="s">
        <v>2676</v>
      </c>
      <c r="C3" s="37" t="s">
        <v>2</v>
      </c>
      <c r="D3" s="37" t="s">
        <v>702</v>
      </c>
      <c r="E3" s="12" t="s">
        <v>2677</v>
      </c>
      <c r="F3" s="102">
        <v>46023.734722222223</v>
      </c>
      <c r="G3" s="102">
        <v>46023.981944444444</v>
      </c>
      <c r="H3" s="102">
        <v>46023.981944444444</v>
      </c>
      <c r="I3" s="153">
        <f t="shared" si="0"/>
        <v>0.24722222222044365</v>
      </c>
      <c r="J3" s="103">
        <f t="shared" si="1"/>
        <v>355.99999999743886</v>
      </c>
      <c r="K3" s="153">
        <f t="shared" si="2"/>
        <v>0.24722222222044365</v>
      </c>
      <c r="L3" s="103">
        <f t="shared" si="3"/>
        <v>355.99999999743886</v>
      </c>
      <c r="M3" s="12" t="s">
        <v>2678</v>
      </c>
      <c r="N3" s="9" t="s">
        <v>20</v>
      </c>
      <c r="O3" s="9" t="s">
        <v>20</v>
      </c>
      <c r="P3" s="102" t="s">
        <v>2679</v>
      </c>
      <c r="Q3" s="37" t="s">
        <v>678</v>
      </c>
      <c r="R3" s="12"/>
      <c r="S3" s="38" t="str">
        <f t="shared" si="4"/>
        <v>OSLA</v>
      </c>
      <c r="T3" s="37" t="str">
        <f t="shared" si="5"/>
        <v>OUI</v>
      </c>
      <c r="U3" s="37" t="s">
        <v>2680</v>
      </c>
    </row>
    <row r="4" spans="1:21" x14ac:dyDescent="0.4">
      <c r="A4" s="37">
        <v>3</v>
      </c>
      <c r="B4" s="37" t="s">
        <v>2681</v>
      </c>
      <c r="C4" s="37" t="s">
        <v>2</v>
      </c>
      <c r="D4" s="37" t="s">
        <v>702</v>
      </c>
      <c r="E4" s="12" t="s">
        <v>2682</v>
      </c>
      <c r="F4" s="102">
        <v>46023.837500000001</v>
      </c>
      <c r="G4" s="102">
        <v>46023.876388888886</v>
      </c>
      <c r="H4" s="102">
        <v>46023.876388888886</v>
      </c>
      <c r="I4" s="153">
        <f t="shared" si="0"/>
        <v>3.8888888884685002E-2</v>
      </c>
      <c r="J4" s="103">
        <f t="shared" si="1"/>
        <v>55.999999993946403</v>
      </c>
      <c r="K4" s="153">
        <f t="shared" si="2"/>
        <v>3.8888888884685002E-2</v>
      </c>
      <c r="L4" s="103">
        <f t="shared" si="3"/>
        <v>55.999999993946403</v>
      </c>
      <c r="M4" s="12" t="s">
        <v>2683</v>
      </c>
      <c r="N4" s="9" t="s">
        <v>20</v>
      </c>
      <c r="O4" s="9" t="s">
        <v>20</v>
      </c>
      <c r="P4" s="102" t="s">
        <v>2684</v>
      </c>
      <c r="Q4" s="37" t="s">
        <v>678</v>
      </c>
      <c r="R4" s="12"/>
      <c r="S4" s="38" t="str">
        <f t="shared" si="4"/>
        <v>ISLA</v>
      </c>
      <c r="T4" s="37" t="str">
        <f t="shared" si="5"/>
        <v>NON</v>
      </c>
      <c r="U4" s="37" t="s">
        <v>2680</v>
      </c>
    </row>
    <row r="5" spans="1:21" x14ac:dyDescent="0.4">
      <c r="A5" s="37">
        <v>4</v>
      </c>
      <c r="B5" s="37" t="s">
        <v>2685</v>
      </c>
      <c r="C5" s="37" t="s">
        <v>2</v>
      </c>
      <c r="D5" s="37" t="s">
        <v>702</v>
      </c>
      <c r="E5" s="12" t="s">
        <v>2686</v>
      </c>
      <c r="F5" s="102">
        <v>46024.392361111109</v>
      </c>
      <c r="G5" s="102">
        <v>46024.416666666664</v>
      </c>
      <c r="H5" s="102">
        <v>46024.416666666664</v>
      </c>
      <c r="I5" s="153">
        <f t="shared" si="0"/>
        <v>2.4305555554747116E-2</v>
      </c>
      <c r="J5" s="103">
        <f t="shared" si="1"/>
        <v>34.999999998835847</v>
      </c>
      <c r="K5" s="153">
        <f t="shared" si="2"/>
        <v>2.4305555554747116E-2</v>
      </c>
      <c r="L5" s="103">
        <f t="shared" si="3"/>
        <v>34.999999998835847</v>
      </c>
      <c r="M5" s="12" t="s">
        <v>2687</v>
      </c>
      <c r="N5" s="9" t="s">
        <v>20</v>
      </c>
      <c r="O5" s="9" t="s">
        <v>20</v>
      </c>
      <c r="P5" s="102" t="s">
        <v>2688</v>
      </c>
      <c r="Q5" s="37" t="s">
        <v>678</v>
      </c>
      <c r="R5" s="12"/>
      <c r="S5" s="38" t="str">
        <f t="shared" si="4"/>
        <v>ISLA</v>
      </c>
      <c r="T5" s="37" t="str">
        <f t="shared" si="5"/>
        <v>NON</v>
      </c>
      <c r="U5" s="37" t="s">
        <v>2680</v>
      </c>
    </row>
    <row r="6" spans="1:21" ht="20.6" x14ac:dyDescent="0.4">
      <c r="A6" s="37">
        <v>5</v>
      </c>
      <c r="B6" s="37" t="s">
        <v>2689</v>
      </c>
      <c r="C6" s="37" t="s">
        <v>2</v>
      </c>
      <c r="D6" s="37" t="s">
        <v>702</v>
      </c>
      <c r="E6" s="149" t="s">
        <v>2690</v>
      </c>
      <c r="F6" s="102">
        <v>46024.4375</v>
      </c>
      <c r="G6" s="102">
        <v>46025.416666666664</v>
      </c>
      <c r="H6" s="102">
        <v>46025.416666666664</v>
      </c>
      <c r="I6" s="153">
        <f t="shared" si="0"/>
        <v>0.97916666666424135</v>
      </c>
      <c r="J6" s="103">
        <f t="shared" si="1"/>
        <v>1409.9999999965075</v>
      </c>
      <c r="K6" s="153">
        <f t="shared" si="2"/>
        <v>0.97916666666424135</v>
      </c>
      <c r="L6" s="103">
        <f t="shared" si="3"/>
        <v>1409.9999999965075</v>
      </c>
      <c r="M6" s="12" t="s">
        <v>2691</v>
      </c>
      <c r="N6" s="12" t="s">
        <v>2692</v>
      </c>
      <c r="O6" s="9" t="s">
        <v>2693</v>
      </c>
      <c r="P6" s="102" t="s">
        <v>2628</v>
      </c>
      <c r="Q6" s="37" t="s">
        <v>678</v>
      </c>
      <c r="R6" s="12"/>
      <c r="S6" s="38" t="str">
        <f t="shared" si="4"/>
        <v>OSLA</v>
      </c>
      <c r="T6" s="37" t="str">
        <f t="shared" si="5"/>
        <v>NON</v>
      </c>
      <c r="U6" s="37" t="s">
        <v>2675</v>
      </c>
    </row>
    <row r="7" spans="1:21" x14ac:dyDescent="0.4">
      <c r="A7" s="37">
        <v>6</v>
      </c>
      <c r="B7" s="37" t="s">
        <v>2694</v>
      </c>
      <c r="C7" s="37" t="s">
        <v>2</v>
      </c>
      <c r="D7" s="37" t="s">
        <v>702</v>
      </c>
      <c r="E7" s="12" t="s">
        <v>2695</v>
      </c>
      <c r="F7" s="102">
        <v>46025.409722222219</v>
      </c>
      <c r="G7" s="102">
        <v>46025.618055555555</v>
      </c>
      <c r="H7" s="102">
        <v>46025.618055555555</v>
      </c>
      <c r="I7" s="153">
        <f t="shared" si="0"/>
        <v>0.20833333333575865</v>
      </c>
      <c r="J7" s="103">
        <f t="shared" si="1"/>
        <v>300.00000000349246</v>
      </c>
      <c r="K7" s="153">
        <f t="shared" si="2"/>
        <v>0.20833333333575865</v>
      </c>
      <c r="L7" s="103">
        <f t="shared" si="3"/>
        <v>300.00000000349246</v>
      </c>
      <c r="M7" s="12" t="s">
        <v>2696</v>
      </c>
      <c r="N7" s="9" t="s">
        <v>20</v>
      </c>
      <c r="O7" s="9" t="s">
        <v>20</v>
      </c>
      <c r="P7" s="102" t="s">
        <v>2628</v>
      </c>
      <c r="Q7" s="37" t="s">
        <v>678</v>
      </c>
      <c r="R7" s="12"/>
      <c r="S7" s="38" t="str">
        <f t="shared" si="4"/>
        <v>OSLA</v>
      </c>
      <c r="T7" s="37" t="str">
        <f t="shared" si="5"/>
        <v>NON</v>
      </c>
      <c r="U7" s="37" t="s">
        <v>2675</v>
      </c>
    </row>
    <row r="8" spans="1:21" x14ac:dyDescent="0.4">
      <c r="A8" s="37">
        <v>7</v>
      </c>
      <c r="B8" s="37" t="s">
        <v>2697</v>
      </c>
      <c r="C8" s="37" t="s">
        <v>2</v>
      </c>
      <c r="D8" s="37" t="s">
        <v>702</v>
      </c>
      <c r="E8" s="12" t="s">
        <v>2690</v>
      </c>
      <c r="F8" s="102">
        <v>46025.475694444445</v>
      </c>
      <c r="G8" s="102">
        <v>46025.513888888891</v>
      </c>
      <c r="H8" s="102">
        <v>46025.513888888891</v>
      </c>
      <c r="I8" s="153">
        <f t="shared" si="0"/>
        <v>3.8194444445252884E-2</v>
      </c>
      <c r="J8" s="103">
        <f t="shared" si="1"/>
        <v>55.000000001164153</v>
      </c>
      <c r="K8" s="153">
        <f t="shared" si="2"/>
        <v>3.8194444445252884E-2</v>
      </c>
      <c r="L8" s="103">
        <f t="shared" si="3"/>
        <v>55.000000001164153</v>
      </c>
      <c r="M8" s="12" t="s">
        <v>2691</v>
      </c>
      <c r="N8" s="9" t="s">
        <v>2698</v>
      </c>
      <c r="O8" s="9" t="s">
        <v>20</v>
      </c>
      <c r="P8" s="102" t="s">
        <v>2628</v>
      </c>
      <c r="Q8" s="37" t="s">
        <v>678</v>
      </c>
      <c r="R8" s="12"/>
      <c r="S8" s="38" t="str">
        <f t="shared" si="4"/>
        <v>ISLA</v>
      </c>
      <c r="T8" s="37" t="str">
        <f t="shared" si="5"/>
        <v>NON</v>
      </c>
      <c r="U8" s="37" t="s">
        <v>2675</v>
      </c>
    </row>
    <row r="9" spans="1:21" x14ac:dyDescent="0.4">
      <c r="A9" s="37">
        <v>8</v>
      </c>
      <c r="B9" s="37" t="s">
        <v>2699</v>
      </c>
      <c r="C9" s="37" t="s">
        <v>2</v>
      </c>
      <c r="D9" s="37" t="s">
        <v>702</v>
      </c>
      <c r="E9" s="12" t="s">
        <v>2700</v>
      </c>
      <c r="F9" s="102">
        <v>46025.527777777781</v>
      </c>
      <c r="G9" s="102">
        <v>46025.614583333336</v>
      </c>
      <c r="H9" s="102">
        <v>46025.614583333336</v>
      </c>
      <c r="I9" s="153">
        <f t="shared" si="0"/>
        <v>8.6805555554747116E-2</v>
      </c>
      <c r="J9" s="103">
        <f t="shared" si="1"/>
        <v>124.99999999883585</v>
      </c>
      <c r="K9" s="153">
        <f t="shared" si="2"/>
        <v>8.6805555554747116E-2</v>
      </c>
      <c r="L9" s="103">
        <f t="shared" si="3"/>
        <v>124.99999999883585</v>
      </c>
      <c r="M9" s="12" t="s">
        <v>2701</v>
      </c>
      <c r="N9" s="9" t="s">
        <v>20</v>
      </c>
      <c r="O9" s="9" t="s">
        <v>20</v>
      </c>
      <c r="P9" s="102" t="s">
        <v>2628</v>
      </c>
      <c r="Q9" s="37" t="s">
        <v>678</v>
      </c>
      <c r="R9" s="12"/>
      <c r="S9" s="38" t="str">
        <f t="shared" si="4"/>
        <v>ISLA</v>
      </c>
      <c r="T9" s="37" t="str">
        <f t="shared" si="5"/>
        <v>NON</v>
      </c>
      <c r="U9" s="37" t="s">
        <v>2675</v>
      </c>
    </row>
    <row r="10" spans="1:21" ht="61.75" x14ac:dyDescent="0.4">
      <c r="A10" s="37">
        <v>9</v>
      </c>
      <c r="B10" s="37" t="s">
        <v>2702</v>
      </c>
      <c r="C10" s="37" t="s">
        <v>2</v>
      </c>
      <c r="D10" s="37" t="s">
        <v>702</v>
      </c>
      <c r="E10" s="184" t="s">
        <v>2703</v>
      </c>
      <c r="F10" s="102">
        <v>46025.802083333336</v>
      </c>
      <c r="G10" s="102">
        <v>46029.004861111112</v>
      </c>
      <c r="H10" s="102">
        <v>46029.004861111112</v>
      </c>
      <c r="I10" s="153">
        <f t="shared" si="0"/>
        <v>3.202777777776646</v>
      </c>
      <c r="J10" s="103">
        <f t="shared" si="1"/>
        <v>4611.9999999983702</v>
      </c>
      <c r="K10" s="153">
        <f t="shared" si="2"/>
        <v>3.202777777776646</v>
      </c>
      <c r="L10" s="103">
        <f t="shared" si="3"/>
        <v>4611.9999999983702</v>
      </c>
      <c r="M10" s="12" t="s">
        <v>2704</v>
      </c>
      <c r="N10" s="9" t="s">
        <v>2705</v>
      </c>
      <c r="O10" s="9" t="s">
        <v>20</v>
      </c>
      <c r="P10" s="102" t="s">
        <v>2628</v>
      </c>
      <c r="Q10" s="37" t="s">
        <v>678</v>
      </c>
      <c r="R10" s="12"/>
      <c r="S10" s="38" t="str">
        <f t="shared" si="4"/>
        <v>OSLA</v>
      </c>
      <c r="T10" s="37" t="str">
        <f t="shared" si="5"/>
        <v>NON</v>
      </c>
      <c r="U10" s="37" t="s">
        <v>2675</v>
      </c>
    </row>
    <row r="11" spans="1:21" x14ac:dyDescent="0.4">
      <c r="A11" s="37">
        <v>10</v>
      </c>
      <c r="B11" s="37" t="s">
        <v>2706</v>
      </c>
      <c r="C11" s="37" t="s">
        <v>2</v>
      </c>
      <c r="D11" s="37" t="s">
        <v>702</v>
      </c>
      <c r="E11" s="12" t="s">
        <v>2707</v>
      </c>
      <c r="F11" s="102">
        <v>46026.052083333336</v>
      </c>
      <c r="G11" s="102">
        <v>46026.256944444445</v>
      </c>
      <c r="H11" s="102">
        <v>46026.256944444445</v>
      </c>
      <c r="I11" s="153">
        <f t="shared" si="0"/>
        <v>0.20486111110949423</v>
      </c>
      <c r="J11" s="103">
        <f t="shared" si="1"/>
        <v>294.99999999767169</v>
      </c>
      <c r="K11" s="153">
        <f t="shared" si="2"/>
        <v>0.20486111110949423</v>
      </c>
      <c r="L11" s="103">
        <f t="shared" si="3"/>
        <v>294.99999999767169</v>
      </c>
      <c r="M11" s="12" t="s">
        <v>2708</v>
      </c>
      <c r="N11" s="9" t="s">
        <v>20</v>
      </c>
      <c r="O11" s="9" t="s">
        <v>20</v>
      </c>
      <c r="P11" s="102" t="s">
        <v>2628</v>
      </c>
      <c r="Q11" s="37" t="s">
        <v>678</v>
      </c>
      <c r="R11" s="12"/>
      <c r="S11" s="38" t="str">
        <f t="shared" si="4"/>
        <v>OSLA</v>
      </c>
      <c r="T11" s="37" t="str">
        <f t="shared" si="5"/>
        <v>NON</v>
      </c>
      <c r="U11" s="37" t="s">
        <v>2675</v>
      </c>
    </row>
    <row r="12" spans="1:21" x14ac:dyDescent="0.4">
      <c r="A12" s="37">
        <v>11</v>
      </c>
      <c r="B12" s="37" t="s">
        <v>2709</v>
      </c>
      <c r="C12" s="37" t="s">
        <v>2</v>
      </c>
      <c r="D12" s="37" t="s">
        <v>702</v>
      </c>
      <c r="E12" s="12" t="s">
        <v>2677</v>
      </c>
      <c r="F12" s="102">
        <v>46026.388888888891</v>
      </c>
      <c r="G12" s="102">
        <v>46026.763888888891</v>
      </c>
      <c r="H12" s="102">
        <v>46026.763888888891</v>
      </c>
      <c r="I12" s="153">
        <f t="shared" si="0"/>
        <v>0.375</v>
      </c>
      <c r="J12" s="103">
        <f t="shared" si="1"/>
        <v>540</v>
      </c>
      <c r="K12" s="153">
        <f t="shared" si="2"/>
        <v>0.375</v>
      </c>
      <c r="L12" s="103">
        <f t="shared" si="3"/>
        <v>540</v>
      </c>
      <c r="M12" s="12" t="s">
        <v>2710</v>
      </c>
      <c r="N12" s="9" t="s">
        <v>20</v>
      </c>
      <c r="O12" s="9" t="s">
        <v>20</v>
      </c>
      <c r="P12" s="102" t="s">
        <v>2679</v>
      </c>
      <c r="Q12" s="37" t="s">
        <v>678</v>
      </c>
      <c r="R12" s="12"/>
      <c r="S12" s="38" t="str">
        <f t="shared" si="4"/>
        <v>OSLA</v>
      </c>
      <c r="T12" s="37" t="str">
        <f t="shared" si="5"/>
        <v>OUI</v>
      </c>
      <c r="U12" s="37" t="s">
        <v>2680</v>
      </c>
    </row>
    <row r="13" spans="1:21" x14ac:dyDescent="0.4">
      <c r="A13" s="37">
        <v>12</v>
      </c>
      <c r="B13" s="37" t="s">
        <v>2711</v>
      </c>
      <c r="C13" s="37" t="s">
        <v>2</v>
      </c>
      <c r="D13" s="37" t="s">
        <v>702</v>
      </c>
      <c r="E13" s="12" t="s">
        <v>2712</v>
      </c>
      <c r="F13" s="102">
        <v>46027.367361111108</v>
      </c>
      <c r="G13" s="102">
        <v>46027.40625</v>
      </c>
      <c r="H13" s="102">
        <v>46027.40625</v>
      </c>
      <c r="I13" s="153">
        <f t="shared" si="0"/>
        <v>3.888888889196096E-2</v>
      </c>
      <c r="J13" s="103">
        <f t="shared" si="1"/>
        <v>56.000000004423782</v>
      </c>
      <c r="K13" s="153">
        <f t="shared" si="2"/>
        <v>3.888888889196096E-2</v>
      </c>
      <c r="L13" s="103">
        <f t="shared" si="3"/>
        <v>56.000000004423782</v>
      </c>
      <c r="M13" s="12" t="s">
        <v>2713</v>
      </c>
      <c r="N13" s="9" t="s">
        <v>20</v>
      </c>
      <c r="O13" s="9" t="s">
        <v>20</v>
      </c>
      <c r="P13" s="102" t="s">
        <v>2684</v>
      </c>
      <c r="Q13" s="37" t="s">
        <v>678</v>
      </c>
      <c r="R13" s="12"/>
      <c r="S13" s="38" t="str">
        <f t="shared" si="4"/>
        <v>ISLA</v>
      </c>
      <c r="T13" s="37" t="str">
        <f t="shared" si="5"/>
        <v>NON</v>
      </c>
      <c r="U13" s="37" t="s">
        <v>2680</v>
      </c>
    </row>
    <row r="14" spans="1:21" x14ac:dyDescent="0.4">
      <c r="A14" s="37">
        <v>13</v>
      </c>
      <c r="B14" s="37" t="s">
        <v>2714</v>
      </c>
      <c r="C14" s="37" t="s">
        <v>2</v>
      </c>
      <c r="D14" s="37" t="s">
        <v>702</v>
      </c>
      <c r="E14" s="12" t="s">
        <v>2712</v>
      </c>
      <c r="F14" s="102">
        <v>46027.509722222225</v>
      </c>
      <c r="G14" s="102">
        <v>46027.545138888891</v>
      </c>
      <c r="H14" s="102">
        <v>46027.545138888891</v>
      </c>
      <c r="I14" s="153">
        <f t="shared" si="0"/>
        <v>3.5416666665696539E-2</v>
      </c>
      <c r="J14" s="103">
        <f t="shared" si="1"/>
        <v>50.999999998603016</v>
      </c>
      <c r="K14" s="153">
        <f t="shared" si="2"/>
        <v>3.5416666665696539E-2</v>
      </c>
      <c r="L14" s="103">
        <f t="shared" si="3"/>
        <v>50.999999998603016</v>
      </c>
      <c r="M14" s="12" t="s">
        <v>2715</v>
      </c>
      <c r="N14" s="9" t="s">
        <v>20</v>
      </c>
      <c r="O14" s="9" t="s">
        <v>20</v>
      </c>
      <c r="P14" s="102" t="s">
        <v>2684</v>
      </c>
      <c r="Q14" s="37" t="s">
        <v>678</v>
      </c>
      <c r="R14" s="12"/>
      <c r="S14" s="38" t="str">
        <f t="shared" si="4"/>
        <v>ISLA</v>
      </c>
      <c r="T14" s="37" t="str">
        <f t="shared" si="5"/>
        <v>NON</v>
      </c>
      <c r="U14" s="37" t="s">
        <v>2680</v>
      </c>
    </row>
    <row r="15" spans="1:21" x14ac:dyDescent="0.4">
      <c r="A15" s="37">
        <v>14</v>
      </c>
      <c r="B15" s="37" t="s">
        <v>2716</v>
      </c>
      <c r="C15" s="37" t="s">
        <v>2</v>
      </c>
      <c r="D15" s="37" t="s">
        <v>702</v>
      </c>
      <c r="E15" s="12" t="s">
        <v>2717</v>
      </c>
      <c r="F15" s="102">
        <v>46027.681250000001</v>
      </c>
      <c r="G15" s="102">
        <v>46027.708333333336</v>
      </c>
      <c r="H15" s="102">
        <v>46027.708333333336</v>
      </c>
      <c r="I15" s="153">
        <f t="shared" si="0"/>
        <v>2.7083333334303461E-2</v>
      </c>
      <c r="J15" s="103">
        <f t="shared" si="1"/>
        <v>39.000000001396984</v>
      </c>
      <c r="K15" s="153">
        <f t="shared" si="2"/>
        <v>2.7083333334303461E-2</v>
      </c>
      <c r="L15" s="103">
        <f t="shared" si="3"/>
        <v>39.000000001396984</v>
      </c>
      <c r="M15" s="12" t="s">
        <v>2718</v>
      </c>
      <c r="N15" s="9" t="s">
        <v>20</v>
      </c>
      <c r="O15" s="9" t="s">
        <v>20</v>
      </c>
      <c r="P15" s="102" t="s">
        <v>2719</v>
      </c>
      <c r="Q15" s="37" t="s">
        <v>678</v>
      </c>
      <c r="R15" s="12"/>
      <c r="S15" s="38" t="str">
        <f t="shared" si="4"/>
        <v>ISLA</v>
      </c>
      <c r="T15" s="37" t="str">
        <f t="shared" si="5"/>
        <v>NON</v>
      </c>
      <c r="U15" s="37" t="s">
        <v>2680</v>
      </c>
    </row>
    <row r="16" spans="1:21" x14ac:dyDescent="0.4">
      <c r="A16" s="37">
        <v>15</v>
      </c>
      <c r="B16" s="37" t="s">
        <v>2720</v>
      </c>
      <c r="C16" s="37" t="s">
        <v>2</v>
      </c>
      <c r="D16" s="37" t="s">
        <v>702</v>
      </c>
      <c r="E16" s="12" t="s">
        <v>2682</v>
      </c>
      <c r="F16" s="102">
        <v>46028.003472222219</v>
      </c>
      <c r="G16" s="102">
        <v>46028.017361111109</v>
      </c>
      <c r="H16" s="102">
        <v>46028.017361111109</v>
      </c>
      <c r="I16" s="153">
        <f t="shared" si="0"/>
        <v>1.3888888890505768E-2</v>
      </c>
      <c r="J16" s="103">
        <f t="shared" si="1"/>
        <v>20.000000002328306</v>
      </c>
      <c r="K16" s="153">
        <f t="shared" si="2"/>
        <v>1.3888888890505768E-2</v>
      </c>
      <c r="L16" s="103">
        <f t="shared" si="3"/>
        <v>20.000000002328306</v>
      </c>
      <c r="M16" s="12" t="s">
        <v>2721</v>
      </c>
      <c r="N16" s="9" t="s">
        <v>20</v>
      </c>
      <c r="O16" s="9" t="s">
        <v>20</v>
      </c>
      <c r="P16" s="102" t="s">
        <v>2684</v>
      </c>
      <c r="Q16" s="37" t="s">
        <v>678</v>
      </c>
      <c r="R16" s="12"/>
      <c r="S16" s="38" t="str">
        <f t="shared" si="4"/>
        <v>ISLA</v>
      </c>
      <c r="T16" s="37" t="str">
        <f t="shared" si="5"/>
        <v>NON</v>
      </c>
      <c r="U16" s="37" t="s">
        <v>2680</v>
      </c>
    </row>
    <row r="17" spans="1:21" x14ac:dyDescent="0.4">
      <c r="A17" s="37">
        <v>16</v>
      </c>
      <c r="B17" s="37" t="s">
        <v>2722</v>
      </c>
      <c r="C17" s="37" t="s">
        <v>2</v>
      </c>
      <c r="D17" s="37" t="s">
        <v>702</v>
      </c>
      <c r="E17" s="149" t="s">
        <v>2686</v>
      </c>
      <c r="F17" s="102">
        <v>46028.3125</v>
      </c>
      <c r="G17" s="102">
        <v>46035.638194444444</v>
      </c>
      <c r="H17" s="102">
        <v>46035.638194444444</v>
      </c>
      <c r="I17" s="153">
        <f t="shared" si="0"/>
        <v>7.3256944444437977</v>
      </c>
      <c r="J17" s="103">
        <f t="shared" si="1"/>
        <v>10548.999999999069</v>
      </c>
      <c r="K17" s="153">
        <f t="shared" si="2"/>
        <v>7.3256944444437977</v>
      </c>
      <c r="L17" s="103">
        <f t="shared" si="3"/>
        <v>10548.999999999069</v>
      </c>
      <c r="M17" s="12" t="s">
        <v>2723</v>
      </c>
      <c r="N17" s="12" t="s">
        <v>2724</v>
      </c>
      <c r="O17" s="9" t="s">
        <v>2725</v>
      </c>
      <c r="P17" s="102" t="s">
        <v>2628</v>
      </c>
      <c r="Q17" s="37" t="s">
        <v>678</v>
      </c>
      <c r="R17" s="12"/>
      <c r="S17" s="38" t="str">
        <f t="shared" si="4"/>
        <v>OSLA</v>
      </c>
      <c r="T17" s="37" t="str">
        <f t="shared" si="5"/>
        <v>NON</v>
      </c>
      <c r="U17" s="37" t="s">
        <v>2675</v>
      </c>
    </row>
    <row r="18" spans="1:21" x14ac:dyDescent="0.4">
      <c r="A18" s="37">
        <v>17</v>
      </c>
      <c r="B18" s="37" t="s">
        <v>2726</v>
      </c>
      <c r="C18" s="37" t="s">
        <v>2</v>
      </c>
      <c r="D18" s="37" t="s">
        <v>702</v>
      </c>
      <c r="E18" s="12" t="s">
        <v>2727</v>
      </c>
      <c r="F18" s="102">
        <v>46028.451388888891</v>
      </c>
      <c r="G18" s="102">
        <v>46028.71875</v>
      </c>
      <c r="H18" s="102">
        <v>46028.71875</v>
      </c>
      <c r="I18" s="153">
        <f t="shared" si="0"/>
        <v>0.26736111110949423</v>
      </c>
      <c r="J18" s="103">
        <f t="shared" si="1"/>
        <v>384.99999999767169</v>
      </c>
      <c r="K18" s="153">
        <f t="shared" si="2"/>
        <v>0.26736111110949423</v>
      </c>
      <c r="L18" s="103">
        <f t="shared" si="3"/>
        <v>384.99999999767169</v>
      </c>
      <c r="M18" s="12" t="s">
        <v>2728</v>
      </c>
      <c r="N18" s="9" t="s">
        <v>2729</v>
      </c>
      <c r="O18" s="9" t="s">
        <v>2129</v>
      </c>
      <c r="P18" s="102" t="s">
        <v>2628</v>
      </c>
      <c r="Q18" s="37" t="s">
        <v>678</v>
      </c>
      <c r="R18" s="12"/>
      <c r="S18" s="38" t="str">
        <f t="shared" si="4"/>
        <v>OSLA</v>
      </c>
      <c r="T18" s="37" t="str">
        <f t="shared" si="5"/>
        <v>NON</v>
      </c>
      <c r="U18" s="37" t="s">
        <v>2675</v>
      </c>
    </row>
    <row r="19" spans="1:21" x14ac:dyDescent="0.4">
      <c r="A19" s="37">
        <v>18</v>
      </c>
      <c r="B19" s="37" t="s">
        <v>2730</v>
      </c>
      <c r="C19" s="37" t="s">
        <v>2</v>
      </c>
      <c r="D19" s="37" t="s">
        <v>702</v>
      </c>
      <c r="E19" s="149" t="s">
        <v>2731</v>
      </c>
      <c r="F19" s="102">
        <v>46028.454861111109</v>
      </c>
      <c r="G19" s="102">
        <v>46028.579861111109</v>
      </c>
      <c r="H19" s="102">
        <v>46028.579861111109</v>
      </c>
      <c r="I19" s="153">
        <f t="shared" si="0"/>
        <v>0.125</v>
      </c>
      <c r="J19" s="103">
        <f t="shared" si="1"/>
        <v>180</v>
      </c>
      <c r="K19" s="153">
        <f t="shared" si="2"/>
        <v>0.125</v>
      </c>
      <c r="L19" s="103">
        <f t="shared" si="3"/>
        <v>180</v>
      </c>
      <c r="M19" s="12" t="s">
        <v>2732</v>
      </c>
      <c r="N19" s="9" t="s">
        <v>2733</v>
      </c>
      <c r="O19" s="9" t="s">
        <v>356</v>
      </c>
      <c r="P19" s="102" t="s">
        <v>2734</v>
      </c>
      <c r="Q19" s="37" t="s">
        <v>678</v>
      </c>
      <c r="R19" s="12"/>
      <c r="S19" s="38" t="str">
        <f t="shared" si="4"/>
        <v>ISLA</v>
      </c>
      <c r="T19" s="37" t="str">
        <f t="shared" si="5"/>
        <v>NON</v>
      </c>
      <c r="U19" s="37" t="s">
        <v>2735</v>
      </c>
    </row>
    <row r="20" spans="1:21" x14ac:dyDescent="0.4">
      <c r="A20" s="37">
        <v>19</v>
      </c>
      <c r="B20" s="37" t="s">
        <v>2736</v>
      </c>
      <c r="C20" s="37" t="s">
        <v>2</v>
      </c>
      <c r="D20" s="37" t="s">
        <v>702</v>
      </c>
      <c r="E20" s="149" t="s">
        <v>2737</v>
      </c>
      <c r="F20" s="102">
        <v>46028.455555555556</v>
      </c>
      <c r="G20" s="102">
        <v>46029.628472222219</v>
      </c>
      <c r="H20" s="102">
        <v>46029.628472222219</v>
      </c>
      <c r="I20" s="153">
        <f t="shared" si="0"/>
        <v>1.1729166666627862</v>
      </c>
      <c r="J20" s="103">
        <f t="shared" si="1"/>
        <v>1688.9999999944121</v>
      </c>
      <c r="K20" s="153">
        <f t="shared" si="2"/>
        <v>1.1729166666627862</v>
      </c>
      <c r="L20" s="103">
        <f t="shared" si="3"/>
        <v>1688.9999999944121</v>
      </c>
      <c r="M20" s="12" t="s">
        <v>2738</v>
      </c>
      <c r="N20" s="9" t="s">
        <v>2739</v>
      </c>
      <c r="O20" s="9" t="s">
        <v>2740</v>
      </c>
      <c r="P20" s="102" t="s">
        <v>2628</v>
      </c>
      <c r="Q20" s="37" t="s">
        <v>678</v>
      </c>
      <c r="R20" s="12"/>
      <c r="S20" s="38" t="str">
        <f t="shared" si="4"/>
        <v>OSLA</v>
      </c>
      <c r="T20" s="37" t="str">
        <f t="shared" si="5"/>
        <v>NON</v>
      </c>
      <c r="U20" s="37" t="s">
        <v>2675</v>
      </c>
    </row>
    <row r="21" spans="1:21" x14ac:dyDescent="0.4">
      <c r="A21" s="37">
        <v>20</v>
      </c>
      <c r="B21" s="37" t="s">
        <v>2741</v>
      </c>
      <c r="C21" s="37" t="s">
        <v>14</v>
      </c>
      <c r="D21" s="37" t="s">
        <v>702</v>
      </c>
      <c r="E21" s="12" t="s">
        <v>299</v>
      </c>
      <c r="F21" s="102">
        <v>46028.604166666664</v>
      </c>
      <c r="G21" s="102">
        <v>46030.739583333336</v>
      </c>
      <c r="H21" s="102">
        <v>46030.739583333336</v>
      </c>
      <c r="I21" s="153">
        <f t="shared" si="0"/>
        <v>2.1354166666715173</v>
      </c>
      <c r="J21" s="103">
        <f t="shared" si="1"/>
        <v>3075.0000000069849</v>
      </c>
      <c r="K21" s="153">
        <f t="shared" si="2"/>
        <v>2.1354166666715173</v>
      </c>
      <c r="L21" s="103">
        <f t="shared" si="3"/>
        <v>3075.0000000069849</v>
      </c>
      <c r="M21" s="12" t="s">
        <v>2742</v>
      </c>
      <c r="N21" s="9" t="s">
        <v>2743</v>
      </c>
      <c r="O21" s="9" t="s">
        <v>2744</v>
      </c>
      <c r="P21" s="102" t="s">
        <v>2628</v>
      </c>
      <c r="Q21" s="37" t="s">
        <v>678</v>
      </c>
      <c r="R21" s="12"/>
      <c r="S21" s="38" t="str">
        <f t="shared" si="4"/>
        <v>OSLA</v>
      </c>
      <c r="T21" s="37" t="str">
        <f t="shared" si="5"/>
        <v>NON</v>
      </c>
      <c r="U21" s="37" t="s">
        <v>2675</v>
      </c>
    </row>
    <row r="22" spans="1:21" x14ac:dyDescent="0.4">
      <c r="A22" s="37">
        <v>21</v>
      </c>
      <c r="B22" s="37" t="s">
        <v>2745</v>
      </c>
      <c r="C22" s="37" t="s">
        <v>14</v>
      </c>
      <c r="D22" s="37" t="s">
        <v>702</v>
      </c>
      <c r="E22" s="12" t="s">
        <v>2746</v>
      </c>
      <c r="F22" s="102">
        <v>46028.652083333334</v>
      </c>
      <c r="G22" s="102">
        <v>46028.72152777778</v>
      </c>
      <c r="H22" s="102">
        <v>46028.72152777778</v>
      </c>
      <c r="I22" s="153">
        <f t="shared" si="0"/>
        <v>6.9444444445252884E-2</v>
      </c>
      <c r="J22" s="103">
        <f t="shared" si="1"/>
        <v>100.00000000116415</v>
      </c>
      <c r="K22" s="153">
        <f t="shared" si="2"/>
        <v>6.9444444445252884E-2</v>
      </c>
      <c r="L22" s="103">
        <f t="shared" si="3"/>
        <v>100.00000000116415</v>
      </c>
      <c r="M22" s="12" t="s">
        <v>2747</v>
      </c>
      <c r="N22" s="9" t="s">
        <v>2748</v>
      </c>
      <c r="O22" s="9" t="s">
        <v>2744</v>
      </c>
      <c r="P22" s="102" t="s">
        <v>2628</v>
      </c>
      <c r="Q22" s="37" t="s">
        <v>678</v>
      </c>
      <c r="R22" s="12"/>
      <c r="S22" s="38" t="str">
        <f t="shared" si="4"/>
        <v>ISLA</v>
      </c>
      <c r="T22" s="37" t="str">
        <f t="shared" si="5"/>
        <v>NON</v>
      </c>
      <c r="U22" s="37" t="s">
        <v>2675</v>
      </c>
    </row>
    <row r="23" spans="1:21" x14ac:dyDescent="0.4">
      <c r="A23" s="37">
        <v>22</v>
      </c>
      <c r="B23" s="37" t="s">
        <v>2749</v>
      </c>
      <c r="C23" s="37" t="s">
        <v>2</v>
      </c>
      <c r="D23" s="37" t="s">
        <v>702</v>
      </c>
      <c r="E23" s="12" t="s">
        <v>2750</v>
      </c>
      <c r="F23" s="102">
        <v>46029.409722222219</v>
      </c>
      <c r="G23" s="102">
        <v>46029.486111111109</v>
      </c>
      <c r="H23" s="102">
        <v>46029.486111111109</v>
      </c>
      <c r="I23" s="153">
        <f t="shared" si="0"/>
        <v>7.6388888890505768E-2</v>
      </c>
      <c r="J23" s="103">
        <f t="shared" si="1"/>
        <v>110.00000000232831</v>
      </c>
      <c r="K23" s="153">
        <f t="shared" si="2"/>
        <v>7.6388888890505768E-2</v>
      </c>
      <c r="L23" s="103">
        <f t="shared" si="3"/>
        <v>110.00000000232831</v>
      </c>
      <c r="M23" s="12" t="s">
        <v>2751</v>
      </c>
      <c r="N23" s="9" t="s">
        <v>20</v>
      </c>
      <c r="O23" s="9" t="s">
        <v>2752</v>
      </c>
      <c r="P23" s="102" t="s">
        <v>707</v>
      </c>
      <c r="Q23" s="37" t="s">
        <v>678</v>
      </c>
      <c r="R23" s="12"/>
      <c r="S23" s="38" t="str">
        <f t="shared" si="4"/>
        <v>ISLA</v>
      </c>
      <c r="T23" s="37" t="str">
        <f t="shared" si="5"/>
        <v>NON</v>
      </c>
      <c r="U23" s="37" t="s">
        <v>2675</v>
      </c>
    </row>
    <row r="24" spans="1:21" x14ac:dyDescent="0.4">
      <c r="A24" s="37">
        <v>23</v>
      </c>
      <c r="B24" s="37" t="s">
        <v>2706</v>
      </c>
      <c r="C24" s="37" t="s">
        <v>2</v>
      </c>
      <c r="D24" s="37" t="s">
        <v>702</v>
      </c>
      <c r="E24" s="12" t="s">
        <v>2707</v>
      </c>
      <c r="F24" s="102">
        <v>46029.545138888891</v>
      </c>
      <c r="G24" s="102">
        <v>46029.621527777781</v>
      </c>
      <c r="H24" s="102">
        <v>46029.621527777781</v>
      </c>
      <c r="I24" s="153">
        <f t="shared" si="0"/>
        <v>7.6388888890505768E-2</v>
      </c>
      <c r="J24" s="103">
        <f t="shared" si="1"/>
        <v>110.00000000232831</v>
      </c>
      <c r="K24" s="153">
        <f t="shared" si="2"/>
        <v>7.6388888890505768E-2</v>
      </c>
      <c r="L24" s="103">
        <f t="shared" si="3"/>
        <v>110.00000000232831</v>
      </c>
      <c r="M24" s="12" t="s">
        <v>2753</v>
      </c>
      <c r="N24" s="9" t="s">
        <v>20</v>
      </c>
      <c r="O24" s="12" t="s">
        <v>20</v>
      </c>
      <c r="P24" s="102" t="s">
        <v>2628</v>
      </c>
      <c r="Q24" s="37" t="s">
        <v>678</v>
      </c>
      <c r="R24" s="12"/>
      <c r="S24" s="38" t="str">
        <f t="shared" si="4"/>
        <v>ISLA</v>
      </c>
      <c r="T24" s="37" t="str">
        <f t="shared" si="5"/>
        <v>NON</v>
      </c>
      <c r="U24" s="37" t="s">
        <v>2675</v>
      </c>
    </row>
    <row r="25" spans="1:21" x14ac:dyDescent="0.4">
      <c r="A25" s="37">
        <v>24</v>
      </c>
      <c r="B25" s="37" t="s">
        <v>2754</v>
      </c>
      <c r="C25" s="37" t="s">
        <v>2</v>
      </c>
      <c r="D25" s="37" t="s">
        <v>702</v>
      </c>
      <c r="E25" s="12" t="s">
        <v>2755</v>
      </c>
      <c r="F25" s="102">
        <v>46029.897916666669</v>
      </c>
      <c r="G25" s="102">
        <v>46030.447916666664</v>
      </c>
      <c r="H25" s="102">
        <v>46030.447916666664</v>
      </c>
      <c r="I25" s="153">
        <f t="shared" si="0"/>
        <v>0.54999999999563443</v>
      </c>
      <c r="J25" s="103">
        <f t="shared" si="1"/>
        <v>791.99999999371357</v>
      </c>
      <c r="K25" s="153">
        <f t="shared" si="2"/>
        <v>0.54999999999563443</v>
      </c>
      <c r="L25" s="103">
        <f t="shared" si="3"/>
        <v>791.99999999371357</v>
      </c>
      <c r="M25" s="12" t="s">
        <v>2756</v>
      </c>
      <c r="N25" s="9" t="s">
        <v>2757</v>
      </c>
      <c r="O25" s="9" t="s">
        <v>2758</v>
      </c>
      <c r="P25" s="102" t="s">
        <v>2628</v>
      </c>
      <c r="Q25" s="37" t="s">
        <v>678</v>
      </c>
      <c r="R25" s="12"/>
      <c r="S25" s="38" t="str">
        <f t="shared" si="4"/>
        <v>OSLA</v>
      </c>
      <c r="T25" s="37" t="str">
        <f t="shared" si="5"/>
        <v>NON</v>
      </c>
      <c r="U25" s="37" t="s">
        <v>2675</v>
      </c>
    </row>
    <row r="26" spans="1:21" x14ac:dyDescent="0.4">
      <c r="A26" s="37">
        <v>25</v>
      </c>
      <c r="B26" s="37" t="s">
        <v>2759</v>
      </c>
      <c r="C26" s="37" t="s">
        <v>2</v>
      </c>
      <c r="D26" s="37" t="s">
        <v>702</v>
      </c>
      <c r="E26" s="12" t="s">
        <v>2760</v>
      </c>
      <c r="F26" s="102">
        <v>46029.9</v>
      </c>
      <c r="G26" s="102">
        <v>46030.447916666664</v>
      </c>
      <c r="H26" s="102">
        <v>46030.447916666664</v>
      </c>
      <c r="I26" s="153">
        <f t="shared" si="0"/>
        <v>0.54791666666278616</v>
      </c>
      <c r="J26" s="103">
        <f t="shared" si="1"/>
        <v>788.99999999441206</v>
      </c>
      <c r="K26" s="153">
        <f t="shared" si="2"/>
        <v>0.54791666666278616</v>
      </c>
      <c r="L26" s="103">
        <f t="shared" si="3"/>
        <v>788.99999999441206</v>
      </c>
      <c r="M26" s="12" t="s">
        <v>2761</v>
      </c>
      <c r="N26" s="9" t="s">
        <v>2757</v>
      </c>
      <c r="O26" s="9" t="s">
        <v>2758</v>
      </c>
      <c r="P26" s="102" t="s">
        <v>2628</v>
      </c>
      <c r="Q26" s="37" t="s">
        <v>678</v>
      </c>
      <c r="R26" s="12"/>
      <c r="S26" s="38" t="str">
        <f t="shared" si="4"/>
        <v>OSLA</v>
      </c>
      <c r="T26" s="37" t="str">
        <f t="shared" si="5"/>
        <v>NON</v>
      </c>
      <c r="U26" s="37" t="s">
        <v>2675</v>
      </c>
    </row>
    <row r="27" spans="1:21" x14ac:dyDescent="0.4">
      <c r="A27" s="37">
        <v>26</v>
      </c>
      <c r="B27" s="37" t="s">
        <v>2762</v>
      </c>
      <c r="C27" s="37" t="s">
        <v>2</v>
      </c>
      <c r="D27" s="37" t="s">
        <v>702</v>
      </c>
      <c r="E27" s="12" t="s">
        <v>2712</v>
      </c>
      <c r="F27" s="102">
        <v>46029.984027777777</v>
      </c>
      <c r="G27" s="102">
        <v>46030.015277777777</v>
      </c>
      <c r="H27" s="102">
        <v>46030.015277777777</v>
      </c>
      <c r="I27" s="153">
        <f t="shared" si="0"/>
        <v>3.125E-2</v>
      </c>
      <c r="J27" s="103">
        <f t="shared" si="1"/>
        <v>45</v>
      </c>
      <c r="K27" s="153">
        <f t="shared" si="2"/>
        <v>3.125E-2</v>
      </c>
      <c r="L27" s="103">
        <f t="shared" si="3"/>
        <v>45</v>
      </c>
      <c r="M27" s="12" t="s">
        <v>2715</v>
      </c>
      <c r="N27" s="9" t="s">
        <v>20</v>
      </c>
      <c r="O27" s="9" t="s">
        <v>20</v>
      </c>
      <c r="P27" s="102" t="s">
        <v>2684</v>
      </c>
      <c r="Q27" s="37" t="s">
        <v>678</v>
      </c>
      <c r="R27" s="12"/>
      <c r="S27" s="38" t="str">
        <f t="shared" si="4"/>
        <v>ISLA</v>
      </c>
      <c r="T27" s="37" t="str">
        <f t="shared" si="5"/>
        <v>NON</v>
      </c>
      <c r="U27" s="37" t="s">
        <v>2680</v>
      </c>
    </row>
    <row r="28" spans="1:21" x14ac:dyDescent="0.4">
      <c r="A28" s="37">
        <v>27</v>
      </c>
      <c r="B28" s="37" t="s">
        <v>2763</v>
      </c>
      <c r="C28" s="37" t="s">
        <v>14</v>
      </c>
      <c r="D28" s="37" t="s">
        <v>702</v>
      </c>
      <c r="E28" s="12" t="s">
        <v>2764</v>
      </c>
      <c r="F28" s="102">
        <v>46030.413194444445</v>
      </c>
      <c r="G28" s="102">
        <v>46030.493055555555</v>
      </c>
      <c r="H28" s="102">
        <v>46030.493055555555</v>
      </c>
      <c r="I28" s="153">
        <f t="shared" si="0"/>
        <v>7.9861111109494232E-2</v>
      </c>
      <c r="J28" s="103">
        <f t="shared" si="1"/>
        <v>114.99999999767169</v>
      </c>
      <c r="K28" s="153">
        <f t="shared" si="2"/>
        <v>7.9861111109494232E-2</v>
      </c>
      <c r="L28" s="103">
        <f t="shared" si="3"/>
        <v>114.99999999767169</v>
      </c>
      <c r="M28" s="12" t="s">
        <v>2765</v>
      </c>
      <c r="N28" s="9" t="s">
        <v>2766</v>
      </c>
      <c r="O28" s="9" t="s">
        <v>2767</v>
      </c>
      <c r="P28" s="102" t="s">
        <v>2628</v>
      </c>
      <c r="Q28" s="37" t="s">
        <v>678</v>
      </c>
      <c r="R28" s="12"/>
      <c r="S28" s="38" t="str">
        <f t="shared" si="4"/>
        <v>ISLA</v>
      </c>
      <c r="T28" s="37" t="str">
        <f t="shared" si="5"/>
        <v>NON</v>
      </c>
      <c r="U28" s="37" t="s">
        <v>2675</v>
      </c>
    </row>
    <row r="29" spans="1:21" x14ac:dyDescent="0.4">
      <c r="A29" s="37">
        <v>28</v>
      </c>
      <c r="B29" s="37" t="s">
        <v>2768</v>
      </c>
      <c r="C29" s="37" t="s">
        <v>2</v>
      </c>
      <c r="D29" s="37" t="s">
        <v>702</v>
      </c>
      <c r="E29" s="12" t="s">
        <v>2769</v>
      </c>
      <c r="F29" s="102">
        <v>46030.652777777781</v>
      </c>
      <c r="G29" s="102">
        <v>46030.76666666667</v>
      </c>
      <c r="H29" s="102">
        <v>46030.76666666667</v>
      </c>
      <c r="I29" s="153">
        <f t="shared" si="0"/>
        <v>0.11388888888905058</v>
      </c>
      <c r="J29" s="103">
        <f t="shared" si="1"/>
        <v>164.00000000023283</v>
      </c>
      <c r="K29" s="153">
        <f t="shared" si="2"/>
        <v>0.11388888888905058</v>
      </c>
      <c r="L29" s="103">
        <f t="shared" si="3"/>
        <v>164.00000000023283</v>
      </c>
      <c r="M29" s="12" t="s">
        <v>2770</v>
      </c>
      <c r="N29" s="9" t="s">
        <v>20</v>
      </c>
      <c r="O29" s="9" t="s">
        <v>20</v>
      </c>
      <c r="P29" s="102" t="s">
        <v>2771</v>
      </c>
      <c r="Q29" s="37" t="s">
        <v>678</v>
      </c>
      <c r="R29" s="12"/>
      <c r="S29" s="38" t="str">
        <f t="shared" si="4"/>
        <v>ISLA</v>
      </c>
      <c r="T29" s="37" t="str">
        <f t="shared" si="5"/>
        <v>NON</v>
      </c>
      <c r="U29" s="37" t="s">
        <v>2680</v>
      </c>
    </row>
    <row r="30" spans="1:21" x14ac:dyDescent="0.4">
      <c r="A30" s="37">
        <v>29</v>
      </c>
      <c r="B30" s="37" t="s">
        <v>2772</v>
      </c>
      <c r="C30" s="37" t="s">
        <v>2</v>
      </c>
      <c r="D30" s="37" t="s">
        <v>702</v>
      </c>
      <c r="E30" s="12" t="s">
        <v>2773</v>
      </c>
      <c r="F30" s="102">
        <v>46031.163194444445</v>
      </c>
      <c r="G30" s="102">
        <v>46031.384722222225</v>
      </c>
      <c r="H30" s="102">
        <v>46031.384722222225</v>
      </c>
      <c r="I30" s="153">
        <f t="shared" si="0"/>
        <v>0.22152777777955635</v>
      </c>
      <c r="J30" s="103">
        <f t="shared" si="1"/>
        <v>319.00000000256114</v>
      </c>
      <c r="K30" s="153">
        <f t="shared" si="2"/>
        <v>0.22152777777955635</v>
      </c>
      <c r="L30" s="103">
        <f t="shared" si="3"/>
        <v>319.00000000256114</v>
      </c>
      <c r="M30" s="12" t="s">
        <v>2774</v>
      </c>
      <c r="N30" s="9" t="s">
        <v>2766</v>
      </c>
      <c r="O30" s="9" t="s">
        <v>2775</v>
      </c>
      <c r="P30" s="102" t="s">
        <v>2628</v>
      </c>
      <c r="Q30" s="37" t="s">
        <v>678</v>
      </c>
      <c r="R30" s="12"/>
      <c r="S30" s="38" t="str">
        <f t="shared" si="4"/>
        <v>OSLA</v>
      </c>
      <c r="T30" s="37" t="str">
        <f t="shared" si="5"/>
        <v>NON</v>
      </c>
      <c r="U30" s="37" t="s">
        <v>2675</v>
      </c>
    </row>
    <row r="31" spans="1:21" ht="20.6" x14ac:dyDescent="0.4">
      <c r="A31" s="37">
        <v>30</v>
      </c>
      <c r="B31" s="37" t="s">
        <v>2776</v>
      </c>
      <c r="C31" s="37" t="s">
        <v>2</v>
      </c>
      <c r="D31" s="37" t="s">
        <v>702</v>
      </c>
      <c r="E31" s="12" t="s">
        <v>2673</v>
      </c>
      <c r="F31" s="102">
        <v>46031.791666666664</v>
      </c>
      <c r="G31" s="102">
        <v>46031.829861111109</v>
      </c>
      <c r="H31" s="102">
        <v>46031.829861111109</v>
      </c>
      <c r="I31" s="153">
        <f t="shared" si="0"/>
        <v>3.8194444445252884E-2</v>
      </c>
      <c r="J31" s="103">
        <f t="shared" si="1"/>
        <v>55.000000001164153</v>
      </c>
      <c r="K31" s="153">
        <f t="shared" si="2"/>
        <v>3.8194444445252884E-2</v>
      </c>
      <c r="L31" s="103">
        <f t="shared" si="3"/>
        <v>55.000000001164153</v>
      </c>
      <c r="M31" s="12" t="s">
        <v>2674</v>
      </c>
      <c r="N31" s="9" t="s">
        <v>2777</v>
      </c>
      <c r="O31" s="9" t="s">
        <v>2778</v>
      </c>
      <c r="P31" s="102" t="s">
        <v>2779</v>
      </c>
      <c r="Q31" s="37" t="s">
        <v>678</v>
      </c>
      <c r="R31" s="12"/>
      <c r="S31" s="38" t="str">
        <f t="shared" si="4"/>
        <v>ISLA</v>
      </c>
      <c r="T31" s="37" t="str">
        <f t="shared" si="5"/>
        <v>NON</v>
      </c>
      <c r="U31" s="37" t="s">
        <v>2675</v>
      </c>
    </row>
    <row r="32" spans="1:21" x14ac:dyDescent="0.4">
      <c r="A32" s="37">
        <v>31</v>
      </c>
      <c r="B32" s="37" t="s">
        <v>2780</v>
      </c>
      <c r="C32" s="37" t="s">
        <v>2</v>
      </c>
      <c r="D32" s="37" t="s">
        <v>702</v>
      </c>
      <c r="E32" s="12" t="s">
        <v>2781</v>
      </c>
      <c r="F32" s="102">
        <v>46031.920138888891</v>
      </c>
      <c r="G32" s="102">
        <v>46032.136805555558</v>
      </c>
      <c r="H32" s="102">
        <v>46032.136805555558</v>
      </c>
      <c r="I32" s="153">
        <f t="shared" si="0"/>
        <v>0.21666666666715173</v>
      </c>
      <c r="J32" s="103">
        <f t="shared" si="1"/>
        <v>312.00000000069849</v>
      </c>
      <c r="K32" s="153">
        <f t="shared" si="2"/>
        <v>0.21666666666715173</v>
      </c>
      <c r="L32" s="103">
        <f t="shared" si="3"/>
        <v>312.00000000069849</v>
      </c>
      <c r="M32" s="12" t="s">
        <v>2770</v>
      </c>
      <c r="N32" s="9" t="s">
        <v>20</v>
      </c>
      <c r="O32" s="9" t="s">
        <v>20</v>
      </c>
      <c r="P32" s="102" t="s">
        <v>2771</v>
      </c>
      <c r="Q32" s="37" t="s">
        <v>678</v>
      </c>
      <c r="R32" s="12"/>
      <c r="S32" s="38" t="str">
        <f t="shared" si="4"/>
        <v>OSLA</v>
      </c>
      <c r="T32" s="37" t="str">
        <f t="shared" si="5"/>
        <v>NON</v>
      </c>
      <c r="U32" s="37" t="s">
        <v>2735</v>
      </c>
    </row>
    <row r="33" spans="1:21" x14ac:dyDescent="0.4">
      <c r="A33" s="37">
        <v>32</v>
      </c>
      <c r="B33" s="37" t="s">
        <v>2782</v>
      </c>
      <c r="C33" s="37" t="s">
        <v>14</v>
      </c>
      <c r="D33" s="37" t="s">
        <v>702</v>
      </c>
      <c r="E33" s="12" t="s">
        <v>299</v>
      </c>
      <c r="F33" s="102">
        <v>46032.211805555555</v>
      </c>
      <c r="G33" s="102">
        <v>46032.234722222223</v>
      </c>
      <c r="H33" s="102">
        <v>46032.234722222223</v>
      </c>
      <c r="I33" s="153">
        <f t="shared" si="0"/>
        <v>2.2916666668606922E-2</v>
      </c>
      <c r="J33" s="103">
        <f t="shared" si="1"/>
        <v>33.000000002793968</v>
      </c>
      <c r="K33" s="153">
        <f t="shared" si="2"/>
        <v>2.2916666668606922E-2</v>
      </c>
      <c r="L33" s="103">
        <f t="shared" si="3"/>
        <v>33.000000002793968</v>
      </c>
      <c r="M33" s="12" t="s">
        <v>2742</v>
      </c>
      <c r="N33" s="9" t="s">
        <v>20</v>
      </c>
      <c r="O33" s="9" t="s">
        <v>20</v>
      </c>
      <c r="P33" s="102" t="s">
        <v>2628</v>
      </c>
      <c r="Q33" s="37" t="s">
        <v>678</v>
      </c>
      <c r="R33" s="12"/>
      <c r="S33" s="38" t="str">
        <f t="shared" si="4"/>
        <v>ISLA</v>
      </c>
      <c r="T33" s="37" t="str">
        <f t="shared" si="5"/>
        <v>NON</v>
      </c>
      <c r="U33" s="37" t="s">
        <v>2675</v>
      </c>
    </row>
    <row r="34" spans="1:21" x14ac:dyDescent="0.4">
      <c r="A34" s="37">
        <v>33</v>
      </c>
      <c r="B34" s="37" t="s">
        <v>2783</v>
      </c>
      <c r="C34" s="37" t="s">
        <v>2</v>
      </c>
      <c r="D34" s="37" t="s">
        <v>702</v>
      </c>
      <c r="E34" s="12" t="s">
        <v>2717</v>
      </c>
      <c r="F34" s="102">
        <v>46032.546527777777</v>
      </c>
      <c r="G34" s="102">
        <v>46032.568749999999</v>
      </c>
      <c r="H34" s="102">
        <v>46032.568749999999</v>
      </c>
      <c r="I34" s="153">
        <f t="shared" ref="I34:I65" si="6">G34-F34</f>
        <v>2.2222222221898846E-2</v>
      </c>
      <c r="J34" s="103">
        <f t="shared" ref="J34:J65" si="7">I34*1440</f>
        <v>31.999999999534339</v>
      </c>
      <c r="K34" s="153">
        <f t="shared" ref="K34:K65" si="8">H34-F34</f>
        <v>2.2222222221898846E-2</v>
      </c>
      <c r="L34" s="103">
        <f t="shared" ref="L34:L65" si="9">K34*1440</f>
        <v>31.999999999534339</v>
      </c>
      <c r="M34" s="12" t="s">
        <v>2718</v>
      </c>
      <c r="N34" s="9" t="s">
        <v>20</v>
      </c>
      <c r="O34" s="9" t="s">
        <v>20</v>
      </c>
      <c r="P34" s="102" t="s">
        <v>2719</v>
      </c>
      <c r="Q34" s="37" t="s">
        <v>678</v>
      </c>
      <c r="R34" s="12"/>
      <c r="S34" s="38" t="str">
        <f t="shared" ref="S34:S65" si="10">IF(AND(C34="P1",J34&lt;=240),"ISLA",IF((AND(C34="P2",J34&lt;=480)),"ISLA",IF((AND(C34="P3",J34&lt;=2880)),"ISLA","OSLA")))</f>
        <v>ISLA</v>
      </c>
      <c r="T34" s="37" t="str">
        <f t="shared" ref="T34:T65" si="11">IF((AND(MID(P34,1,2)="IT",S34="OSLA")),"OUI","NON")</f>
        <v>NON</v>
      </c>
      <c r="U34" s="37" t="s">
        <v>2680</v>
      </c>
    </row>
    <row r="35" spans="1:21" x14ac:dyDescent="0.4">
      <c r="A35" s="37">
        <v>34</v>
      </c>
      <c r="B35" s="37" t="s">
        <v>2706</v>
      </c>
      <c r="C35" s="37" t="s">
        <v>2</v>
      </c>
      <c r="D35" s="37" t="s">
        <v>702</v>
      </c>
      <c r="E35" s="12" t="s">
        <v>2707</v>
      </c>
      <c r="F35" s="102">
        <v>46033.041666666664</v>
      </c>
      <c r="G35" s="102">
        <v>46033.225694444445</v>
      </c>
      <c r="H35" s="102">
        <v>46033.225694444445</v>
      </c>
      <c r="I35" s="153">
        <f t="shared" si="6"/>
        <v>0.18402777778101154</v>
      </c>
      <c r="J35" s="103">
        <f t="shared" si="7"/>
        <v>265.00000000465661</v>
      </c>
      <c r="K35" s="153">
        <f t="shared" si="8"/>
        <v>0.18402777778101154</v>
      </c>
      <c r="L35" s="103">
        <f t="shared" si="9"/>
        <v>265.00000000465661</v>
      </c>
      <c r="M35" s="12" t="s">
        <v>2753</v>
      </c>
      <c r="N35" s="9" t="s">
        <v>20</v>
      </c>
      <c r="O35" s="9" t="s">
        <v>20</v>
      </c>
      <c r="P35" s="102" t="s">
        <v>2628</v>
      </c>
      <c r="Q35" s="37" t="s">
        <v>678</v>
      </c>
      <c r="R35" s="12"/>
      <c r="S35" s="38" t="str">
        <f t="shared" si="10"/>
        <v>OSLA</v>
      </c>
      <c r="T35" s="37" t="str">
        <f t="shared" si="11"/>
        <v>NON</v>
      </c>
      <c r="U35" s="37" t="s">
        <v>2675</v>
      </c>
    </row>
    <row r="36" spans="1:21" x14ac:dyDescent="0.4">
      <c r="A36" s="37">
        <v>35</v>
      </c>
      <c r="B36" s="37" t="s">
        <v>2784</v>
      </c>
      <c r="C36" s="37" t="s">
        <v>2</v>
      </c>
      <c r="D36" s="37" t="s">
        <v>702</v>
      </c>
      <c r="E36" s="12" t="s">
        <v>2785</v>
      </c>
      <c r="F36" s="102">
        <v>46033.772916666669</v>
      </c>
      <c r="G36" s="102">
        <v>46034.388888888891</v>
      </c>
      <c r="H36" s="102">
        <v>46034.388888888891</v>
      </c>
      <c r="I36" s="153">
        <f t="shared" si="6"/>
        <v>0.61597222222189885</v>
      </c>
      <c r="J36" s="103">
        <f t="shared" si="7"/>
        <v>886.99999999953434</v>
      </c>
      <c r="K36" s="153">
        <f t="shared" si="8"/>
        <v>0.61597222222189885</v>
      </c>
      <c r="L36" s="103">
        <f t="shared" si="9"/>
        <v>886.99999999953434</v>
      </c>
      <c r="M36" s="12" t="s">
        <v>2786</v>
      </c>
      <c r="N36" s="9" t="s">
        <v>2787</v>
      </c>
      <c r="O36" s="9" t="s">
        <v>2788</v>
      </c>
      <c r="P36" s="102" t="s">
        <v>2628</v>
      </c>
      <c r="Q36" s="37" t="s">
        <v>678</v>
      </c>
      <c r="R36" s="12"/>
      <c r="S36" s="38" t="str">
        <f t="shared" si="10"/>
        <v>OSLA</v>
      </c>
      <c r="T36" s="37" t="str">
        <f t="shared" si="11"/>
        <v>NON</v>
      </c>
      <c r="U36" s="37" t="s">
        <v>2675</v>
      </c>
    </row>
    <row r="37" spans="1:21" x14ac:dyDescent="0.4">
      <c r="A37" s="37">
        <v>36</v>
      </c>
      <c r="B37" s="37" t="s">
        <v>2789</v>
      </c>
      <c r="C37" s="37" t="s">
        <v>2</v>
      </c>
      <c r="D37" s="37" t="s">
        <v>702</v>
      </c>
      <c r="E37" s="12" t="s">
        <v>2790</v>
      </c>
      <c r="F37" s="102">
        <v>46034.614583333336</v>
      </c>
      <c r="G37" s="102">
        <v>46034.795138888891</v>
      </c>
      <c r="H37" s="102">
        <v>46034.795138888891</v>
      </c>
      <c r="I37" s="153">
        <f t="shared" si="6"/>
        <v>0.18055555555474712</v>
      </c>
      <c r="J37" s="103">
        <f t="shared" si="7"/>
        <v>259.99999999883585</v>
      </c>
      <c r="K37" s="153">
        <f t="shared" si="8"/>
        <v>0.18055555555474712</v>
      </c>
      <c r="L37" s="103">
        <f t="shared" si="9"/>
        <v>259.99999999883585</v>
      </c>
      <c r="M37" s="12" t="s">
        <v>2791</v>
      </c>
      <c r="N37" s="9" t="s">
        <v>2792</v>
      </c>
      <c r="O37" s="9" t="s">
        <v>2793</v>
      </c>
      <c r="P37" s="102" t="s">
        <v>2794</v>
      </c>
      <c r="Q37" s="37" t="s">
        <v>678</v>
      </c>
      <c r="R37" s="12"/>
      <c r="S37" s="38" t="str">
        <f t="shared" si="10"/>
        <v>OSLA</v>
      </c>
      <c r="T37" s="37" t="str">
        <f t="shared" si="11"/>
        <v>NON</v>
      </c>
      <c r="U37" s="37" t="s">
        <v>2675</v>
      </c>
    </row>
    <row r="38" spans="1:21" x14ac:dyDescent="0.4">
      <c r="A38" s="37">
        <v>37</v>
      </c>
      <c r="B38" s="37" t="s">
        <v>2795</v>
      </c>
      <c r="C38" s="37" t="s">
        <v>2</v>
      </c>
      <c r="D38" s="37" t="s">
        <v>702</v>
      </c>
      <c r="E38" s="12" t="s">
        <v>2796</v>
      </c>
      <c r="F38" s="102">
        <v>46034.631944444445</v>
      </c>
      <c r="G38" s="102">
        <v>46034.732638888891</v>
      </c>
      <c r="H38" s="102">
        <v>46034.732638888891</v>
      </c>
      <c r="I38" s="153">
        <f t="shared" si="6"/>
        <v>0.10069444444525288</v>
      </c>
      <c r="J38" s="103">
        <f t="shared" si="7"/>
        <v>145.00000000116415</v>
      </c>
      <c r="K38" s="153">
        <f t="shared" si="8"/>
        <v>0.10069444444525288</v>
      </c>
      <c r="L38" s="103">
        <f t="shared" si="9"/>
        <v>145.00000000116415</v>
      </c>
      <c r="M38" s="12" t="s">
        <v>2797</v>
      </c>
      <c r="N38" s="9" t="s">
        <v>20</v>
      </c>
      <c r="O38" s="9" t="s">
        <v>20</v>
      </c>
      <c r="P38" s="102" t="s">
        <v>2798</v>
      </c>
      <c r="Q38" s="37" t="s">
        <v>678</v>
      </c>
      <c r="R38" s="12"/>
      <c r="S38" s="38" t="str">
        <f t="shared" si="10"/>
        <v>ISLA</v>
      </c>
      <c r="T38" s="37" t="str">
        <f t="shared" si="11"/>
        <v>NON</v>
      </c>
      <c r="U38" s="37" t="s">
        <v>2680</v>
      </c>
    </row>
    <row r="39" spans="1:21" x14ac:dyDescent="0.4">
      <c r="A39" s="37">
        <v>38</v>
      </c>
      <c r="B39" s="37" t="s">
        <v>2799</v>
      </c>
      <c r="C39" s="37" t="s">
        <v>2</v>
      </c>
      <c r="D39" s="37" t="s">
        <v>702</v>
      </c>
      <c r="E39" s="12" t="s">
        <v>2800</v>
      </c>
      <c r="F39" s="102">
        <v>46034.902083333334</v>
      </c>
      <c r="G39" s="102">
        <v>46034.953472222223</v>
      </c>
      <c r="H39" s="102">
        <v>46034.953472222223</v>
      </c>
      <c r="I39" s="153">
        <f t="shared" si="6"/>
        <v>5.1388888889050577E-2</v>
      </c>
      <c r="J39" s="103">
        <f t="shared" si="7"/>
        <v>74.000000000232831</v>
      </c>
      <c r="K39" s="153">
        <f t="shared" si="8"/>
        <v>5.1388888889050577E-2</v>
      </c>
      <c r="L39" s="103">
        <f t="shared" si="9"/>
        <v>74.000000000232831</v>
      </c>
      <c r="M39" s="12" t="s">
        <v>2801</v>
      </c>
      <c r="N39" s="9" t="s">
        <v>20</v>
      </c>
      <c r="O39" s="9" t="s">
        <v>20</v>
      </c>
      <c r="P39" s="102" t="s">
        <v>2628</v>
      </c>
      <c r="Q39" s="37" t="s">
        <v>678</v>
      </c>
      <c r="R39" s="12"/>
      <c r="S39" s="38" t="str">
        <f t="shared" si="10"/>
        <v>ISLA</v>
      </c>
      <c r="T39" s="37" t="str">
        <f t="shared" si="11"/>
        <v>NON</v>
      </c>
      <c r="U39" s="37" t="s">
        <v>2675</v>
      </c>
    </row>
    <row r="40" spans="1:21" x14ac:dyDescent="0.4">
      <c r="A40" s="37">
        <v>39</v>
      </c>
      <c r="B40" s="37" t="s">
        <v>2802</v>
      </c>
      <c r="C40" s="37" t="s">
        <v>2</v>
      </c>
      <c r="D40" s="37" t="s">
        <v>702</v>
      </c>
      <c r="E40" s="12" t="s">
        <v>2673</v>
      </c>
      <c r="F40" s="102">
        <v>46035.493055555555</v>
      </c>
      <c r="G40" s="102">
        <v>46036.159722222219</v>
      </c>
      <c r="H40" s="102">
        <v>46036.159722222219</v>
      </c>
      <c r="I40" s="153">
        <f t="shared" si="6"/>
        <v>0.66666666666424135</v>
      </c>
      <c r="J40" s="103">
        <f t="shared" si="7"/>
        <v>959.99999999650754</v>
      </c>
      <c r="K40" s="153">
        <f t="shared" si="8"/>
        <v>0.66666666666424135</v>
      </c>
      <c r="L40" s="103">
        <f t="shared" si="9"/>
        <v>959.99999999650754</v>
      </c>
      <c r="M40" s="12" t="s">
        <v>2674</v>
      </c>
      <c r="N40" s="9" t="s">
        <v>20</v>
      </c>
      <c r="O40" s="9" t="s">
        <v>20</v>
      </c>
      <c r="P40" s="102" t="s">
        <v>2628</v>
      </c>
      <c r="Q40" s="37" t="s">
        <v>678</v>
      </c>
      <c r="R40" s="12"/>
      <c r="S40" s="38" t="str">
        <f t="shared" si="10"/>
        <v>OSLA</v>
      </c>
      <c r="T40" s="37" t="str">
        <f t="shared" si="11"/>
        <v>NON</v>
      </c>
      <c r="U40" s="37" t="s">
        <v>2675</v>
      </c>
    </row>
    <row r="41" spans="1:21" x14ac:dyDescent="0.4">
      <c r="A41" s="37">
        <v>40</v>
      </c>
      <c r="B41" s="37" t="s">
        <v>2803</v>
      </c>
      <c r="C41" s="37" t="s">
        <v>2</v>
      </c>
      <c r="D41" s="37" t="s">
        <v>702</v>
      </c>
      <c r="E41" s="12" t="s">
        <v>2804</v>
      </c>
      <c r="F41" s="102">
        <v>46035.545138888891</v>
      </c>
      <c r="G41" s="102">
        <v>46035.583333333336</v>
      </c>
      <c r="H41" s="102">
        <v>46035.583333333336</v>
      </c>
      <c r="I41" s="153">
        <f t="shared" si="6"/>
        <v>3.8194444445252884E-2</v>
      </c>
      <c r="J41" s="103">
        <f t="shared" si="7"/>
        <v>55.000000001164153</v>
      </c>
      <c r="K41" s="153">
        <f t="shared" si="8"/>
        <v>3.8194444445252884E-2</v>
      </c>
      <c r="L41" s="103">
        <f t="shared" si="9"/>
        <v>55.000000001164153</v>
      </c>
      <c r="M41" s="12" t="s">
        <v>2805</v>
      </c>
      <c r="N41" s="9" t="s">
        <v>20</v>
      </c>
      <c r="O41" s="9" t="s">
        <v>20</v>
      </c>
      <c r="P41" s="102" t="s">
        <v>707</v>
      </c>
      <c r="Q41" s="37" t="s">
        <v>678</v>
      </c>
      <c r="R41" s="12"/>
      <c r="S41" s="38" t="str">
        <f t="shared" si="10"/>
        <v>ISLA</v>
      </c>
      <c r="T41" s="37" t="str">
        <f t="shared" si="11"/>
        <v>NON</v>
      </c>
      <c r="U41" s="37" t="s">
        <v>2680</v>
      </c>
    </row>
    <row r="42" spans="1:21" x14ac:dyDescent="0.4">
      <c r="A42" s="37">
        <v>41</v>
      </c>
      <c r="B42" s="37" t="s">
        <v>2806</v>
      </c>
      <c r="C42" s="37" t="s">
        <v>2</v>
      </c>
      <c r="D42" s="37" t="s">
        <v>702</v>
      </c>
      <c r="E42" s="12" t="s">
        <v>2796</v>
      </c>
      <c r="F42" s="102">
        <v>46036.250694444447</v>
      </c>
      <c r="G42" s="102">
        <v>46036.364583333336</v>
      </c>
      <c r="H42" s="102">
        <v>46036.364583333336</v>
      </c>
      <c r="I42" s="153">
        <f t="shared" si="6"/>
        <v>0.11388888888905058</v>
      </c>
      <c r="J42" s="103">
        <f t="shared" si="7"/>
        <v>164.00000000023283</v>
      </c>
      <c r="K42" s="153">
        <f t="shared" si="8"/>
        <v>0.11388888888905058</v>
      </c>
      <c r="L42" s="103">
        <f t="shared" si="9"/>
        <v>164.00000000023283</v>
      </c>
      <c r="M42" s="12" t="s">
        <v>2797</v>
      </c>
      <c r="N42" s="9" t="s">
        <v>20</v>
      </c>
      <c r="O42" s="9" t="s">
        <v>20</v>
      </c>
      <c r="P42" s="102" t="s">
        <v>2798</v>
      </c>
      <c r="Q42" s="37" t="s">
        <v>678</v>
      </c>
      <c r="R42" s="12"/>
      <c r="S42" s="38" t="str">
        <f t="shared" si="10"/>
        <v>ISLA</v>
      </c>
      <c r="T42" s="37" t="str">
        <f t="shared" si="11"/>
        <v>NON</v>
      </c>
      <c r="U42" s="37" t="s">
        <v>2680</v>
      </c>
    </row>
    <row r="43" spans="1:21" x14ac:dyDescent="0.4">
      <c r="A43" s="37">
        <v>42</v>
      </c>
      <c r="B43" s="37" t="s">
        <v>2807</v>
      </c>
      <c r="C43" s="37" t="s">
        <v>2</v>
      </c>
      <c r="D43" s="37" t="s">
        <v>702</v>
      </c>
      <c r="E43" s="12" t="s">
        <v>2808</v>
      </c>
      <c r="F43" s="102">
        <v>46036.322916666664</v>
      </c>
      <c r="G43" s="102">
        <v>46036.704861111109</v>
      </c>
      <c r="H43" s="102">
        <v>46036.704861111109</v>
      </c>
      <c r="I43" s="153">
        <f t="shared" si="6"/>
        <v>0.38194444444525288</v>
      </c>
      <c r="J43" s="103">
        <f t="shared" si="7"/>
        <v>550.00000000116415</v>
      </c>
      <c r="K43" s="153">
        <f t="shared" si="8"/>
        <v>0.38194444444525288</v>
      </c>
      <c r="L43" s="103">
        <f t="shared" si="9"/>
        <v>550.00000000116415</v>
      </c>
      <c r="M43" s="12" t="s">
        <v>2809</v>
      </c>
      <c r="N43" s="9" t="s">
        <v>20</v>
      </c>
      <c r="O43" s="9" t="s">
        <v>20</v>
      </c>
      <c r="P43" s="102" t="s">
        <v>707</v>
      </c>
      <c r="Q43" s="37" t="s">
        <v>678</v>
      </c>
      <c r="R43" s="12"/>
      <c r="S43" s="38" t="str">
        <f t="shared" si="10"/>
        <v>OSLA</v>
      </c>
      <c r="T43" s="37" t="str">
        <f t="shared" si="11"/>
        <v>NON</v>
      </c>
      <c r="U43" s="37" t="s">
        <v>2680</v>
      </c>
    </row>
    <row r="44" spans="1:21" x14ac:dyDescent="0.4">
      <c r="A44" s="37">
        <v>43</v>
      </c>
      <c r="B44" s="37" t="s">
        <v>2810</v>
      </c>
      <c r="C44" s="37" t="s">
        <v>2</v>
      </c>
      <c r="D44" s="37" t="s">
        <v>702</v>
      </c>
      <c r="E44" s="12" t="s">
        <v>2811</v>
      </c>
      <c r="F44" s="102">
        <v>46036.337500000001</v>
      </c>
      <c r="G44" s="102">
        <v>46036.434027777781</v>
      </c>
      <c r="H44" s="102">
        <v>46036.434027777781</v>
      </c>
      <c r="I44" s="153">
        <f t="shared" si="6"/>
        <v>9.6527777779556345E-2</v>
      </c>
      <c r="J44" s="103">
        <f t="shared" si="7"/>
        <v>139.00000000256114</v>
      </c>
      <c r="K44" s="153">
        <f t="shared" si="8"/>
        <v>9.6527777779556345E-2</v>
      </c>
      <c r="L44" s="103">
        <f t="shared" si="9"/>
        <v>139.00000000256114</v>
      </c>
      <c r="M44" s="12" t="s">
        <v>2812</v>
      </c>
      <c r="N44" s="9" t="s">
        <v>20</v>
      </c>
      <c r="O44" s="9" t="s">
        <v>20</v>
      </c>
      <c r="P44" s="102" t="s">
        <v>2813</v>
      </c>
      <c r="Q44" s="37" t="s">
        <v>678</v>
      </c>
      <c r="R44" s="12"/>
      <c r="S44" s="38" t="str">
        <f t="shared" si="10"/>
        <v>ISLA</v>
      </c>
      <c r="T44" s="37" t="str">
        <f t="shared" si="11"/>
        <v>NON</v>
      </c>
      <c r="U44" s="37" t="s">
        <v>2680</v>
      </c>
    </row>
    <row r="45" spans="1:21" x14ac:dyDescent="0.4">
      <c r="A45" s="37">
        <v>44</v>
      </c>
      <c r="B45" s="37" t="s">
        <v>2814</v>
      </c>
      <c r="C45" s="37" t="s">
        <v>2</v>
      </c>
      <c r="D45" s="37" t="s">
        <v>702</v>
      </c>
      <c r="E45" s="12" t="s">
        <v>2673</v>
      </c>
      <c r="F45" s="102">
        <v>46036.381944444445</v>
      </c>
      <c r="G45" s="102">
        <v>46037.0625</v>
      </c>
      <c r="H45" s="102">
        <v>46037.0625</v>
      </c>
      <c r="I45" s="153">
        <f t="shared" si="6"/>
        <v>0.68055555555474712</v>
      </c>
      <c r="J45" s="103">
        <f t="shared" si="7"/>
        <v>979.99999999883585</v>
      </c>
      <c r="K45" s="153">
        <f t="shared" si="8"/>
        <v>0.68055555555474712</v>
      </c>
      <c r="L45" s="103">
        <f t="shared" si="9"/>
        <v>979.99999999883585</v>
      </c>
      <c r="M45" s="12" t="s">
        <v>2674</v>
      </c>
      <c r="N45" s="9" t="s">
        <v>20</v>
      </c>
      <c r="O45" s="9" t="s">
        <v>20</v>
      </c>
      <c r="P45" s="102" t="s">
        <v>2815</v>
      </c>
      <c r="Q45" s="37" t="s">
        <v>678</v>
      </c>
      <c r="R45" s="12"/>
      <c r="S45" s="38" t="str">
        <f t="shared" si="10"/>
        <v>OSLA</v>
      </c>
      <c r="T45" s="37" t="str">
        <f t="shared" si="11"/>
        <v>OUI</v>
      </c>
      <c r="U45" s="37" t="s">
        <v>2680</v>
      </c>
    </row>
    <row r="46" spans="1:21" x14ac:dyDescent="0.4">
      <c r="A46" s="37">
        <v>45</v>
      </c>
      <c r="B46" s="37" t="s">
        <v>2816</v>
      </c>
      <c r="C46" s="37" t="s">
        <v>2</v>
      </c>
      <c r="D46" s="37" t="s">
        <v>702</v>
      </c>
      <c r="E46" s="12" t="s">
        <v>2817</v>
      </c>
      <c r="F46" s="102">
        <v>46036.569444444445</v>
      </c>
      <c r="G46" s="102">
        <v>46036.589583333334</v>
      </c>
      <c r="H46" s="102">
        <v>46036.589583333334</v>
      </c>
      <c r="I46" s="153">
        <f t="shared" si="6"/>
        <v>2.0138888889050577E-2</v>
      </c>
      <c r="J46" s="103">
        <f t="shared" si="7"/>
        <v>29.000000000232831</v>
      </c>
      <c r="K46" s="153">
        <f t="shared" si="8"/>
        <v>2.0138888889050577E-2</v>
      </c>
      <c r="L46" s="103">
        <f t="shared" si="9"/>
        <v>29.000000000232831</v>
      </c>
      <c r="M46" s="12" t="s">
        <v>2818</v>
      </c>
      <c r="N46" s="9" t="s">
        <v>20</v>
      </c>
      <c r="O46" s="9" t="s">
        <v>20</v>
      </c>
      <c r="P46" s="102" t="s">
        <v>2819</v>
      </c>
      <c r="Q46" s="37" t="s">
        <v>678</v>
      </c>
      <c r="R46" s="12"/>
      <c r="S46" s="38" t="str">
        <f t="shared" si="10"/>
        <v>ISLA</v>
      </c>
      <c r="T46" s="37" t="str">
        <f t="shared" si="11"/>
        <v>NON</v>
      </c>
      <c r="U46" s="37" t="s">
        <v>2680</v>
      </c>
    </row>
    <row r="47" spans="1:21" x14ac:dyDescent="0.4">
      <c r="A47" s="37">
        <v>46</v>
      </c>
      <c r="B47" s="37" t="s">
        <v>2820</v>
      </c>
      <c r="C47" s="37" t="s">
        <v>2</v>
      </c>
      <c r="D47" s="37" t="s">
        <v>702</v>
      </c>
      <c r="E47" s="12" t="s">
        <v>2750</v>
      </c>
      <c r="F47" s="102">
        <v>46036.802083333336</v>
      </c>
      <c r="G47" s="102">
        <v>46036.854166666664</v>
      </c>
      <c r="H47" s="102">
        <v>46036.854166666664</v>
      </c>
      <c r="I47" s="153">
        <f t="shared" si="6"/>
        <v>5.2083333328482695E-2</v>
      </c>
      <c r="J47" s="103">
        <f t="shared" si="7"/>
        <v>74.999999993015081</v>
      </c>
      <c r="K47" s="153">
        <f t="shared" si="8"/>
        <v>5.2083333328482695E-2</v>
      </c>
      <c r="L47" s="103">
        <f t="shared" si="9"/>
        <v>74.999999993015081</v>
      </c>
      <c r="M47" s="12" t="s">
        <v>2821</v>
      </c>
      <c r="N47" s="9" t="s">
        <v>20</v>
      </c>
      <c r="O47" s="9" t="s">
        <v>20</v>
      </c>
      <c r="P47" s="102" t="s">
        <v>707</v>
      </c>
      <c r="Q47" s="37" t="s">
        <v>678</v>
      </c>
      <c r="R47" s="12"/>
      <c r="S47" s="38" t="str">
        <f t="shared" si="10"/>
        <v>ISLA</v>
      </c>
      <c r="T47" s="37" t="str">
        <f t="shared" si="11"/>
        <v>NON</v>
      </c>
      <c r="U47" s="37" t="s">
        <v>2680</v>
      </c>
    </row>
    <row r="48" spans="1:21" x14ac:dyDescent="0.4">
      <c r="A48" s="37">
        <v>47</v>
      </c>
      <c r="B48" s="37" t="s">
        <v>2822</v>
      </c>
      <c r="C48" s="37" t="s">
        <v>2</v>
      </c>
      <c r="D48" s="37" t="s">
        <v>702</v>
      </c>
      <c r="E48" s="12" t="s">
        <v>2773</v>
      </c>
      <c r="F48" s="102">
        <v>46036.888194444444</v>
      </c>
      <c r="G48" s="102">
        <v>46037.370833333334</v>
      </c>
      <c r="H48" s="102">
        <v>46037.370833333334</v>
      </c>
      <c r="I48" s="153">
        <f t="shared" si="6"/>
        <v>0.48263888889050577</v>
      </c>
      <c r="J48" s="103">
        <f t="shared" si="7"/>
        <v>695.00000000232831</v>
      </c>
      <c r="K48" s="153">
        <f t="shared" si="8"/>
        <v>0.48263888889050577</v>
      </c>
      <c r="L48" s="103">
        <f t="shared" si="9"/>
        <v>695.00000000232831</v>
      </c>
      <c r="M48" s="12" t="s">
        <v>2774</v>
      </c>
      <c r="N48" s="9" t="s">
        <v>20</v>
      </c>
      <c r="O48" s="9" t="s">
        <v>20</v>
      </c>
      <c r="P48" s="102" t="s">
        <v>2628</v>
      </c>
      <c r="Q48" s="37" t="s">
        <v>678</v>
      </c>
      <c r="R48" s="12"/>
      <c r="S48" s="38" t="str">
        <f t="shared" si="10"/>
        <v>OSLA</v>
      </c>
      <c r="T48" s="37" t="str">
        <f t="shared" si="11"/>
        <v>NON</v>
      </c>
      <c r="U48" s="37" t="s">
        <v>2675</v>
      </c>
    </row>
    <row r="49" spans="1:21" x14ac:dyDescent="0.4">
      <c r="A49" s="37">
        <v>48</v>
      </c>
      <c r="B49" s="37" t="s">
        <v>2823</v>
      </c>
      <c r="C49" s="37" t="s">
        <v>2</v>
      </c>
      <c r="D49" s="37" t="s">
        <v>702</v>
      </c>
      <c r="E49" s="12" t="s">
        <v>2824</v>
      </c>
      <c r="F49" s="102">
        <v>46037</v>
      </c>
      <c r="G49" s="102">
        <v>46037.349305555559</v>
      </c>
      <c r="H49" s="102">
        <v>46037.349305555559</v>
      </c>
      <c r="I49" s="153">
        <f t="shared" si="6"/>
        <v>0.34930555555911269</v>
      </c>
      <c r="J49" s="103">
        <f t="shared" si="7"/>
        <v>503.00000000512227</v>
      </c>
      <c r="K49" s="153">
        <f t="shared" si="8"/>
        <v>0.34930555555911269</v>
      </c>
      <c r="L49" s="103">
        <f t="shared" si="9"/>
        <v>503.00000000512227</v>
      </c>
      <c r="M49" s="12" t="s">
        <v>2825</v>
      </c>
      <c r="N49" s="9" t="s">
        <v>20</v>
      </c>
      <c r="O49" s="9" t="s">
        <v>20</v>
      </c>
      <c r="P49" s="102" t="s">
        <v>2813</v>
      </c>
      <c r="Q49" s="37" t="s">
        <v>678</v>
      </c>
      <c r="R49" s="12"/>
      <c r="S49" s="38" t="str">
        <f t="shared" si="10"/>
        <v>OSLA</v>
      </c>
      <c r="T49" s="37" t="str">
        <f t="shared" si="11"/>
        <v>OUI</v>
      </c>
      <c r="U49" s="37" t="s">
        <v>2680</v>
      </c>
    </row>
    <row r="50" spans="1:21" x14ac:dyDescent="0.4">
      <c r="A50" s="37">
        <v>49</v>
      </c>
      <c r="B50" s="37" t="s">
        <v>2826</v>
      </c>
      <c r="C50" s="37" t="s">
        <v>2</v>
      </c>
      <c r="D50" s="37" t="s">
        <v>702</v>
      </c>
      <c r="E50" s="12" t="s">
        <v>2827</v>
      </c>
      <c r="F50" s="102">
        <v>46037.232638888891</v>
      </c>
      <c r="G50" s="102">
        <v>46037.317361111112</v>
      </c>
      <c r="H50" s="102">
        <v>46037.317361111112</v>
      </c>
      <c r="I50" s="153">
        <f t="shared" si="6"/>
        <v>8.4722222221898846E-2</v>
      </c>
      <c r="J50" s="103">
        <f t="shared" si="7"/>
        <v>121.99999999953434</v>
      </c>
      <c r="K50" s="153">
        <f t="shared" si="8"/>
        <v>8.4722222221898846E-2</v>
      </c>
      <c r="L50" s="103">
        <f t="shared" si="9"/>
        <v>121.99999999953434</v>
      </c>
      <c r="M50" s="12" t="s">
        <v>2828</v>
      </c>
      <c r="N50" s="9" t="s">
        <v>20</v>
      </c>
      <c r="O50" s="9" t="s">
        <v>20</v>
      </c>
      <c r="P50" s="102" t="s">
        <v>2829</v>
      </c>
      <c r="Q50" s="37" t="s">
        <v>678</v>
      </c>
      <c r="R50" s="12"/>
      <c r="S50" s="38" t="str">
        <f t="shared" si="10"/>
        <v>ISLA</v>
      </c>
      <c r="T50" s="37" t="str">
        <f t="shared" si="11"/>
        <v>NON</v>
      </c>
      <c r="U50" s="37" t="s">
        <v>2680</v>
      </c>
    </row>
    <row r="51" spans="1:21" x14ac:dyDescent="0.4">
      <c r="A51" s="37">
        <v>50</v>
      </c>
      <c r="B51" s="37" t="s">
        <v>2830</v>
      </c>
      <c r="C51" s="37" t="s">
        <v>2</v>
      </c>
      <c r="D51" s="37" t="s">
        <v>702</v>
      </c>
      <c r="E51" s="12" t="s">
        <v>2831</v>
      </c>
      <c r="F51" s="102">
        <v>46037.265277777777</v>
      </c>
      <c r="G51" s="102">
        <v>46037.368750000001</v>
      </c>
      <c r="H51" s="102">
        <v>46037.368750000001</v>
      </c>
      <c r="I51" s="153">
        <f t="shared" si="6"/>
        <v>0.10347222222480923</v>
      </c>
      <c r="J51" s="103">
        <f t="shared" si="7"/>
        <v>149.00000000372529</v>
      </c>
      <c r="K51" s="153">
        <f t="shared" si="8"/>
        <v>0.10347222222480923</v>
      </c>
      <c r="L51" s="103">
        <f t="shared" si="9"/>
        <v>149.00000000372529</v>
      </c>
      <c r="M51" s="12" t="s">
        <v>2832</v>
      </c>
      <c r="N51" s="9" t="s">
        <v>20</v>
      </c>
      <c r="O51" s="9" t="s">
        <v>2833</v>
      </c>
      <c r="P51" s="102" t="s">
        <v>2834</v>
      </c>
      <c r="Q51" s="37" t="s">
        <v>678</v>
      </c>
      <c r="R51" s="12"/>
      <c r="S51" s="38" t="str">
        <f t="shared" si="10"/>
        <v>ISLA</v>
      </c>
      <c r="T51" s="37" t="str">
        <f t="shared" si="11"/>
        <v>NON</v>
      </c>
      <c r="U51" s="37" t="s">
        <v>2680</v>
      </c>
    </row>
    <row r="52" spans="1:21" x14ac:dyDescent="0.4">
      <c r="A52" s="37">
        <v>51</v>
      </c>
      <c r="B52" s="37" t="s">
        <v>2835</v>
      </c>
      <c r="C52" s="37" t="s">
        <v>2</v>
      </c>
      <c r="D52" s="37" t="s">
        <v>702</v>
      </c>
      <c r="E52" s="12" t="s">
        <v>2712</v>
      </c>
      <c r="F52" s="102">
        <v>46037.469444444447</v>
      </c>
      <c r="G52" s="102">
        <v>46037.615277777775</v>
      </c>
      <c r="H52" s="102">
        <v>46037.615277777775</v>
      </c>
      <c r="I52" s="153">
        <f t="shared" si="6"/>
        <v>0.14583333332848269</v>
      </c>
      <c r="J52" s="103">
        <f t="shared" si="7"/>
        <v>209.99999999301508</v>
      </c>
      <c r="K52" s="153">
        <f t="shared" si="8"/>
        <v>0.14583333332848269</v>
      </c>
      <c r="L52" s="103">
        <f t="shared" si="9"/>
        <v>209.99999999301508</v>
      </c>
      <c r="M52" s="12" t="s">
        <v>2836</v>
      </c>
      <c r="N52" s="9" t="s">
        <v>20</v>
      </c>
      <c r="O52" s="9" t="s">
        <v>20</v>
      </c>
      <c r="P52" s="102" t="s">
        <v>2684</v>
      </c>
      <c r="Q52" s="37" t="s">
        <v>678</v>
      </c>
      <c r="R52" s="12"/>
      <c r="S52" s="38" t="str">
        <f t="shared" si="10"/>
        <v>ISLA</v>
      </c>
      <c r="T52" s="37" t="str">
        <f t="shared" si="11"/>
        <v>NON</v>
      </c>
      <c r="U52" s="37" t="s">
        <v>2680</v>
      </c>
    </row>
    <row r="53" spans="1:21" x14ac:dyDescent="0.4">
      <c r="A53" s="37">
        <v>52</v>
      </c>
      <c r="B53" s="37" t="s">
        <v>2706</v>
      </c>
      <c r="C53" s="37" t="s">
        <v>2</v>
      </c>
      <c r="D53" s="37" t="s">
        <v>702</v>
      </c>
      <c r="E53" s="12" t="s">
        <v>2707</v>
      </c>
      <c r="F53" s="102">
        <v>46037.5</v>
      </c>
      <c r="G53" s="102">
        <v>46037.677083333336</v>
      </c>
      <c r="H53" s="102">
        <v>46037.677083333336</v>
      </c>
      <c r="I53" s="153">
        <f t="shared" si="6"/>
        <v>0.17708333333575865</v>
      </c>
      <c r="J53" s="103">
        <f t="shared" si="7"/>
        <v>255.00000000349246</v>
      </c>
      <c r="K53" s="153">
        <f t="shared" si="8"/>
        <v>0.17708333333575865</v>
      </c>
      <c r="L53" s="103">
        <f t="shared" si="9"/>
        <v>255.00000000349246</v>
      </c>
      <c r="M53" s="12" t="s">
        <v>2837</v>
      </c>
      <c r="N53" s="9" t="s">
        <v>20</v>
      </c>
      <c r="O53" s="9" t="s">
        <v>20</v>
      </c>
      <c r="P53" s="102" t="s">
        <v>2628</v>
      </c>
      <c r="Q53" s="37" t="s">
        <v>678</v>
      </c>
      <c r="R53" s="12"/>
      <c r="S53" s="38" t="str">
        <f t="shared" si="10"/>
        <v>OSLA</v>
      </c>
      <c r="T53" s="37" t="str">
        <f t="shared" si="11"/>
        <v>NON</v>
      </c>
      <c r="U53" s="37" t="s">
        <v>2675</v>
      </c>
    </row>
    <row r="54" spans="1:21" x14ac:dyDescent="0.4">
      <c r="A54" s="37">
        <v>53</v>
      </c>
      <c r="B54" s="37" t="s">
        <v>2838</v>
      </c>
      <c r="C54" s="37" t="s">
        <v>2</v>
      </c>
      <c r="D54" s="37" t="s">
        <v>702</v>
      </c>
      <c r="E54" s="12" t="s">
        <v>2839</v>
      </c>
      <c r="F54" s="102">
        <v>46037.521527777775</v>
      </c>
      <c r="G54" s="102">
        <v>46037.529861111114</v>
      </c>
      <c r="H54" s="102">
        <v>46037.529861111114</v>
      </c>
      <c r="I54" s="153">
        <f t="shared" si="6"/>
        <v>8.3333333386690356E-3</v>
      </c>
      <c r="J54" s="103">
        <f t="shared" si="7"/>
        <v>12.000000007683411</v>
      </c>
      <c r="K54" s="153">
        <f t="shared" si="8"/>
        <v>8.3333333386690356E-3</v>
      </c>
      <c r="L54" s="103">
        <f t="shared" si="9"/>
        <v>12.000000007683411</v>
      </c>
      <c r="M54" s="12" t="s">
        <v>2840</v>
      </c>
      <c r="N54" s="9" t="s">
        <v>20</v>
      </c>
      <c r="O54" s="9" t="s">
        <v>20</v>
      </c>
      <c r="P54" s="102" t="s">
        <v>701</v>
      </c>
      <c r="Q54" s="37" t="s">
        <v>678</v>
      </c>
      <c r="R54" s="12"/>
      <c r="S54" s="38" t="str">
        <f t="shared" si="10"/>
        <v>ISLA</v>
      </c>
      <c r="T54" s="37" t="str">
        <f t="shared" si="11"/>
        <v>NON</v>
      </c>
      <c r="U54" s="37" t="s">
        <v>2680</v>
      </c>
    </row>
    <row r="55" spans="1:21" x14ac:dyDescent="0.4">
      <c r="A55" s="37">
        <v>54</v>
      </c>
      <c r="B55" s="37" t="s">
        <v>2841</v>
      </c>
      <c r="C55" s="37" t="s">
        <v>2</v>
      </c>
      <c r="D55" s="37" t="s">
        <v>702</v>
      </c>
      <c r="E55" s="12" t="s">
        <v>2800</v>
      </c>
      <c r="F55" s="102">
        <v>46037.539583333331</v>
      </c>
      <c r="G55" s="102">
        <v>46037.760416666664</v>
      </c>
      <c r="H55" s="102">
        <v>46037.760416666664</v>
      </c>
      <c r="I55" s="153">
        <f t="shared" si="6"/>
        <v>0.22083333333284827</v>
      </c>
      <c r="J55" s="103">
        <f t="shared" si="7"/>
        <v>317.99999999930151</v>
      </c>
      <c r="K55" s="153">
        <f t="shared" si="8"/>
        <v>0.22083333333284827</v>
      </c>
      <c r="L55" s="103">
        <f t="shared" si="9"/>
        <v>317.99999999930151</v>
      </c>
      <c r="M55" s="12" t="s">
        <v>2842</v>
      </c>
      <c r="N55" s="9" t="s">
        <v>2843</v>
      </c>
      <c r="O55" s="9" t="s">
        <v>2744</v>
      </c>
      <c r="P55" s="102" t="s">
        <v>2628</v>
      </c>
      <c r="Q55" s="37" t="s">
        <v>678</v>
      </c>
      <c r="R55" s="12"/>
      <c r="S55" s="38" t="str">
        <f t="shared" si="10"/>
        <v>OSLA</v>
      </c>
      <c r="T55" s="37" t="str">
        <f t="shared" si="11"/>
        <v>NON</v>
      </c>
      <c r="U55" s="37" t="s">
        <v>2675</v>
      </c>
    </row>
    <row r="56" spans="1:21" x14ac:dyDescent="0.4">
      <c r="A56" s="37">
        <v>55</v>
      </c>
      <c r="B56" s="37" t="s">
        <v>2844</v>
      </c>
      <c r="C56" s="37" t="s">
        <v>2</v>
      </c>
      <c r="D56" s="37" t="s">
        <v>702</v>
      </c>
      <c r="E56" s="12" t="s">
        <v>2845</v>
      </c>
      <c r="F56" s="102">
        <v>46037.835416666669</v>
      </c>
      <c r="G56" s="102">
        <v>46037.902083333334</v>
      </c>
      <c r="H56" s="102">
        <v>46037.902083333334</v>
      </c>
      <c r="I56" s="153">
        <f t="shared" si="6"/>
        <v>6.6666666665696539E-2</v>
      </c>
      <c r="J56" s="103">
        <f t="shared" si="7"/>
        <v>95.999999998603016</v>
      </c>
      <c r="K56" s="153">
        <f t="shared" si="8"/>
        <v>6.6666666665696539E-2</v>
      </c>
      <c r="L56" s="103">
        <f t="shared" si="9"/>
        <v>95.999999998603016</v>
      </c>
      <c r="M56" s="12" t="s">
        <v>2718</v>
      </c>
      <c r="N56" s="9" t="s">
        <v>20</v>
      </c>
      <c r="O56" s="9" t="s">
        <v>20</v>
      </c>
      <c r="P56" s="102" t="s">
        <v>2846</v>
      </c>
      <c r="Q56" s="37" t="s">
        <v>678</v>
      </c>
      <c r="R56" s="12"/>
      <c r="S56" s="38" t="str">
        <f t="shared" si="10"/>
        <v>ISLA</v>
      </c>
      <c r="T56" s="37" t="str">
        <f t="shared" si="11"/>
        <v>NON</v>
      </c>
      <c r="U56" s="37" t="s">
        <v>2680</v>
      </c>
    </row>
    <row r="57" spans="1:21" x14ac:dyDescent="0.4">
      <c r="A57" s="37">
        <v>56</v>
      </c>
      <c r="B57" s="37" t="s">
        <v>2847</v>
      </c>
      <c r="C57" s="37" t="s">
        <v>2</v>
      </c>
      <c r="D57" s="37" t="s">
        <v>702</v>
      </c>
      <c r="E57" s="12" t="s">
        <v>2848</v>
      </c>
      <c r="F57" s="102">
        <v>46038.315972222219</v>
      </c>
      <c r="G57" s="102">
        <v>46038.392361111109</v>
      </c>
      <c r="H57" s="102">
        <v>46038.392361111109</v>
      </c>
      <c r="I57" s="153">
        <f t="shared" si="6"/>
        <v>7.6388888890505768E-2</v>
      </c>
      <c r="J57" s="103">
        <f t="shared" si="7"/>
        <v>110.00000000232831</v>
      </c>
      <c r="K57" s="153">
        <f t="shared" si="8"/>
        <v>7.6388888890505768E-2</v>
      </c>
      <c r="L57" s="103">
        <f t="shared" si="9"/>
        <v>110.00000000232831</v>
      </c>
      <c r="M57" s="12" t="s">
        <v>2849</v>
      </c>
      <c r="N57" s="9" t="s">
        <v>2787</v>
      </c>
      <c r="O57" s="9" t="s">
        <v>2788</v>
      </c>
      <c r="P57" s="102" t="s">
        <v>2628</v>
      </c>
      <c r="Q57" s="37" t="s">
        <v>678</v>
      </c>
      <c r="R57" s="12"/>
      <c r="S57" s="38" t="str">
        <f t="shared" si="10"/>
        <v>ISLA</v>
      </c>
      <c r="T57" s="37" t="str">
        <f t="shared" si="11"/>
        <v>NON</v>
      </c>
      <c r="U57" s="37" t="s">
        <v>2675</v>
      </c>
    </row>
    <row r="58" spans="1:21" x14ac:dyDescent="0.4">
      <c r="A58" s="37">
        <v>57</v>
      </c>
      <c r="B58" s="37" t="s">
        <v>2850</v>
      </c>
      <c r="C58" s="37" t="s">
        <v>2</v>
      </c>
      <c r="D58" s="37" t="s">
        <v>702</v>
      </c>
      <c r="E58" s="12" t="s">
        <v>2851</v>
      </c>
      <c r="F58" s="102">
        <v>46038.34375</v>
      </c>
      <c r="G58" s="102">
        <v>46038.392361111109</v>
      </c>
      <c r="H58" s="102">
        <v>46038.392361111109</v>
      </c>
      <c r="I58" s="153">
        <f t="shared" si="6"/>
        <v>4.8611111109494232E-2</v>
      </c>
      <c r="J58" s="103">
        <f t="shared" si="7"/>
        <v>69.999999997671694</v>
      </c>
      <c r="K58" s="153">
        <f t="shared" si="8"/>
        <v>4.8611111109494232E-2</v>
      </c>
      <c r="L58" s="103">
        <f t="shared" si="9"/>
        <v>69.999999997671694</v>
      </c>
      <c r="M58" s="12" t="s">
        <v>2786</v>
      </c>
      <c r="N58" s="9" t="s">
        <v>2787</v>
      </c>
      <c r="O58" s="9" t="s">
        <v>2788</v>
      </c>
      <c r="P58" s="102" t="s">
        <v>2628</v>
      </c>
      <c r="Q58" s="37" t="s">
        <v>678</v>
      </c>
      <c r="R58" s="12"/>
      <c r="S58" s="38" t="str">
        <f t="shared" si="10"/>
        <v>ISLA</v>
      </c>
      <c r="T58" s="37" t="str">
        <f t="shared" si="11"/>
        <v>NON</v>
      </c>
      <c r="U58" s="37" t="s">
        <v>2675</v>
      </c>
    </row>
    <row r="59" spans="1:21" x14ac:dyDescent="0.4">
      <c r="A59" s="37">
        <v>58</v>
      </c>
      <c r="B59" s="37" t="s">
        <v>2852</v>
      </c>
      <c r="C59" s="37" t="s">
        <v>14</v>
      </c>
      <c r="D59" s="37" t="s">
        <v>702</v>
      </c>
      <c r="E59" s="12" t="s">
        <v>299</v>
      </c>
      <c r="F59" s="102">
        <v>46038.520833333336</v>
      </c>
      <c r="G59" s="102">
        <v>46038.78125</v>
      </c>
      <c r="H59" s="102">
        <v>46038.78125</v>
      </c>
      <c r="I59" s="153">
        <f t="shared" si="6"/>
        <v>0.26041666666424135</v>
      </c>
      <c r="J59" s="103">
        <f t="shared" si="7"/>
        <v>374.99999999650754</v>
      </c>
      <c r="K59" s="153">
        <f t="shared" si="8"/>
        <v>0.26041666666424135</v>
      </c>
      <c r="L59" s="103">
        <f t="shared" si="9"/>
        <v>374.99999999650754</v>
      </c>
      <c r="M59" s="12" t="s">
        <v>2742</v>
      </c>
      <c r="N59" s="9" t="s">
        <v>20</v>
      </c>
      <c r="O59" s="9" t="s">
        <v>20</v>
      </c>
      <c r="P59" s="102" t="s">
        <v>2628</v>
      </c>
      <c r="Q59" s="37" t="s">
        <v>678</v>
      </c>
      <c r="R59" s="12"/>
      <c r="S59" s="38" t="str">
        <f t="shared" si="10"/>
        <v>ISLA</v>
      </c>
      <c r="T59" s="37" t="str">
        <f t="shared" si="11"/>
        <v>NON</v>
      </c>
      <c r="U59" s="37" t="s">
        <v>2675</v>
      </c>
    </row>
    <row r="60" spans="1:21" x14ac:dyDescent="0.4">
      <c r="A60" s="37">
        <v>59</v>
      </c>
      <c r="B60" s="37" t="s">
        <v>2853</v>
      </c>
      <c r="C60" s="37" t="s">
        <v>2</v>
      </c>
      <c r="D60" s="37" t="s">
        <v>702</v>
      </c>
      <c r="E60" s="12" t="s">
        <v>2854</v>
      </c>
      <c r="F60" s="102">
        <v>46038.543749999997</v>
      </c>
      <c r="G60" s="102">
        <v>46038.763888888891</v>
      </c>
      <c r="H60" s="102">
        <v>46038.763888888891</v>
      </c>
      <c r="I60" s="153">
        <f t="shared" si="6"/>
        <v>0.22013888889341615</v>
      </c>
      <c r="J60" s="103">
        <f t="shared" si="7"/>
        <v>317.00000000651926</v>
      </c>
      <c r="K60" s="153">
        <f t="shared" si="8"/>
        <v>0.22013888889341615</v>
      </c>
      <c r="L60" s="103">
        <f t="shared" si="9"/>
        <v>317.00000000651926</v>
      </c>
      <c r="M60" s="12" t="s">
        <v>2855</v>
      </c>
      <c r="N60" s="9" t="s">
        <v>20</v>
      </c>
      <c r="O60" s="9" t="s">
        <v>2856</v>
      </c>
      <c r="P60" s="102" t="s">
        <v>2628</v>
      </c>
      <c r="Q60" s="37" t="s">
        <v>678</v>
      </c>
      <c r="R60" s="12"/>
      <c r="S60" s="38" t="str">
        <f t="shared" si="10"/>
        <v>OSLA</v>
      </c>
      <c r="T60" s="37" t="str">
        <f t="shared" si="11"/>
        <v>NON</v>
      </c>
      <c r="U60" s="37" t="s">
        <v>2675</v>
      </c>
    </row>
    <row r="61" spans="1:21" x14ac:dyDescent="0.4">
      <c r="A61" s="37">
        <v>60</v>
      </c>
      <c r="B61" s="37" t="s">
        <v>2857</v>
      </c>
      <c r="C61" s="37" t="s">
        <v>2</v>
      </c>
      <c r="D61" s="37" t="s">
        <v>702</v>
      </c>
      <c r="E61" s="12" t="s">
        <v>2712</v>
      </c>
      <c r="F61" s="102">
        <v>46038.833333333336</v>
      </c>
      <c r="G61" s="102">
        <v>46038.892361111109</v>
      </c>
      <c r="H61" s="102">
        <v>46038.892361111109</v>
      </c>
      <c r="I61" s="153">
        <f t="shared" si="6"/>
        <v>5.9027777773735579E-2</v>
      </c>
      <c r="J61" s="103">
        <f t="shared" si="7"/>
        <v>84.999999994179234</v>
      </c>
      <c r="K61" s="153">
        <f t="shared" si="8"/>
        <v>5.9027777773735579E-2</v>
      </c>
      <c r="L61" s="103">
        <f t="shared" si="9"/>
        <v>84.999999994179234</v>
      </c>
      <c r="M61" s="12" t="s">
        <v>2836</v>
      </c>
      <c r="N61" s="9" t="s">
        <v>20</v>
      </c>
      <c r="O61" s="9" t="s">
        <v>20</v>
      </c>
      <c r="P61" s="102" t="s">
        <v>2684</v>
      </c>
      <c r="Q61" s="37" t="s">
        <v>678</v>
      </c>
      <c r="R61" s="12"/>
      <c r="S61" s="38" t="str">
        <f t="shared" si="10"/>
        <v>ISLA</v>
      </c>
      <c r="T61" s="37" t="str">
        <f t="shared" si="11"/>
        <v>NON</v>
      </c>
      <c r="U61" s="37" t="s">
        <v>2680</v>
      </c>
    </row>
    <row r="62" spans="1:21" x14ac:dyDescent="0.4">
      <c r="A62" s="37">
        <v>61</v>
      </c>
      <c r="B62" s="37" t="s">
        <v>2858</v>
      </c>
      <c r="C62" s="37" t="s">
        <v>2</v>
      </c>
      <c r="D62" s="37" t="s">
        <v>702</v>
      </c>
      <c r="E62" s="12" t="s">
        <v>2859</v>
      </c>
      <c r="F62" s="102">
        <v>46039.697916666664</v>
      </c>
      <c r="G62" s="102">
        <v>46040.680555555555</v>
      </c>
      <c r="H62" s="102">
        <v>46040.680555555555</v>
      </c>
      <c r="I62" s="153">
        <f t="shared" si="6"/>
        <v>0.98263888889050577</v>
      </c>
      <c r="J62" s="103">
        <f t="shared" si="7"/>
        <v>1415.0000000023283</v>
      </c>
      <c r="K62" s="153">
        <f t="shared" si="8"/>
        <v>0.98263888889050577</v>
      </c>
      <c r="L62" s="103">
        <f t="shared" si="9"/>
        <v>1415.0000000023283</v>
      </c>
      <c r="M62" s="12" t="s">
        <v>2860</v>
      </c>
      <c r="N62" s="9" t="s">
        <v>2861</v>
      </c>
      <c r="O62" s="9" t="s">
        <v>2862</v>
      </c>
      <c r="P62" s="102" t="s">
        <v>2628</v>
      </c>
      <c r="Q62" s="37" t="s">
        <v>678</v>
      </c>
      <c r="R62" s="12"/>
      <c r="S62" s="38" t="str">
        <f t="shared" si="10"/>
        <v>OSLA</v>
      </c>
      <c r="T62" s="37" t="str">
        <f t="shared" si="11"/>
        <v>NON</v>
      </c>
      <c r="U62" s="37" t="s">
        <v>2675</v>
      </c>
    </row>
    <row r="63" spans="1:21" x14ac:dyDescent="0.4">
      <c r="A63" s="37">
        <v>62</v>
      </c>
      <c r="B63" s="37" t="s">
        <v>2706</v>
      </c>
      <c r="C63" s="37" t="s">
        <v>2</v>
      </c>
      <c r="D63" s="37" t="s">
        <v>702</v>
      </c>
      <c r="E63" s="12" t="s">
        <v>2707</v>
      </c>
      <c r="F63" s="102">
        <v>46040.044444444444</v>
      </c>
      <c r="G63" s="102">
        <v>46040.224999999999</v>
      </c>
      <c r="H63" s="102">
        <v>46040.224999999999</v>
      </c>
      <c r="I63" s="153">
        <f t="shared" si="6"/>
        <v>0.18055555555474712</v>
      </c>
      <c r="J63" s="103">
        <f t="shared" si="7"/>
        <v>259.99999999883585</v>
      </c>
      <c r="K63" s="153">
        <f t="shared" si="8"/>
        <v>0.18055555555474712</v>
      </c>
      <c r="L63" s="103">
        <f t="shared" si="9"/>
        <v>259.99999999883585</v>
      </c>
      <c r="M63" s="12" t="s">
        <v>2753</v>
      </c>
      <c r="N63" s="9" t="s">
        <v>20</v>
      </c>
      <c r="O63" s="9" t="s">
        <v>20</v>
      </c>
      <c r="P63" s="102" t="s">
        <v>2628</v>
      </c>
      <c r="Q63" s="37" t="s">
        <v>678</v>
      </c>
      <c r="R63" s="12"/>
      <c r="S63" s="38" t="str">
        <f t="shared" si="10"/>
        <v>OSLA</v>
      </c>
      <c r="T63" s="37" t="str">
        <f t="shared" si="11"/>
        <v>NON</v>
      </c>
      <c r="U63" s="37" t="s">
        <v>2675</v>
      </c>
    </row>
    <row r="64" spans="1:21" x14ac:dyDescent="0.4">
      <c r="A64" s="37">
        <v>63</v>
      </c>
      <c r="B64" s="37" t="s">
        <v>2863</v>
      </c>
      <c r="C64" s="37" t="s">
        <v>2</v>
      </c>
      <c r="D64" s="37" t="s">
        <v>702</v>
      </c>
      <c r="E64" s="12" t="s">
        <v>2851</v>
      </c>
      <c r="F64" s="102">
        <v>46040.293749999997</v>
      </c>
      <c r="G64" s="102">
        <v>46040.4375</v>
      </c>
      <c r="H64" s="102">
        <v>46040.4375</v>
      </c>
      <c r="I64" s="153">
        <f t="shared" si="6"/>
        <v>0.14375000000291038</v>
      </c>
      <c r="J64" s="103">
        <f t="shared" si="7"/>
        <v>207.00000000419095</v>
      </c>
      <c r="K64" s="153">
        <f t="shared" si="8"/>
        <v>0.14375000000291038</v>
      </c>
      <c r="L64" s="103">
        <f t="shared" si="9"/>
        <v>207.00000000419095</v>
      </c>
      <c r="M64" s="12" t="s">
        <v>2786</v>
      </c>
      <c r="N64" s="9" t="s">
        <v>2787</v>
      </c>
      <c r="O64" s="9" t="s">
        <v>2788</v>
      </c>
      <c r="P64" s="102" t="s">
        <v>2628</v>
      </c>
      <c r="Q64" s="37" t="s">
        <v>678</v>
      </c>
      <c r="R64" s="12"/>
      <c r="S64" s="38" t="str">
        <f t="shared" si="10"/>
        <v>ISLA</v>
      </c>
      <c r="T64" s="37" t="str">
        <f t="shared" si="11"/>
        <v>NON</v>
      </c>
      <c r="U64" s="37" t="s">
        <v>2675</v>
      </c>
    </row>
    <row r="65" spans="1:21" x14ac:dyDescent="0.4">
      <c r="A65" s="37">
        <v>64</v>
      </c>
      <c r="B65" s="37" t="s">
        <v>2864</v>
      </c>
      <c r="C65" s="37" t="s">
        <v>2</v>
      </c>
      <c r="D65" s="37" t="s">
        <v>702</v>
      </c>
      <c r="E65" s="12" t="s">
        <v>2865</v>
      </c>
      <c r="F65" s="102">
        <v>46040.40625</v>
      </c>
      <c r="G65" s="102">
        <v>46040.4375</v>
      </c>
      <c r="H65" s="102">
        <v>46040.4375</v>
      </c>
      <c r="I65" s="153">
        <f t="shared" si="6"/>
        <v>3.125E-2</v>
      </c>
      <c r="J65" s="103">
        <f t="shared" si="7"/>
        <v>45</v>
      </c>
      <c r="K65" s="153">
        <f t="shared" si="8"/>
        <v>3.125E-2</v>
      </c>
      <c r="L65" s="103">
        <f t="shared" si="9"/>
        <v>45</v>
      </c>
      <c r="M65" s="12" t="s">
        <v>2866</v>
      </c>
      <c r="N65" s="9" t="s">
        <v>20</v>
      </c>
      <c r="O65" s="9" t="s">
        <v>20</v>
      </c>
      <c r="P65" s="102" t="s">
        <v>2628</v>
      </c>
      <c r="Q65" s="37" t="s">
        <v>678</v>
      </c>
      <c r="R65" s="12"/>
      <c r="S65" s="38" t="str">
        <f t="shared" si="10"/>
        <v>ISLA</v>
      </c>
      <c r="T65" s="37" t="str">
        <f t="shared" si="11"/>
        <v>NON</v>
      </c>
      <c r="U65" s="37" t="s">
        <v>2675</v>
      </c>
    </row>
    <row r="66" spans="1:21" x14ac:dyDescent="0.4">
      <c r="A66" s="37">
        <v>65</v>
      </c>
      <c r="B66" s="37" t="s">
        <v>2867</v>
      </c>
      <c r="C66" s="37" t="s">
        <v>2</v>
      </c>
      <c r="D66" s="37" t="s">
        <v>702</v>
      </c>
      <c r="E66" s="12" t="s">
        <v>2868</v>
      </c>
      <c r="F66" s="102">
        <v>46040.493055555555</v>
      </c>
      <c r="G66" s="102">
        <v>46041.326388888891</v>
      </c>
      <c r="H66" s="102">
        <v>46041.326388888891</v>
      </c>
      <c r="I66" s="153">
        <f t="shared" ref="I66:I97" si="12">G66-F66</f>
        <v>0.83333333333575865</v>
      </c>
      <c r="J66" s="103">
        <f t="shared" ref="J66:J97" si="13">I66*1440</f>
        <v>1200.0000000034925</v>
      </c>
      <c r="K66" s="153">
        <f t="shared" ref="K66:K97" si="14">H66-F66</f>
        <v>0.83333333333575865</v>
      </c>
      <c r="L66" s="103">
        <f t="shared" ref="L66:L97" si="15">K66*1440</f>
        <v>1200.0000000034925</v>
      </c>
      <c r="M66" s="12" t="s">
        <v>2869</v>
      </c>
      <c r="N66" s="9" t="s">
        <v>2870</v>
      </c>
      <c r="O66" s="9" t="s">
        <v>356</v>
      </c>
      <c r="P66" s="102" t="s">
        <v>2871</v>
      </c>
      <c r="Q66" s="37" t="s">
        <v>678</v>
      </c>
      <c r="R66" s="12"/>
      <c r="S66" s="38" t="str">
        <f t="shared" ref="S66:S97" si="16">IF(AND(C66="P1",J66&lt;=240),"ISLA",IF((AND(C66="P2",J66&lt;=480)),"ISLA",IF((AND(C66="P3",J66&lt;=2880)),"ISLA","OSLA")))</f>
        <v>OSLA</v>
      </c>
      <c r="T66" s="37" t="str">
        <f t="shared" ref="T66:T97" si="17">IF((AND(MID(P66,1,2)="IT",S66="OSLA")),"OUI","NON")</f>
        <v>OUI</v>
      </c>
      <c r="U66" s="37" t="s">
        <v>2680</v>
      </c>
    </row>
    <row r="67" spans="1:21" x14ac:dyDescent="0.4">
      <c r="A67" s="37">
        <v>66</v>
      </c>
      <c r="B67" s="37" t="s">
        <v>2872</v>
      </c>
      <c r="C67" s="37" t="s">
        <v>2</v>
      </c>
      <c r="D67" s="37" t="s">
        <v>702</v>
      </c>
      <c r="E67" s="12" t="s">
        <v>2827</v>
      </c>
      <c r="F67" s="102">
        <v>46041.354861111111</v>
      </c>
      <c r="G67" s="102">
        <v>46041.385416666664</v>
      </c>
      <c r="H67" s="102">
        <v>46041.385416666664</v>
      </c>
      <c r="I67" s="153">
        <f t="shared" si="12"/>
        <v>3.0555555553291924E-2</v>
      </c>
      <c r="J67" s="103">
        <f t="shared" si="13"/>
        <v>43.999999996740371</v>
      </c>
      <c r="K67" s="153">
        <f t="shared" si="14"/>
        <v>3.0555555553291924E-2</v>
      </c>
      <c r="L67" s="103">
        <f t="shared" si="15"/>
        <v>43.999999996740371</v>
      </c>
      <c r="M67" s="12" t="s">
        <v>2828</v>
      </c>
      <c r="N67" s="9" t="s">
        <v>20</v>
      </c>
      <c r="O67" s="9" t="s">
        <v>20</v>
      </c>
      <c r="P67" s="102" t="s">
        <v>2829</v>
      </c>
      <c r="Q67" s="37" t="s">
        <v>678</v>
      </c>
      <c r="R67" s="12"/>
      <c r="S67" s="38" t="str">
        <f t="shared" si="16"/>
        <v>ISLA</v>
      </c>
      <c r="T67" s="37" t="str">
        <f t="shared" si="17"/>
        <v>NON</v>
      </c>
      <c r="U67" s="37" t="s">
        <v>2680</v>
      </c>
    </row>
    <row r="68" spans="1:21" x14ac:dyDescent="0.4">
      <c r="A68" s="37">
        <v>67</v>
      </c>
      <c r="B68" s="37" t="s">
        <v>2873</v>
      </c>
      <c r="C68" s="37" t="s">
        <v>14</v>
      </c>
      <c r="D68" s="37" t="s">
        <v>702</v>
      </c>
      <c r="E68" s="12" t="s">
        <v>299</v>
      </c>
      <c r="F68" s="102">
        <v>46041.381944444445</v>
      </c>
      <c r="G68" s="102">
        <v>46041.690972222219</v>
      </c>
      <c r="H68" s="102">
        <v>46041.690972222219</v>
      </c>
      <c r="I68" s="153">
        <f t="shared" si="12"/>
        <v>0.30902777777373558</v>
      </c>
      <c r="J68" s="103">
        <f t="shared" si="13"/>
        <v>444.99999999417923</v>
      </c>
      <c r="K68" s="153">
        <f t="shared" si="14"/>
        <v>0.30902777777373558</v>
      </c>
      <c r="L68" s="103">
        <f t="shared" si="15"/>
        <v>444.99999999417923</v>
      </c>
      <c r="M68" s="12" t="s">
        <v>2874</v>
      </c>
      <c r="N68" s="9" t="s">
        <v>20</v>
      </c>
      <c r="O68" s="9" t="s">
        <v>20</v>
      </c>
      <c r="P68" s="102" t="s">
        <v>2628</v>
      </c>
      <c r="Q68" s="37" t="s">
        <v>678</v>
      </c>
      <c r="R68" s="12"/>
      <c r="S68" s="38" t="str">
        <f t="shared" si="16"/>
        <v>ISLA</v>
      </c>
      <c r="T68" s="37" t="str">
        <f t="shared" si="17"/>
        <v>NON</v>
      </c>
      <c r="U68" s="37" t="s">
        <v>2675</v>
      </c>
    </row>
    <row r="69" spans="1:21" x14ac:dyDescent="0.4">
      <c r="A69" s="37">
        <v>68</v>
      </c>
      <c r="B69" s="37" t="s">
        <v>2875</v>
      </c>
      <c r="C69" s="37" t="s">
        <v>2</v>
      </c>
      <c r="D69" s="37" t="s">
        <v>702</v>
      </c>
      <c r="E69" s="12" t="s">
        <v>2717</v>
      </c>
      <c r="F69" s="102">
        <v>46041.395833333336</v>
      </c>
      <c r="G69" s="102">
        <v>46041.52847222222</v>
      </c>
      <c r="H69" s="102">
        <v>46041.52847222222</v>
      </c>
      <c r="I69" s="153">
        <f t="shared" si="12"/>
        <v>0.132638888884685</v>
      </c>
      <c r="J69" s="103">
        <f t="shared" si="13"/>
        <v>190.9999999939464</v>
      </c>
      <c r="K69" s="153">
        <f t="shared" si="14"/>
        <v>0.132638888884685</v>
      </c>
      <c r="L69" s="103">
        <f t="shared" si="15"/>
        <v>190.9999999939464</v>
      </c>
      <c r="M69" s="12" t="s">
        <v>2718</v>
      </c>
      <c r="N69" s="9" t="s">
        <v>20</v>
      </c>
      <c r="O69" s="9" t="s">
        <v>20</v>
      </c>
      <c r="P69" s="102" t="s">
        <v>2719</v>
      </c>
      <c r="Q69" s="37" t="s">
        <v>678</v>
      </c>
      <c r="R69" s="12"/>
      <c r="S69" s="38" t="str">
        <f t="shared" si="16"/>
        <v>ISLA</v>
      </c>
      <c r="T69" s="37" t="str">
        <f t="shared" si="17"/>
        <v>NON</v>
      </c>
      <c r="U69" s="37" t="s">
        <v>2680</v>
      </c>
    </row>
    <row r="70" spans="1:21" x14ac:dyDescent="0.4">
      <c r="A70" s="37">
        <v>69</v>
      </c>
      <c r="B70" s="37" t="s">
        <v>2876</v>
      </c>
      <c r="C70" s="37" t="s">
        <v>2</v>
      </c>
      <c r="D70" s="37" t="s">
        <v>702</v>
      </c>
      <c r="E70" s="12" t="s">
        <v>2808</v>
      </c>
      <c r="F70" s="102">
        <v>46041.447916666664</v>
      </c>
      <c r="G70" s="102">
        <v>46041.701388888891</v>
      </c>
      <c r="H70" s="102">
        <v>46041.701388888891</v>
      </c>
      <c r="I70" s="153">
        <f t="shared" si="12"/>
        <v>0.25347222222626442</v>
      </c>
      <c r="J70" s="103">
        <f t="shared" si="13"/>
        <v>365.00000000582077</v>
      </c>
      <c r="K70" s="153">
        <f t="shared" si="14"/>
        <v>0.25347222222626442</v>
      </c>
      <c r="L70" s="103">
        <f t="shared" si="15"/>
        <v>365.00000000582077</v>
      </c>
      <c r="M70" s="12" t="s">
        <v>2809</v>
      </c>
      <c r="N70" s="9" t="s">
        <v>20</v>
      </c>
      <c r="O70" s="9" t="s">
        <v>20</v>
      </c>
      <c r="P70" s="102" t="s">
        <v>707</v>
      </c>
      <c r="Q70" s="37" t="s">
        <v>678</v>
      </c>
      <c r="R70" s="12"/>
      <c r="S70" s="38" t="str">
        <f t="shared" si="16"/>
        <v>OSLA</v>
      </c>
      <c r="T70" s="37" t="str">
        <f t="shared" si="17"/>
        <v>NON</v>
      </c>
      <c r="U70" s="37" t="s">
        <v>2680</v>
      </c>
    </row>
    <row r="71" spans="1:21" x14ac:dyDescent="0.4">
      <c r="A71" s="37">
        <v>70</v>
      </c>
      <c r="B71" s="37" t="s">
        <v>2877</v>
      </c>
      <c r="C71" s="37" t="s">
        <v>2</v>
      </c>
      <c r="D71" s="37" t="s">
        <v>702</v>
      </c>
      <c r="E71" s="12" t="s">
        <v>2796</v>
      </c>
      <c r="F71" s="102">
        <v>46041.527777777781</v>
      </c>
      <c r="G71" s="102">
        <v>46041.561805555553</v>
      </c>
      <c r="H71" s="102">
        <v>46041.561805555553</v>
      </c>
      <c r="I71" s="153">
        <f t="shared" si="12"/>
        <v>3.4027777772280388E-2</v>
      </c>
      <c r="J71" s="103">
        <f t="shared" si="13"/>
        <v>48.999999992083758</v>
      </c>
      <c r="K71" s="153">
        <f t="shared" si="14"/>
        <v>3.4027777772280388E-2</v>
      </c>
      <c r="L71" s="103">
        <f t="shared" si="15"/>
        <v>48.999999992083758</v>
      </c>
      <c r="M71" s="12" t="s">
        <v>2878</v>
      </c>
      <c r="N71" s="9" t="s">
        <v>20</v>
      </c>
      <c r="O71" s="9" t="s">
        <v>20</v>
      </c>
      <c r="P71" s="102" t="s">
        <v>2798</v>
      </c>
      <c r="Q71" s="37" t="s">
        <v>678</v>
      </c>
      <c r="R71" s="12"/>
      <c r="S71" s="38" t="str">
        <f t="shared" si="16"/>
        <v>ISLA</v>
      </c>
      <c r="T71" s="37" t="str">
        <f t="shared" si="17"/>
        <v>NON</v>
      </c>
      <c r="U71" s="37" t="s">
        <v>2680</v>
      </c>
    </row>
    <row r="72" spans="1:21" x14ac:dyDescent="0.4">
      <c r="A72" s="37">
        <v>71</v>
      </c>
      <c r="B72" s="37" t="s">
        <v>2879</v>
      </c>
      <c r="C72" s="37" t="s">
        <v>2</v>
      </c>
      <c r="D72" s="37" t="s">
        <v>702</v>
      </c>
      <c r="E72" s="12" t="s">
        <v>2880</v>
      </c>
      <c r="F72" s="102">
        <v>46041.565972222219</v>
      </c>
      <c r="G72" s="102">
        <v>46041.690972222219</v>
      </c>
      <c r="H72" s="102">
        <v>46041.690972222219</v>
      </c>
      <c r="I72" s="153">
        <f t="shared" si="12"/>
        <v>0.125</v>
      </c>
      <c r="J72" s="103">
        <f t="shared" si="13"/>
        <v>180</v>
      </c>
      <c r="K72" s="153">
        <f t="shared" si="14"/>
        <v>0.125</v>
      </c>
      <c r="L72" s="103">
        <f t="shared" si="15"/>
        <v>180</v>
      </c>
      <c r="M72" s="12" t="s">
        <v>2881</v>
      </c>
      <c r="N72" s="9" t="s">
        <v>2882</v>
      </c>
      <c r="O72" s="9" t="s">
        <v>2883</v>
      </c>
      <c r="P72" s="102" t="s">
        <v>2628</v>
      </c>
      <c r="Q72" s="37" t="s">
        <v>678</v>
      </c>
      <c r="R72" s="12"/>
      <c r="S72" s="38" t="str">
        <f t="shared" si="16"/>
        <v>ISLA</v>
      </c>
      <c r="T72" s="37" t="str">
        <f t="shared" si="17"/>
        <v>NON</v>
      </c>
      <c r="U72" s="37" t="s">
        <v>2675</v>
      </c>
    </row>
    <row r="73" spans="1:21" x14ac:dyDescent="0.4">
      <c r="A73" s="37">
        <v>72</v>
      </c>
      <c r="B73" s="37" t="s">
        <v>2884</v>
      </c>
      <c r="C73" s="37" t="s">
        <v>2</v>
      </c>
      <c r="D73" s="37" t="s">
        <v>702</v>
      </c>
      <c r="E73" s="12" t="s">
        <v>2885</v>
      </c>
      <c r="F73" s="102">
        <v>46041.565972222219</v>
      </c>
      <c r="G73" s="102">
        <v>46041.690972222219</v>
      </c>
      <c r="H73" s="102">
        <v>46041.690972222219</v>
      </c>
      <c r="I73" s="153">
        <f t="shared" si="12"/>
        <v>0.125</v>
      </c>
      <c r="J73" s="103">
        <f t="shared" si="13"/>
        <v>180</v>
      </c>
      <c r="K73" s="153">
        <f t="shared" si="14"/>
        <v>0.125</v>
      </c>
      <c r="L73" s="103">
        <f t="shared" si="15"/>
        <v>180</v>
      </c>
      <c r="M73" s="12" t="s">
        <v>2886</v>
      </c>
      <c r="N73" s="9" t="s">
        <v>2882</v>
      </c>
      <c r="O73" s="9" t="s">
        <v>2883</v>
      </c>
      <c r="P73" s="102" t="s">
        <v>704</v>
      </c>
      <c r="Q73" s="37" t="s">
        <v>678</v>
      </c>
      <c r="R73" s="12"/>
      <c r="S73" s="38" t="str">
        <f t="shared" si="16"/>
        <v>ISLA</v>
      </c>
      <c r="T73" s="37" t="str">
        <f t="shared" si="17"/>
        <v>NON</v>
      </c>
      <c r="U73" s="37" t="s">
        <v>2675</v>
      </c>
    </row>
    <row r="74" spans="1:21" x14ac:dyDescent="0.4">
      <c r="A74" s="37">
        <v>73</v>
      </c>
      <c r="B74" s="37" t="s">
        <v>2887</v>
      </c>
      <c r="C74" s="37" t="s">
        <v>2</v>
      </c>
      <c r="D74" s="37" t="s">
        <v>702</v>
      </c>
      <c r="E74" s="12" t="s">
        <v>2717</v>
      </c>
      <c r="F74" s="102">
        <v>46041.645833333336</v>
      </c>
      <c r="G74" s="102">
        <v>46041.826388888891</v>
      </c>
      <c r="H74" s="102">
        <v>46041.826388888891</v>
      </c>
      <c r="I74" s="153">
        <f t="shared" si="12"/>
        <v>0.18055555555474712</v>
      </c>
      <c r="J74" s="103">
        <f t="shared" si="13"/>
        <v>259.99999999883585</v>
      </c>
      <c r="K74" s="153">
        <f t="shared" si="14"/>
        <v>0.18055555555474712</v>
      </c>
      <c r="L74" s="103">
        <f t="shared" si="15"/>
        <v>259.99999999883585</v>
      </c>
      <c r="M74" s="12" t="s">
        <v>2718</v>
      </c>
      <c r="N74" s="9" t="s">
        <v>20</v>
      </c>
      <c r="O74" s="9" t="s">
        <v>20</v>
      </c>
      <c r="P74" s="102" t="s">
        <v>2719</v>
      </c>
      <c r="Q74" s="37" t="s">
        <v>678</v>
      </c>
      <c r="R74" s="12"/>
      <c r="S74" s="38" t="str">
        <f t="shared" si="16"/>
        <v>OSLA</v>
      </c>
      <c r="T74" s="37" t="str">
        <f t="shared" si="17"/>
        <v>OUI</v>
      </c>
      <c r="U74" s="37" t="s">
        <v>2680</v>
      </c>
    </row>
    <row r="75" spans="1:21" x14ac:dyDescent="0.4">
      <c r="A75" s="37">
        <v>74</v>
      </c>
      <c r="B75" s="37" t="s">
        <v>2888</v>
      </c>
      <c r="C75" s="37" t="s">
        <v>2</v>
      </c>
      <c r="D75" s="37" t="s">
        <v>702</v>
      </c>
      <c r="E75" s="12" t="s">
        <v>2695</v>
      </c>
      <c r="F75" s="102">
        <v>46041.756944444445</v>
      </c>
      <c r="G75" s="102">
        <v>46041.861111111109</v>
      </c>
      <c r="H75" s="102">
        <v>46041.861111111109</v>
      </c>
      <c r="I75" s="153">
        <f t="shared" si="12"/>
        <v>0.10416666666424135</v>
      </c>
      <c r="J75" s="103">
        <f t="shared" si="13"/>
        <v>149.99999999650754</v>
      </c>
      <c r="K75" s="153">
        <f t="shared" si="14"/>
        <v>0.10416666666424135</v>
      </c>
      <c r="L75" s="103">
        <f t="shared" si="15"/>
        <v>149.99999999650754</v>
      </c>
      <c r="M75" s="12" t="s">
        <v>2696</v>
      </c>
      <c r="N75" s="9" t="s">
        <v>20</v>
      </c>
      <c r="O75" s="9" t="s">
        <v>20</v>
      </c>
      <c r="P75" s="102" t="s">
        <v>2628</v>
      </c>
      <c r="Q75" s="37" t="s">
        <v>678</v>
      </c>
      <c r="R75" s="12"/>
      <c r="S75" s="38" t="str">
        <f t="shared" si="16"/>
        <v>ISLA</v>
      </c>
      <c r="T75" s="37" t="str">
        <f t="shared" si="17"/>
        <v>NON</v>
      </c>
      <c r="U75" s="37" t="s">
        <v>2675</v>
      </c>
    </row>
    <row r="76" spans="1:21" x14ac:dyDescent="0.4">
      <c r="A76" s="37">
        <v>75</v>
      </c>
      <c r="B76" s="37" t="s">
        <v>2889</v>
      </c>
      <c r="C76" s="37" t="s">
        <v>2</v>
      </c>
      <c r="D76" s="37" t="s">
        <v>702</v>
      </c>
      <c r="E76" s="12" t="s">
        <v>2712</v>
      </c>
      <c r="F76" s="102">
        <v>46041.993055555555</v>
      </c>
      <c r="G76" s="102">
        <v>46042.013888888891</v>
      </c>
      <c r="H76" s="102">
        <v>46042.013888888891</v>
      </c>
      <c r="I76" s="153">
        <f t="shared" si="12"/>
        <v>2.0833333335758653E-2</v>
      </c>
      <c r="J76" s="103">
        <f t="shared" si="13"/>
        <v>30.00000000349246</v>
      </c>
      <c r="K76" s="153">
        <f t="shared" si="14"/>
        <v>2.0833333335758653E-2</v>
      </c>
      <c r="L76" s="103">
        <f t="shared" si="15"/>
        <v>30.00000000349246</v>
      </c>
      <c r="M76" s="12" t="s">
        <v>2715</v>
      </c>
      <c r="N76" s="9" t="s">
        <v>20</v>
      </c>
      <c r="O76" s="9" t="s">
        <v>20</v>
      </c>
      <c r="P76" s="102" t="s">
        <v>2684</v>
      </c>
      <c r="Q76" s="37" t="s">
        <v>678</v>
      </c>
      <c r="R76" s="12"/>
      <c r="S76" s="38" t="str">
        <f t="shared" si="16"/>
        <v>ISLA</v>
      </c>
      <c r="T76" s="37" t="str">
        <f t="shared" si="17"/>
        <v>NON</v>
      </c>
      <c r="U76" s="37" t="s">
        <v>2680</v>
      </c>
    </row>
    <row r="77" spans="1:21" x14ac:dyDescent="0.4">
      <c r="A77" s="37">
        <v>76</v>
      </c>
      <c r="B77" s="37" t="s">
        <v>2890</v>
      </c>
      <c r="C77" s="37" t="s">
        <v>2</v>
      </c>
      <c r="D77" s="37" t="s">
        <v>702</v>
      </c>
      <c r="E77" s="12" t="s">
        <v>2868</v>
      </c>
      <c r="F77" s="102">
        <v>46042.1875</v>
      </c>
      <c r="G77" s="102">
        <v>46042.324999999997</v>
      </c>
      <c r="H77" s="102">
        <v>46042.324999999997</v>
      </c>
      <c r="I77" s="153">
        <f t="shared" si="12"/>
        <v>0.13749999999708962</v>
      </c>
      <c r="J77" s="103">
        <f t="shared" si="13"/>
        <v>197.99999999580905</v>
      </c>
      <c r="K77" s="153">
        <f t="shared" si="14"/>
        <v>0.13749999999708962</v>
      </c>
      <c r="L77" s="103">
        <f t="shared" si="15"/>
        <v>197.99999999580905</v>
      </c>
      <c r="M77" s="12" t="s">
        <v>2869</v>
      </c>
      <c r="N77" s="9" t="s">
        <v>2891</v>
      </c>
      <c r="O77" s="9" t="s">
        <v>2892</v>
      </c>
      <c r="P77" s="102" t="s">
        <v>2871</v>
      </c>
      <c r="Q77" s="37" t="s">
        <v>678</v>
      </c>
      <c r="R77" s="12"/>
      <c r="S77" s="38" t="str">
        <f t="shared" si="16"/>
        <v>ISLA</v>
      </c>
      <c r="T77" s="37" t="str">
        <f t="shared" si="17"/>
        <v>NON</v>
      </c>
      <c r="U77" s="37" t="s">
        <v>2680</v>
      </c>
    </row>
    <row r="78" spans="1:21" x14ac:dyDescent="0.4">
      <c r="A78" s="37">
        <v>77</v>
      </c>
      <c r="B78" s="37" t="s">
        <v>2893</v>
      </c>
      <c r="C78" s="37" t="s">
        <v>2</v>
      </c>
      <c r="D78" s="37" t="s">
        <v>702</v>
      </c>
      <c r="E78" s="12" t="s">
        <v>2894</v>
      </c>
      <c r="F78" s="102">
        <v>46042.383333333331</v>
      </c>
      <c r="G78" s="102">
        <v>46042.770833333336</v>
      </c>
      <c r="H78" s="102">
        <v>46042.770833333336</v>
      </c>
      <c r="I78" s="153">
        <f t="shared" si="12"/>
        <v>0.38750000000436557</v>
      </c>
      <c r="J78" s="103">
        <f t="shared" si="13"/>
        <v>558.00000000628643</v>
      </c>
      <c r="K78" s="153">
        <f t="shared" si="14"/>
        <v>0.38750000000436557</v>
      </c>
      <c r="L78" s="103">
        <f t="shared" si="15"/>
        <v>558.00000000628643</v>
      </c>
      <c r="M78" s="12" t="s">
        <v>2895</v>
      </c>
      <c r="N78" s="9" t="s">
        <v>20</v>
      </c>
      <c r="O78" s="9" t="s">
        <v>20</v>
      </c>
      <c r="P78" s="102" t="s">
        <v>707</v>
      </c>
      <c r="Q78" s="37" t="s">
        <v>678</v>
      </c>
      <c r="R78" s="12"/>
      <c r="S78" s="38" t="str">
        <f t="shared" si="16"/>
        <v>OSLA</v>
      </c>
      <c r="T78" s="37" t="str">
        <f t="shared" si="17"/>
        <v>NON</v>
      </c>
      <c r="U78" s="37" t="s">
        <v>2680</v>
      </c>
    </row>
    <row r="79" spans="1:21" x14ac:dyDescent="0.4">
      <c r="A79" s="37">
        <v>78</v>
      </c>
      <c r="B79" s="37" t="s">
        <v>2896</v>
      </c>
      <c r="C79" s="37" t="s">
        <v>2</v>
      </c>
      <c r="D79" s="37" t="s">
        <v>702</v>
      </c>
      <c r="E79" s="12" t="s">
        <v>2773</v>
      </c>
      <c r="F79" s="102">
        <v>46042.732638888891</v>
      </c>
      <c r="G79" s="102">
        <v>46042.829861111109</v>
      </c>
      <c r="H79" s="102">
        <v>46042.829861111109</v>
      </c>
      <c r="I79" s="153">
        <f t="shared" si="12"/>
        <v>9.7222222218988463E-2</v>
      </c>
      <c r="J79" s="103">
        <f t="shared" si="13"/>
        <v>139.99999999534339</v>
      </c>
      <c r="K79" s="153">
        <f t="shared" si="14"/>
        <v>9.7222222218988463E-2</v>
      </c>
      <c r="L79" s="103">
        <f t="shared" si="15"/>
        <v>139.99999999534339</v>
      </c>
      <c r="M79" s="12" t="s">
        <v>2774</v>
      </c>
      <c r="N79" s="9" t="s">
        <v>20</v>
      </c>
      <c r="O79" s="9" t="s">
        <v>20</v>
      </c>
      <c r="P79" s="102" t="s">
        <v>2628</v>
      </c>
      <c r="Q79" s="37" t="s">
        <v>678</v>
      </c>
      <c r="R79" s="12"/>
      <c r="S79" s="38" t="str">
        <f t="shared" si="16"/>
        <v>ISLA</v>
      </c>
      <c r="T79" s="37" t="str">
        <f t="shared" si="17"/>
        <v>NON</v>
      </c>
      <c r="U79" s="37" t="s">
        <v>2675</v>
      </c>
    </row>
    <row r="80" spans="1:21" x14ac:dyDescent="0.4">
      <c r="A80" s="37">
        <v>79</v>
      </c>
      <c r="B80" s="37" t="s">
        <v>2897</v>
      </c>
      <c r="C80" s="37" t="s">
        <v>2</v>
      </c>
      <c r="D80" s="37" t="s">
        <v>702</v>
      </c>
      <c r="E80" s="12" t="s">
        <v>2717</v>
      </c>
      <c r="F80" s="102">
        <v>46042.736111111109</v>
      </c>
      <c r="G80" s="102">
        <v>46042.770833333336</v>
      </c>
      <c r="H80" s="102">
        <v>46042.770833333336</v>
      </c>
      <c r="I80" s="153">
        <f t="shared" si="12"/>
        <v>3.4722222226264421E-2</v>
      </c>
      <c r="J80" s="103">
        <f t="shared" si="13"/>
        <v>50.000000005820766</v>
      </c>
      <c r="K80" s="153">
        <f t="shared" si="14"/>
        <v>3.4722222226264421E-2</v>
      </c>
      <c r="L80" s="103">
        <f t="shared" si="15"/>
        <v>50.000000005820766</v>
      </c>
      <c r="M80" s="12" t="s">
        <v>2718</v>
      </c>
      <c r="N80" s="9" t="s">
        <v>20</v>
      </c>
      <c r="O80" s="9" t="s">
        <v>20</v>
      </c>
      <c r="P80" s="102" t="s">
        <v>2846</v>
      </c>
      <c r="Q80" s="37" t="s">
        <v>678</v>
      </c>
      <c r="R80" s="12"/>
      <c r="S80" s="38" t="str">
        <f t="shared" si="16"/>
        <v>ISLA</v>
      </c>
      <c r="T80" s="37" t="str">
        <f t="shared" si="17"/>
        <v>NON</v>
      </c>
      <c r="U80" s="37" t="s">
        <v>2680</v>
      </c>
    </row>
    <row r="81" spans="1:21" x14ac:dyDescent="0.4">
      <c r="A81" s="37">
        <v>80</v>
      </c>
      <c r="B81" s="37" t="s">
        <v>2898</v>
      </c>
      <c r="C81" s="37" t="s">
        <v>2</v>
      </c>
      <c r="D81" s="37" t="s">
        <v>702</v>
      </c>
      <c r="E81" s="12" t="s">
        <v>2894</v>
      </c>
      <c r="F81" s="102">
        <v>46043.211805555555</v>
      </c>
      <c r="G81" s="102">
        <v>46045.506944444445</v>
      </c>
      <c r="H81" s="102">
        <v>46045.506944444445</v>
      </c>
      <c r="I81" s="153">
        <f t="shared" si="12"/>
        <v>2.2951388888905058</v>
      </c>
      <c r="J81" s="103">
        <f t="shared" si="13"/>
        <v>3305.0000000023283</v>
      </c>
      <c r="K81" s="153">
        <f t="shared" si="14"/>
        <v>2.2951388888905058</v>
      </c>
      <c r="L81" s="103">
        <f t="shared" si="15"/>
        <v>3305.0000000023283</v>
      </c>
      <c r="M81" s="12" t="s">
        <v>2899</v>
      </c>
      <c r="N81" s="9" t="s">
        <v>20</v>
      </c>
      <c r="O81" s="9" t="s">
        <v>20</v>
      </c>
      <c r="P81" s="102" t="s">
        <v>707</v>
      </c>
      <c r="Q81" s="37" t="s">
        <v>678</v>
      </c>
      <c r="R81" s="12"/>
      <c r="S81" s="38" t="str">
        <f t="shared" si="16"/>
        <v>OSLA</v>
      </c>
      <c r="T81" s="37" t="str">
        <f t="shared" si="17"/>
        <v>NON</v>
      </c>
      <c r="U81" s="37" t="s">
        <v>2680</v>
      </c>
    </row>
    <row r="82" spans="1:21" x14ac:dyDescent="0.4">
      <c r="A82" s="37">
        <v>81</v>
      </c>
      <c r="B82" s="37" t="s">
        <v>2900</v>
      </c>
      <c r="C82" s="37" t="s">
        <v>14</v>
      </c>
      <c r="D82" s="37" t="s">
        <v>702</v>
      </c>
      <c r="E82" s="12" t="s">
        <v>2764</v>
      </c>
      <c r="F82" s="102">
        <v>46043.534722222219</v>
      </c>
      <c r="G82" s="102">
        <v>46043.590277777781</v>
      </c>
      <c r="H82" s="102">
        <v>46043.590277777781</v>
      </c>
      <c r="I82" s="153">
        <f t="shared" si="12"/>
        <v>5.5555555562023073E-2</v>
      </c>
      <c r="J82" s="103">
        <f t="shared" si="13"/>
        <v>80.000000009313226</v>
      </c>
      <c r="K82" s="153">
        <f t="shared" si="14"/>
        <v>5.5555555562023073E-2</v>
      </c>
      <c r="L82" s="103">
        <f t="shared" si="15"/>
        <v>80.000000009313226</v>
      </c>
      <c r="M82" s="12" t="s">
        <v>2765</v>
      </c>
      <c r="N82" s="12" t="s">
        <v>20</v>
      </c>
      <c r="O82" s="9" t="s">
        <v>2901</v>
      </c>
      <c r="P82" s="102" t="s">
        <v>2628</v>
      </c>
      <c r="Q82" s="37" t="s">
        <v>678</v>
      </c>
      <c r="R82" s="12"/>
      <c r="S82" s="38" t="str">
        <f t="shared" si="16"/>
        <v>ISLA</v>
      </c>
      <c r="T82" s="37" t="str">
        <f t="shared" si="17"/>
        <v>NON</v>
      </c>
      <c r="U82" s="37" t="s">
        <v>2675</v>
      </c>
    </row>
    <row r="83" spans="1:21" x14ac:dyDescent="0.4">
      <c r="A83" s="37">
        <v>82</v>
      </c>
      <c r="B83" s="37" t="s">
        <v>2902</v>
      </c>
      <c r="C83" s="37" t="s">
        <v>2</v>
      </c>
      <c r="D83" s="37" t="s">
        <v>702</v>
      </c>
      <c r="E83" s="12" t="s">
        <v>2800</v>
      </c>
      <c r="F83" s="102">
        <v>46043.565972222219</v>
      </c>
      <c r="G83" s="102">
        <v>46043.655555555553</v>
      </c>
      <c r="H83" s="102">
        <v>46043.655555555553</v>
      </c>
      <c r="I83" s="153">
        <f t="shared" si="12"/>
        <v>8.9583333334303461E-2</v>
      </c>
      <c r="J83" s="103">
        <f t="shared" si="13"/>
        <v>129.00000000139698</v>
      </c>
      <c r="K83" s="153">
        <f t="shared" si="14"/>
        <v>8.9583333334303461E-2</v>
      </c>
      <c r="L83" s="103">
        <f t="shared" si="15"/>
        <v>129.00000000139698</v>
      </c>
      <c r="M83" s="12" t="s">
        <v>2842</v>
      </c>
      <c r="N83" s="9" t="s">
        <v>2903</v>
      </c>
      <c r="O83" s="9" t="s">
        <v>2744</v>
      </c>
      <c r="P83" s="102" t="s">
        <v>2628</v>
      </c>
      <c r="Q83" s="37" t="s">
        <v>678</v>
      </c>
      <c r="R83" s="12"/>
      <c r="S83" s="38" t="str">
        <f t="shared" si="16"/>
        <v>ISLA</v>
      </c>
      <c r="T83" s="37" t="str">
        <f t="shared" si="17"/>
        <v>NON</v>
      </c>
      <c r="U83" s="37" t="s">
        <v>2675</v>
      </c>
    </row>
    <row r="84" spans="1:21" x14ac:dyDescent="0.4">
      <c r="A84" s="37">
        <v>83</v>
      </c>
      <c r="B84" s="37" t="s">
        <v>2904</v>
      </c>
      <c r="C84" s="37" t="s">
        <v>2</v>
      </c>
      <c r="D84" s="37" t="s">
        <v>702</v>
      </c>
      <c r="E84" s="12" t="s">
        <v>2673</v>
      </c>
      <c r="F84" s="102">
        <v>46043.732638888891</v>
      </c>
      <c r="G84" s="102">
        <v>46044.253472222219</v>
      </c>
      <c r="H84" s="102">
        <v>46044.253472222219</v>
      </c>
      <c r="I84" s="153">
        <f t="shared" si="12"/>
        <v>0.52083333332848269</v>
      </c>
      <c r="J84" s="103">
        <f t="shared" si="13"/>
        <v>749.99999999301508</v>
      </c>
      <c r="K84" s="153">
        <f t="shared" si="14"/>
        <v>0.52083333332848269</v>
      </c>
      <c r="L84" s="103">
        <f t="shared" si="15"/>
        <v>749.99999999301508</v>
      </c>
      <c r="M84" s="12" t="s">
        <v>2674</v>
      </c>
      <c r="N84" s="9" t="s">
        <v>20</v>
      </c>
      <c r="O84" s="9" t="s">
        <v>20</v>
      </c>
      <c r="P84" s="102" t="s">
        <v>2905</v>
      </c>
      <c r="Q84" s="37" t="s">
        <v>678</v>
      </c>
      <c r="R84" s="12"/>
      <c r="S84" s="38" t="str">
        <f t="shared" si="16"/>
        <v>OSLA</v>
      </c>
      <c r="T84" s="37" t="str">
        <f t="shared" si="17"/>
        <v>NON</v>
      </c>
      <c r="U84" s="37" t="s">
        <v>2675</v>
      </c>
    </row>
    <row r="85" spans="1:21" x14ac:dyDescent="0.4">
      <c r="A85" s="37">
        <v>84</v>
      </c>
      <c r="B85" s="37" t="s">
        <v>2906</v>
      </c>
      <c r="C85" s="37" t="s">
        <v>2</v>
      </c>
      <c r="D85" s="37" t="s">
        <v>702</v>
      </c>
      <c r="E85" s="12" t="s">
        <v>2885</v>
      </c>
      <c r="F85" s="102">
        <v>46043.81527777778</v>
      </c>
      <c r="G85" s="102">
        <v>46043.836111111108</v>
      </c>
      <c r="H85" s="102">
        <v>46043.836111111108</v>
      </c>
      <c r="I85" s="153">
        <f t="shared" si="12"/>
        <v>2.0833333328482695E-2</v>
      </c>
      <c r="J85" s="103">
        <f t="shared" si="13"/>
        <v>29.999999993015081</v>
      </c>
      <c r="K85" s="153">
        <f t="shared" si="14"/>
        <v>2.0833333328482695E-2</v>
      </c>
      <c r="L85" s="103">
        <f t="shared" si="15"/>
        <v>29.999999993015081</v>
      </c>
      <c r="M85" s="12" t="s">
        <v>2886</v>
      </c>
      <c r="N85" s="9" t="s">
        <v>20</v>
      </c>
      <c r="O85" s="9" t="s">
        <v>20</v>
      </c>
      <c r="P85" s="102" t="s">
        <v>2684</v>
      </c>
      <c r="Q85" s="37" t="s">
        <v>678</v>
      </c>
      <c r="R85" s="12"/>
      <c r="S85" s="38" t="str">
        <f t="shared" si="16"/>
        <v>ISLA</v>
      </c>
      <c r="T85" s="37" t="str">
        <f t="shared" si="17"/>
        <v>NON</v>
      </c>
      <c r="U85" s="37" t="s">
        <v>2680</v>
      </c>
    </row>
    <row r="86" spans="1:21" x14ac:dyDescent="0.4">
      <c r="A86" s="37">
        <v>85</v>
      </c>
      <c r="B86" s="37" t="s">
        <v>2907</v>
      </c>
      <c r="C86" s="37" t="s">
        <v>2</v>
      </c>
      <c r="D86" s="37" t="s">
        <v>702</v>
      </c>
      <c r="E86" s="12" t="s">
        <v>2800</v>
      </c>
      <c r="F86" s="102">
        <v>46043.815972222219</v>
      </c>
      <c r="G86" s="102">
        <v>46043.833333333336</v>
      </c>
      <c r="H86" s="102">
        <v>46043.833333333336</v>
      </c>
      <c r="I86" s="153">
        <f t="shared" si="12"/>
        <v>1.7361111116770189E-2</v>
      </c>
      <c r="J86" s="103">
        <f t="shared" si="13"/>
        <v>25.000000008149073</v>
      </c>
      <c r="K86" s="153">
        <f t="shared" si="14"/>
        <v>1.7361111116770189E-2</v>
      </c>
      <c r="L86" s="103">
        <f t="shared" si="15"/>
        <v>25.000000008149073</v>
      </c>
      <c r="M86" s="12" t="s">
        <v>2842</v>
      </c>
      <c r="N86" s="9" t="s">
        <v>20</v>
      </c>
      <c r="O86" s="9" t="s">
        <v>20</v>
      </c>
      <c r="P86" s="102" t="s">
        <v>2628</v>
      </c>
      <c r="Q86" s="37" t="s">
        <v>678</v>
      </c>
      <c r="R86" s="12"/>
      <c r="S86" s="38" t="str">
        <f t="shared" si="16"/>
        <v>ISLA</v>
      </c>
      <c r="T86" s="37" t="str">
        <f t="shared" si="17"/>
        <v>NON</v>
      </c>
      <c r="U86" s="37" t="s">
        <v>2675</v>
      </c>
    </row>
    <row r="87" spans="1:21" x14ac:dyDescent="0.4">
      <c r="A87" s="37">
        <v>86</v>
      </c>
      <c r="B87" s="37" t="s">
        <v>2908</v>
      </c>
      <c r="C87" s="37" t="s">
        <v>2</v>
      </c>
      <c r="D87" s="37" t="s">
        <v>702</v>
      </c>
      <c r="E87" s="12" t="s">
        <v>2796</v>
      </c>
      <c r="F87" s="102">
        <v>46044.000694444447</v>
      </c>
      <c r="G87" s="102">
        <v>46044.53125</v>
      </c>
      <c r="H87" s="102">
        <v>46044.53125</v>
      </c>
      <c r="I87" s="153">
        <f t="shared" si="12"/>
        <v>0.53055555555329192</v>
      </c>
      <c r="J87" s="103">
        <f t="shared" si="13"/>
        <v>763.99999999674037</v>
      </c>
      <c r="K87" s="153">
        <f t="shared" si="14"/>
        <v>0.53055555555329192</v>
      </c>
      <c r="L87" s="103">
        <f t="shared" si="15"/>
        <v>763.99999999674037</v>
      </c>
      <c r="M87" s="12" t="s">
        <v>2878</v>
      </c>
      <c r="N87" s="9" t="s">
        <v>2909</v>
      </c>
      <c r="O87" s="9" t="s">
        <v>2910</v>
      </c>
      <c r="P87" s="102" t="s">
        <v>847</v>
      </c>
      <c r="Q87" s="37" t="s">
        <v>678</v>
      </c>
      <c r="R87" s="12"/>
      <c r="S87" s="38" t="str">
        <f t="shared" si="16"/>
        <v>OSLA</v>
      </c>
      <c r="T87" s="37" t="str">
        <f t="shared" si="17"/>
        <v>NON</v>
      </c>
      <c r="U87" s="37" t="s">
        <v>2680</v>
      </c>
    </row>
    <row r="88" spans="1:21" x14ac:dyDescent="0.4">
      <c r="A88" s="37">
        <v>87</v>
      </c>
      <c r="B88" s="37" t="s">
        <v>2911</v>
      </c>
      <c r="C88" s="37" t="s">
        <v>2</v>
      </c>
      <c r="D88" s="37" t="s">
        <v>702</v>
      </c>
      <c r="E88" s="12" t="s">
        <v>2824</v>
      </c>
      <c r="F88" s="102">
        <v>46044.43472222222</v>
      </c>
      <c r="G88" s="102">
        <v>46044.581250000003</v>
      </c>
      <c r="H88" s="102">
        <v>46044.581250000003</v>
      </c>
      <c r="I88" s="153">
        <f t="shared" si="12"/>
        <v>0.14652777778246673</v>
      </c>
      <c r="J88" s="103">
        <f t="shared" si="13"/>
        <v>211.00000000675209</v>
      </c>
      <c r="K88" s="153">
        <f t="shared" si="14"/>
        <v>0.14652777778246673</v>
      </c>
      <c r="L88" s="103">
        <f t="shared" si="15"/>
        <v>211.00000000675209</v>
      </c>
      <c r="M88" s="12" t="s">
        <v>2825</v>
      </c>
      <c r="N88" s="9" t="s">
        <v>20</v>
      </c>
      <c r="O88" s="9" t="s">
        <v>20</v>
      </c>
      <c r="P88" s="102" t="s">
        <v>2813</v>
      </c>
      <c r="Q88" s="37" t="s">
        <v>678</v>
      </c>
      <c r="R88" s="12"/>
      <c r="S88" s="38" t="str">
        <f t="shared" si="16"/>
        <v>ISLA</v>
      </c>
      <c r="T88" s="37" t="str">
        <f t="shared" si="17"/>
        <v>NON</v>
      </c>
      <c r="U88" s="37" t="s">
        <v>2680</v>
      </c>
    </row>
    <row r="89" spans="1:21" x14ac:dyDescent="0.4">
      <c r="A89" s="37">
        <v>88</v>
      </c>
      <c r="B89" s="37" t="s">
        <v>2912</v>
      </c>
      <c r="C89" s="37" t="s">
        <v>2</v>
      </c>
      <c r="D89" s="37" t="s">
        <v>702</v>
      </c>
      <c r="E89" s="12" t="s">
        <v>2800</v>
      </c>
      <c r="F89" s="102">
        <v>46044.663194444445</v>
      </c>
      <c r="G89" s="102">
        <v>46044.715277777781</v>
      </c>
      <c r="H89" s="102">
        <v>46044.715277777781</v>
      </c>
      <c r="I89" s="153">
        <f t="shared" si="12"/>
        <v>5.2083333335758653E-2</v>
      </c>
      <c r="J89" s="103">
        <f t="shared" si="13"/>
        <v>75.00000000349246</v>
      </c>
      <c r="K89" s="153">
        <f t="shared" si="14"/>
        <v>5.2083333335758653E-2</v>
      </c>
      <c r="L89" s="103">
        <f t="shared" si="15"/>
        <v>75.00000000349246</v>
      </c>
      <c r="M89" s="12" t="s">
        <v>2842</v>
      </c>
      <c r="N89" s="9" t="s">
        <v>2903</v>
      </c>
      <c r="O89" s="9" t="s">
        <v>2744</v>
      </c>
      <c r="P89" s="102" t="s">
        <v>2628</v>
      </c>
      <c r="Q89" s="37" t="s">
        <v>678</v>
      </c>
      <c r="R89" s="12"/>
      <c r="S89" s="38" t="str">
        <f t="shared" si="16"/>
        <v>ISLA</v>
      </c>
      <c r="T89" s="37" t="str">
        <f t="shared" si="17"/>
        <v>NON</v>
      </c>
      <c r="U89" s="37" t="s">
        <v>2675</v>
      </c>
    </row>
    <row r="90" spans="1:21" x14ac:dyDescent="0.4">
      <c r="A90" s="37">
        <v>89</v>
      </c>
      <c r="B90" s="37" t="s">
        <v>2913</v>
      </c>
      <c r="C90" s="37" t="s">
        <v>2</v>
      </c>
      <c r="D90" s="37" t="s">
        <v>702</v>
      </c>
      <c r="E90" s="149" t="s">
        <v>2717</v>
      </c>
      <c r="F90" s="102">
        <v>46044.704861111109</v>
      </c>
      <c r="G90" s="102">
        <v>46045.371527777781</v>
      </c>
      <c r="H90" s="102">
        <v>46045.371527777781</v>
      </c>
      <c r="I90" s="153">
        <f t="shared" si="12"/>
        <v>0.66666666667151731</v>
      </c>
      <c r="J90" s="103">
        <f t="shared" si="13"/>
        <v>960.00000000698492</v>
      </c>
      <c r="K90" s="153">
        <f t="shared" si="14"/>
        <v>0.66666666667151731</v>
      </c>
      <c r="L90" s="103">
        <f t="shared" si="15"/>
        <v>960.00000000698492</v>
      </c>
      <c r="M90" s="12" t="s">
        <v>2718</v>
      </c>
      <c r="N90" s="9" t="s">
        <v>20</v>
      </c>
      <c r="O90" s="9" t="s">
        <v>20</v>
      </c>
      <c r="P90" s="102" t="s">
        <v>2846</v>
      </c>
      <c r="Q90" s="37" t="s">
        <v>678</v>
      </c>
      <c r="R90" s="12"/>
      <c r="S90" s="38" t="str">
        <f t="shared" si="16"/>
        <v>OSLA</v>
      </c>
      <c r="T90" s="37" t="str">
        <f t="shared" si="17"/>
        <v>OUI</v>
      </c>
      <c r="U90" s="37" t="s">
        <v>2680</v>
      </c>
    </row>
    <row r="91" spans="1:21" x14ac:dyDescent="0.4">
      <c r="A91" s="37">
        <v>90</v>
      </c>
      <c r="B91" s="37" t="s">
        <v>2914</v>
      </c>
      <c r="C91" s="37" t="s">
        <v>2</v>
      </c>
      <c r="D91" s="37" t="s">
        <v>702</v>
      </c>
      <c r="E91" s="12" t="s">
        <v>2673</v>
      </c>
      <c r="F91" s="102">
        <v>46045.013888888891</v>
      </c>
      <c r="G91" s="102">
        <v>46045.072916666664</v>
      </c>
      <c r="H91" s="102">
        <v>46045.072916666664</v>
      </c>
      <c r="I91" s="153">
        <f t="shared" si="12"/>
        <v>5.9027777773735579E-2</v>
      </c>
      <c r="J91" s="103">
        <f t="shared" si="13"/>
        <v>84.999999994179234</v>
      </c>
      <c r="K91" s="153">
        <f t="shared" si="14"/>
        <v>5.9027777773735579E-2</v>
      </c>
      <c r="L91" s="103">
        <f t="shared" si="15"/>
        <v>84.999999994179234</v>
      </c>
      <c r="M91" s="12" t="s">
        <v>2674</v>
      </c>
      <c r="N91" s="9" t="s">
        <v>2915</v>
      </c>
      <c r="O91" s="9" t="s">
        <v>20</v>
      </c>
      <c r="P91" s="102" t="s">
        <v>2779</v>
      </c>
      <c r="Q91" s="37" t="s">
        <v>678</v>
      </c>
      <c r="R91" s="12"/>
      <c r="S91" s="38" t="str">
        <f t="shared" si="16"/>
        <v>ISLA</v>
      </c>
      <c r="T91" s="37" t="str">
        <f t="shared" si="17"/>
        <v>NON</v>
      </c>
      <c r="U91" s="37" t="s">
        <v>2675</v>
      </c>
    </row>
    <row r="92" spans="1:21" x14ac:dyDescent="0.4">
      <c r="A92" s="37">
        <v>91</v>
      </c>
      <c r="B92" s="37" t="s">
        <v>2916</v>
      </c>
      <c r="C92" s="37" t="s">
        <v>2</v>
      </c>
      <c r="D92" s="37" t="s">
        <v>702</v>
      </c>
      <c r="E92" s="12" t="s">
        <v>2673</v>
      </c>
      <c r="F92" s="102">
        <v>46045.451388888891</v>
      </c>
      <c r="G92" s="102">
        <v>46045.729166666664</v>
      </c>
      <c r="H92" s="102">
        <v>46045.729166666664</v>
      </c>
      <c r="I92" s="153">
        <f t="shared" si="12"/>
        <v>0.27777777777373558</v>
      </c>
      <c r="J92" s="103">
        <f t="shared" si="13"/>
        <v>399.99999999417923</v>
      </c>
      <c r="K92" s="153">
        <f t="shared" si="14"/>
        <v>0.27777777777373558</v>
      </c>
      <c r="L92" s="103">
        <f t="shared" si="15"/>
        <v>399.99999999417923</v>
      </c>
      <c r="M92" s="12" t="s">
        <v>2674</v>
      </c>
      <c r="N92" s="9" t="s">
        <v>20</v>
      </c>
      <c r="O92" s="9" t="s">
        <v>20</v>
      </c>
      <c r="P92" s="102" t="s">
        <v>2815</v>
      </c>
      <c r="Q92" s="37" t="s">
        <v>678</v>
      </c>
      <c r="R92" s="12"/>
      <c r="S92" s="38" t="str">
        <f t="shared" si="16"/>
        <v>OSLA</v>
      </c>
      <c r="T92" s="37" t="str">
        <f t="shared" si="17"/>
        <v>OUI</v>
      </c>
      <c r="U92" s="37" t="s">
        <v>2680</v>
      </c>
    </row>
    <row r="93" spans="1:21" x14ac:dyDescent="0.4">
      <c r="A93" s="37">
        <v>92</v>
      </c>
      <c r="B93" s="37" t="s">
        <v>2917</v>
      </c>
      <c r="C93" s="37" t="s">
        <v>2</v>
      </c>
      <c r="D93" s="37" t="s">
        <v>702</v>
      </c>
      <c r="E93" s="12" t="s">
        <v>2918</v>
      </c>
      <c r="F93" s="102">
        <v>46045.661805555559</v>
      </c>
      <c r="G93" s="102">
        <v>46045.714583333334</v>
      </c>
      <c r="H93" s="102">
        <v>46045.714583333334</v>
      </c>
      <c r="I93" s="153">
        <f t="shared" si="12"/>
        <v>5.2777777775190771E-2</v>
      </c>
      <c r="J93" s="103">
        <f t="shared" si="13"/>
        <v>75.99999999627471</v>
      </c>
      <c r="K93" s="153">
        <f t="shared" si="14"/>
        <v>5.2777777775190771E-2</v>
      </c>
      <c r="L93" s="103">
        <f t="shared" si="15"/>
        <v>75.99999999627471</v>
      </c>
      <c r="M93" s="12" t="s">
        <v>2919</v>
      </c>
      <c r="N93" s="9" t="s">
        <v>20</v>
      </c>
      <c r="O93" s="9" t="s">
        <v>20</v>
      </c>
      <c r="P93" s="102" t="s">
        <v>2920</v>
      </c>
      <c r="Q93" s="37" t="s">
        <v>678</v>
      </c>
      <c r="R93" s="12"/>
      <c r="S93" s="38" t="str">
        <f t="shared" si="16"/>
        <v>ISLA</v>
      </c>
      <c r="T93" s="37" t="str">
        <f t="shared" si="17"/>
        <v>NON</v>
      </c>
      <c r="U93" s="37" t="s">
        <v>2680</v>
      </c>
    </row>
    <row r="94" spans="1:21" x14ac:dyDescent="0.4">
      <c r="A94" s="37">
        <v>93</v>
      </c>
      <c r="B94" s="37" t="s">
        <v>2921</v>
      </c>
      <c r="C94" s="37" t="s">
        <v>2</v>
      </c>
      <c r="D94" s="37" t="s">
        <v>702</v>
      </c>
      <c r="E94" s="149" t="s">
        <v>2717</v>
      </c>
      <c r="F94" s="102">
        <v>46045.804861111108</v>
      </c>
      <c r="G94" s="102">
        <v>46046.506944444445</v>
      </c>
      <c r="H94" s="102">
        <v>46046.506944444445</v>
      </c>
      <c r="I94" s="153">
        <f t="shared" si="12"/>
        <v>0.70208333333721384</v>
      </c>
      <c r="J94" s="103">
        <f t="shared" si="13"/>
        <v>1011.0000000055879</v>
      </c>
      <c r="K94" s="153">
        <f t="shared" si="14"/>
        <v>0.70208333333721384</v>
      </c>
      <c r="L94" s="103">
        <f t="shared" si="15"/>
        <v>1011.0000000055879</v>
      </c>
      <c r="M94" s="12" t="s">
        <v>2718</v>
      </c>
      <c r="N94" s="9" t="s">
        <v>20</v>
      </c>
      <c r="O94" s="9" t="s">
        <v>20</v>
      </c>
      <c r="P94" s="102" t="s">
        <v>2846</v>
      </c>
      <c r="Q94" s="37" t="s">
        <v>678</v>
      </c>
      <c r="R94" s="12"/>
      <c r="S94" s="38" t="str">
        <f t="shared" si="16"/>
        <v>OSLA</v>
      </c>
      <c r="T94" s="37" t="str">
        <f t="shared" si="17"/>
        <v>OUI</v>
      </c>
      <c r="U94" s="37" t="s">
        <v>2680</v>
      </c>
    </row>
    <row r="95" spans="1:21" x14ac:dyDescent="0.4">
      <c r="A95" s="37">
        <v>94</v>
      </c>
      <c r="B95" s="37" t="s">
        <v>2706</v>
      </c>
      <c r="C95" s="37" t="s">
        <v>2</v>
      </c>
      <c r="D95" s="37" t="s">
        <v>702</v>
      </c>
      <c r="E95" s="12" t="s">
        <v>2707</v>
      </c>
      <c r="F95" s="102">
        <v>46045.868055555555</v>
      </c>
      <c r="G95" s="102">
        <v>46045.895833333336</v>
      </c>
      <c r="H95" s="102">
        <v>46045.895833333336</v>
      </c>
      <c r="I95" s="153">
        <f t="shared" si="12"/>
        <v>2.7777777781011537E-2</v>
      </c>
      <c r="J95" s="103">
        <f t="shared" si="13"/>
        <v>40.000000004656613</v>
      </c>
      <c r="K95" s="153">
        <f t="shared" si="14"/>
        <v>2.7777777781011537E-2</v>
      </c>
      <c r="L95" s="103">
        <f t="shared" si="15"/>
        <v>40.000000004656613</v>
      </c>
      <c r="M95" s="12" t="s">
        <v>2753</v>
      </c>
      <c r="N95" s="9" t="s">
        <v>20</v>
      </c>
      <c r="O95" s="9" t="s">
        <v>20</v>
      </c>
      <c r="P95" s="102" t="s">
        <v>2628</v>
      </c>
      <c r="Q95" s="37" t="s">
        <v>678</v>
      </c>
      <c r="R95" s="12"/>
      <c r="S95" s="38" t="str">
        <f t="shared" si="16"/>
        <v>ISLA</v>
      </c>
      <c r="T95" s="37" t="str">
        <f t="shared" si="17"/>
        <v>NON</v>
      </c>
      <c r="U95" s="37" t="s">
        <v>2675</v>
      </c>
    </row>
    <row r="96" spans="1:21" x14ac:dyDescent="0.4">
      <c r="A96" s="37">
        <v>95</v>
      </c>
      <c r="B96" s="37" t="s">
        <v>2922</v>
      </c>
      <c r="C96" s="37" t="s">
        <v>2</v>
      </c>
      <c r="D96" s="37" t="s">
        <v>702</v>
      </c>
      <c r="E96" s="12" t="s">
        <v>2682</v>
      </c>
      <c r="F96" s="102">
        <v>46046.190972222219</v>
      </c>
      <c r="G96" s="102">
        <v>46046.256944444445</v>
      </c>
      <c r="H96" s="102">
        <v>46046.256944444445</v>
      </c>
      <c r="I96" s="153">
        <f t="shared" si="12"/>
        <v>6.5972222226264421E-2</v>
      </c>
      <c r="J96" s="103">
        <f t="shared" si="13"/>
        <v>95.000000005820766</v>
      </c>
      <c r="K96" s="153">
        <f t="shared" si="14"/>
        <v>6.5972222226264421E-2</v>
      </c>
      <c r="L96" s="103">
        <f t="shared" si="15"/>
        <v>95.000000005820766</v>
      </c>
      <c r="M96" s="12" t="s">
        <v>2923</v>
      </c>
      <c r="N96" s="9" t="s">
        <v>20</v>
      </c>
      <c r="O96" s="9" t="s">
        <v>20</v>
      </c>
      <c r="P96" s="102" t="s">
        <v>2684</v>
      </c>
      <c r="Q96" s="37" t="s">
        <v>678</v>
      </c>
      <c r="R96" s="12"/>
      <c r="S96" s="38" t="str">
        <f t="shared" si="16"/>
        <v>ISLA</v>
      </c>
      <c r="T96" s="37" t="str">
        <f t="shared" si="17"/>
        <v>NON</v>
      </c>
      <c r="U96" s="37" t="s">
        <v>2680</v>
      </c>
    </row>
    <row r="97" spans="1:21" x14ac:dyDescent="0.4">
      <c r="A97" s="37">
        <v>96</v>
      </c>
      <c r="B97" s="37" t="s">
        <v>2924</v>
      </c>
      <c r="C97" s="37" t="s">
        <v>2</v>
      </c>
      <c r="D97" s="37" t="s">
        <v>702</v>
      </c>
      <c r="E97" s="12" t="s">
        <v>2817</v>
      </c>
      <c r="F97" s="102">
        <v>46046.381249999999</v>
      </c>
      <c r="G97" s="102">
        <v>46046.537499999999</v>
      </c>
      <c r="H97" s="102">
        <v>46046.537499999999</v>
      </c>
      <c r="I97" s="153">
        <f t="shared" si="12"/>
        <v>0.15625</v>
      </c>
      <c r="J97" s="103">
        <f t="shared" si="13"/>
        <v>225</v>
      </c>
      <c r="K97" s="153">
        <f t="shared" si="14"/>
        <v>0.15625</v>
      </c>
      <c r="L97" s="103">
        <f t="shared" si="15"/>
        <v>225</v>
      </c>
      <c r="M97" s="12" t="s">
        <v>2818</v>
      </c>
      <c r="N97" s="9" t="s">
        <v>20</v>
      </c>
      <c r="O97" s="9" t="s">
        <v>20</v>
      </c>
      <c r="P97" s="102" t="s">
        <v>2819</v>
      </c>
      <c r="Q97" s="37" t="s">
        <v>678</v>
      </c>
      <c r="R97" s="12"/>
      <c r="S97" s="38" t="str">
        <f t="shared" si="16"/>
        <v>ISLA</v>
      </c>
      <c r="T97" s="37" t="str">
        <f t="shared" si="17"/>
        <v>NON</v>
      </c>
      <c r="U97" s="37" t="s">
        <v>2680</v>
      </c>
    </row>
    <row r="98" spans="1:21" x14ac:dyDescent="0.4">
      <c r="A98" s="37">
        <v>97</v>
      </c>
      <c r="B98" s="37" t="s">
        <v>2706</v>
      </c>
      <c r="C98" s="37" t="s">
        <v>2</v>
      </c>
      <c r="D98" s="37" t="s">
        <v>702</v>
      </c>
      <c r="E98" s="12" t="s">
        <v>2707</v>
      </c>
      <c r="F98" s="102">
        <v>46047.041666666664</v>
      </c>
      <c r="G98" s="102">
        <v>46047.225694444445</v>
      </c>
      <c r="H98" s="102">
        <v>46047.225694444445</v>
      </c>
      <c r="I98" s="153">
        <f t="shared" ref="I98:I132" si="18">G98-F98</f>
        <v>0.18402777778101154</v>
      </c>
      <c r="J98" s="103">
        <f t="shared" ref="J98:J129" si="19">I98*1440</f>
        <v>265.00000000465661</v>
      </c>
      <c r="K98" s="153">
        <f t="shared" ref="K98:K132" si="20">H98-F98</f>
        <v>0.18402777778101154</v>
      </c>
      <c r="L98" s="103">
        <f t="shared" ref="L98:L129" si="21">K98*1440</f>
        <v>265.00000000465661</v>
      </c>
      <c r="M98" s="12" t="s">
        <v>2753</v>
      </c>
      <c r="N98" s="9" t="s">
        <v>20</v>
      </c>
      <c r="O98" s="9" t="s">
        <v>20</v>
      </c>
      <c r="P98" s="102" t="s">
        <v>2628</v>
      </c>
      <c r="Q98" s="37" t="s">
        <v>678</v>
      </c>
      <c r="R98" s="12"/>
      <c r="S98" s="38" t="str">
        <f t="shared" ref="S98:S132" si="22">IF(AND(C98="P1",J98&lt;=240),"ISLA",IF((AND(C98="P2",J98&lt;=480)),"ISLA",IF((AND(C98="P3",J98&lt;=2880)),"ISLA","OSLA")))</f>
        <v>OSLA</v>
      </c>
      <c r="T98" s="37" t="str">
        <f t="shared" ref="T98:T129" si="23">IF((AND(MID(P98,1,2)="IT",S98="OSLA")),"OUI","NON")</f>
        <v>NON</v>
      </c>
      <c r="U98" s="37" t="s">
        <v>2675</v>
      </c>
    </row>
    <row r="99" spans="1:21" x14ac:dyDescent="0.4">
      <c r="A99" s="37">
        <v>98</v>
      </c>
      <c r="B99" s="37" t="s">
        <v>2925</v>
      </c>
      <c r="C99" s="37" t="s">
        <v>2</v>
      </c>
      <c r="D99" s="37" t="s">
        <v>702</v>
      </c>
      <c r="E99" s="12" t="s">
        <v>2673</v>
      </c>
      <c r="F99" s="102">
        <v>46047.236111111109</v>
      </c>
      <c r="G99" s="102">
        <v>46047.440972222219</v>
      </c>
      <c r="H99" s="102">
        <v>46047.440972222219</v>
      </c>
      <c r="I99" s="153">
        <f t="shared" si="18"/>
        <v>0.20486111110949423</v>
      </c>
      <c r="J99" s="103">
        <f t="shared" si="19"/>
        <v>294.99999999767169</v>
      </c>
      <c r="K99" s="153">
        <f t="shared" si="20"/>
        <v>0.20486111110949423</v>
      </c>
      <c r="L99" s="103">
        <f t="shared" si="21"/>
        <v>294.99999999767169</v>
      </c>
      <c r="M99" s="12" t="s">
        <v>2674</v>
      </c>
      <c r="N99" s="9" t="s">
        <v>20</v>
      </c>
      <c r="O99" s="9" t="s">
        <v>20</v>
      </c>
      <c r="P99" s="102" t="s">
        <v>2628</v>
      </c>
      <c r="Q99" s="37" t="s">
        <v>678</v>
      </c>
      <c r="R99" s="12"/>
      <c r="S99" s="38" t="str">
        <f t="shared" si="22"/>
        <v>OSLA</v>
      </c>
      <c r="T99" s="37" t="str">
        <f t="shared" si="23"/>
        <v>NON</v>
      </c>
      <c r="U99" s="37" t="s">
        <v>2675</v>
      </c>
    </row>
    <row r="100" spans="1:21" x14ac:dyDescent="0.4">
      <c r="A100" s="37">
        <v>99</v>
      </c>
      <c r="B100" s="37" t="s">
        <v>2926</v>
      </c>
      <c r="C100" s="37" t="s">
        <v>2</v>
      </c>
      <c r="D100" s="37" t="s">
        <v>702</v>
      </c>
      <c r="E100" s="12" t="s">
        <v>2808</v>
      </c>
      <c r="F100" s="102">
        <v>46047.260416666664</v>
      </c>
      <c r="G100" s="102">
        <v>46047.297222222223</v>
      </c>
      <c r="H100" s="102">
        <v>46047.297222222223</v>
      </c>
      <c r="I100" s="153">
        <f t="shared" si="18"/>
        <v>3.680555555911269E-2</v>
      </c>
      <c r="J100" s="103">
        <f t="shared" si="19"/>
        <v>53.000000005122274</v>
      </c>
      <c r="K100" s="153">
        <f t="shared" si="20"/>
        <v>3.680555555911269E-2</v>
      </c>
      <c r="L100" s="103">
        <f t="shared" si="21"/>
        <v>53.000000005122274</v>
      </c>
      <c r="M100" s="12" t="s">
        <v>2809</v>
      </c>
      <c r="N100" s="9" t="s">
        <v>20</v>
      </c>
      <c r="O100" s="9" t="s">
        <v>20</v>
      </c>
      <c r="P100" s="102" t="s">
        <v>707</v>
      </c>
      <c r="Q100" s="37" t="s">
        <v>678</v>
      </c>
      <c r="R100" s="12"/>
      <c r="S100" s="38" t="str">
        <f t="shared" si="22"/>
        <v>ISLA</v>
      </c>
      <c r="T100" s="37" t="str">
        <f t="shared" si="23"/>
        <v>NON</v>
      </c>
      <c r="U100" s="37" t="s">
        <v>2680</v>
      </c>
    </row>
    <row r="101" spans="1:21" x14ac:dyDescent="0.4">
      <c r="A101" s="37">
        <v>100</v>
      </c>
      <c r="B101" s="37" t="s">
        <v>2927</v>
      </c>
      <c r="C101" s="37" t="s">
        <v>2</v>
      </c>
      <c r="D101" s="37" t="s">
        <v>702</v>
      </c>
      <c r="E101" s="12" t="s">
        <v>2717</v>
      </c>
      <c r="F101" s="185">
        <v>46047.527083333334</v>
      </c>
      <c r="G101" s="185">
        <v>46047.875694444447</v>
      </c>
      <c r="H101" s="185">
        <v>46047.875694444447</v>
      </c>
      <c r="I101" s="153">
        <f t="shared" si="18"/>
        <v>0.34861111111240461</v>
      </c>
      <c r="J101" s="103">
        <f t="shared" si="19"/>
        <v>502.00000000186265</v>
      </c>
      <c r="K101" s="153">
        <f t="shared" si="20"/>
        <v>0.34861111111240461</v>
      </c>
      <c r="L101" s="103">
        <f t="shared" si="21"/>
        <v>502.00000000186265</v>
      </c>
      <c r="M101" s="12" t="s">
        <v>2718</v>
      </c>
      <c r="N101" s="9" t="s">
        <v>20</v>
      </c>
      <c r="O101" s="9" t="s">
        <v>20</v>
      </c>
      <c r="P101" s="102" t="s">
        <v>2846</v>
      </c>
      <c r="Q101" s="37" t="s">
        <v>678</v>
      </c>
      <c r="R101" s="12"/>
      <c r="S101" s="38" t="str">
        <f t="shared" si="22"/>
        <v>OSLA</v>
      </c>
      <c r="T101" s="37" t="str">
        <f t="shared" si="23"/>
        <v>OUI</v>
      </c>
      <c r="U101" s="37" t="s">
        <v>2680</v>
      </c>
    </row>
    <row r="102" spans="1:21" x14ac:dyDescent="0.4">
      <c r="A102" s="37">
        <v>101</v>
      </c>
      <c r="B102" s="101" t="s">
        <v>2928</v>
      </c>
      <c r="C102" s="37" t="s">
        <v>2</v>
      </c>
      <c r="D102" s="37" t="s">
        <v>702</v>
      </c>
      <c r="E102" s="12" t="s">
        <v>2827</v>
      </c>
      <c r="F102" s="102">
        <v>46047.672222222223</v>
      </c>
      <c r="G102" s="102">
        <v>46047.693749999999</v>
      </c>
      <c r="H102" s="102">
        <v>46047.693749999999</v>
      </c>
      <c r="I102" s="153">
        <f t="shared" si="18"/>
        <v>2.1527777775190771E-2</v>
      </c>
      <c r="J102" s="103">
        <f t="shared" si="19"/>
        <v>30.99999999627471</v>
      </c>
      <c r="K102" s="153">
        <f t="shared" si="20"/>
        <v>2.1527777775190771E-2</v>
      </c>
      <c r="L102" s="103">
        <f t="shared" si="21"/>
        <v>30.99999999627471</v>
      </c>
      <c r="M102" s="12" t="s">
        <v>2828</v>
      </c>
      <c r="N102" s="9" t="s">
        <v>2929</v>
      </c>
      <c r="O102" s="9" t="s">
        <v>2930</v>
      </c>
      <c r="P102" s="102" t="s">
        <v>2829</v>
      </c>
      <c r="Q102" s="37" t="s">
        <v>678</v>
      </c>
      <c r="R102" s="12"/>
      <c r="S102" s="38" t="str">
        <f t="shared" si="22"/>
        <v>ISLA</v>
      </c>
      <c r="T102" s="37" t="str">
        <f t="shared" si="23"/>
        <v>NON</v>
      </c>
      <c r="U102" s="37" t="s">
        <v>2680</v>
      </c>
    </row>
    <row r="103" spans="1:21" x14ac:dyDescent="0.4">
      <c r="A103" s="37">
        <v>102</v>
      </c>
      <c r="B103" s="101" t="s">
        <v>2931</v>
      </c>
      <c r="C103" s="37" t="s">
        <v>2</v>
      </c>
      <c r="D103" s="37" t="s">
        <v>702</v>
      </c>
      <c r="E103" s="149" t="s">
        <v>2717</v>
      </c>
      <c r="F103" s="102">
        <v>46048.354166666664</v>
      </c>
      <c r="G103" s="102">
        <v>46049.355555555558</v>
      </c>
      <c r="H103" s="102">
        <v>46049.355555555558</v>
      </c>
      <c r="I103" s="153">
        <f t="shared" si="18"/>
        <v>1.0013888888934162</v>
      </c>
      <c r="J103" s="103">
        <f t="shared" si="19"/>
        <v>1442.0000000065193</v>
      </c>
      <c r="K103" s="153">
        <f t="shared" si="20"/>
        <v>1.0013888888934162</v>
      </c>
      <c r="L103" s="103">
        <f t="shared" si="21"/>
        <v>1442.0000000065193</v>
      </c>
      <c r="M103" s="12" t="s">
        <v>2718</v>
      </c>
      <c r="N103" s="9" t="s">
        <v>2932</v>
      </c>
      <c r="O103" s="9" t="s">
        <v>20</v>
      </c>
      <c r="P103" s="102" t="s">
        <v>2846</v>
      </c>
      <c r="Q103" s="37" t="s">
        <v>678</v>
      </c>
      <c r="R103" s="12"/>
      <c r="S103" s="38" t="str">
        <f t="shared" si="22"/>
        <v>OSLA</v>
      </c>
      <c r="T103" s="37" t="str">
        <f t="shared" si="23"/>
        <v>OUI</v>
      </c>
      <c r="U103" s="37" t="s">
        <v>2735</v>
      </c>
    </row>
    <row r="104" spans="1:21" x14ac:dyDescent="0.4">
      <c r="A104" s="37">
        <v>103</v>
      </c>
      <c r="B104" s="37" t="s">
        <v>2933</v>
      </c>
      <c r="C104" s="37" t="s">
        <v>2</v>
      </c>
      <c r="D104" s="37" t="s">
        <v>702</v>
      </c>
      <c r="E104" s="12" t="s">
        <v>2934</v>
      </c>
      <c r="F104" s="102">
        <v>46048.4375</v>
      </c>
      <c r="G104" s="102">
        <v>46048.745833333334</v>
      </c>
      <c r="H104" s="102">
        <v>46048.745833333334</v>
      </c>
      <c r="I104" s="153">
        <f t="shared" si="18"/>
        <v>0.30833333333430346</v>
      </c>
      <c r="J104" s="103">
        <f t="shared" si="19"/>
        <v>444.00000000139698</v>
      </c>
      <c r="K104" s="153">
        <f t="shared" si="20"/>
        <v>0.30833333333430346</v>
      </c>
      <c r="L104" s="103">
        <f t="shared" si="21"/>
        <v>444.00000000139698</v>
      </c>
      <c r="M104" s="12" t="s">
        <v>2935</v>
      </c>
      <c r="N104" s="9" t="s">
        <v>20</v>
      </c>
      <c r="O104" s="9" t="s">
        <v>20</v>
      </c>
      <c r="P104" s="102" t="s">
        <v>2936</v>
      </c>
      <c r="Q104" s="37" t="s">
        <v>678</v>
      </c>
      <c r="R104" s="12"/>
      <c r="S104" s="38" t="str">
        <f t="shared" si="22"/>
        <v>OSLA</v>
      </c>
      <c r="T104" s="37" t="str">
        <f t="shared" si="23"/>
        <v>OUI</v>
      </c>
      <c r="U104" s="37" t="s">
        <v>2680</v>
      </c>
    </row>
    <row r="105" spans="1:21" x14ac:dyDescent="0.4">
      <c r="A105" s="37">
        <v>104</v>
      </c>
      <c r="B105" s="37" t="s">
        <v>2937</v>
      </c>
      <c r="C105" s="37" t="s">
        <v>2</v>
      </c>
      <c r="D105" s="37" t="s">
        <v>702</v>
      </c>
      <c r="E105" s="12" t="s">
        <v>2773</v>
      </c>
      <c r="F105" s="102">
        <v>46049.135416666664</v>
      </c>
      <c r="G105" s="102">
        <v>46049.388888888891</v>
      </c>
      <c r="H105" s="102">
        <v>46049.388888888891</v>
      </c>
      <c r="I105" s="153">
        <f t="shared" si="18"/>
        <v>0.25347222222626442</v>
      </c>
      <c r="J105" s="103">
        <f t="shared" si="19"/>
        <v>365.00000000582077</v>
      </c>
      <c r="K105" s="153">
        <f t="shared" si="20"/>
        <v>0.25347222222626442</v>
      </c>
      <c r="L105" s="103">
        <f t="shared" si="21"/>
        <v>365.00000000582077</v>
      </c>
      <c r="M105" s="12" t="s">
        <v>2774</v>
      </c>
      <c r="N105" s="9" t="s">
        <v>2938</v>
      </c>
      <c r="O105" s="9" t="s">
        <v>2775</v>
      </c>
      <c r="P105" s="102" t="s">
        <v>2628</v>
      </c>
      <c r="Q105" s="37" t="s">
        <v>678</v>
      </c>
      <c r="R105" s="12"/>
      <c r="S105" s="38" t="str">
        <f t="shared" si="22"/>
        <v>OSLA</v>
      </c>
      <c r="T105" s="37" t="str">
        <f t="shared" si="23"/>
        <v>NON</v>
      </c>
      <c r="U105" s="37" t="s">
        <v>2675</v>
      </c>
    </row>
    <row r="106" spans="1:21" x14ac:dyDescent="0.4">
      <c r="A106" s="37">
        <v>105</v>
      </c>
      <c r="B106" s="37" t="s">
        <v>2939</v>
      </c>
      <c r="C106" s="37" t="s">
        <v>2</v>
      </c>
      <c r="D106" s="37" t="s">
        <v>702</v>
      </c>
      <c r="E106" s="12" t="s">
        <v>2808</v>
      </c>
      <c r="F106" s="102">
        <v>46049.384722222225</v>
      </c>
      <c r="G106" s="102">
        <v>46049.434027777781</v>
      </c>
      <c r="H106" s="102">
        <v>46049.434027777781</v>
      </c>
      <c r="I106" s="153">
        <f t="shared" si="18"/>
        <v>4.9305555556202307E-2</v>
      </c>
      <c r="J106" s="103">
        <f t="shared" si="19"/>
        <v>71.000000000931323</v>
      </c>
      <c r="K106" s="153">
        <f t="shared" si="20"/>
        <v>4.9305555556202307E-2</v>
      </c>
      <c r="L106" s="103">
        <f t="shared" si="21"/>
        <v>71.000000000931323</v>
      </c>
      <c r="M106" s="12" t="s">
        <v>2809</v>
      </c>
      <c r="N106" s="9" t="s">
        <v>20</v>
      </c>
      <c r="O106" s="9" t="s">
        <v>20</v>
      </c>
      <c r="P106" s="102" t="s">
        <v>707</v>
      </c>
      <c r="Q106" s="37" t="s">
        <v>678</v>
      </c>
      <c r="R106" s="12"/>
      <c r="S106" s="38" t="str">
        <f t="shared" si="22"/>
        <v>ISLA</v>
      </c>
      <c r="T106" s="37" t="str">
        <f t="shared" si="23"/>
        <v>NON</v>
      </c>
      <c r="U106" s="37" t="s">
        <v>2680</v>
      </c>
    </row>
    <row r="107" spans="1:21" x14ac:dyDescent="0.4">
      <c r="A107" s="37">
        <v>106</v>
      </c>
      <c r="B107" s="37" t="s">
        <v>2940</v>
      </c>
      <c r="C107" s="37" t="s">
        <v>2</v>
      </c>
      <c r="D107" s="37" t="s">
        <v>702</v>
      </c>
      <c r="E107" s="12" t="s">
        <v>2682</v>
      </c>
      <c r="F107" s="102">
        <v>46049.392361111109</v>
      </c>
      <c r="G107" s="102">
        <v>46049.4375</v>
      </c>
      <c r="H107" s="102">
        <v>46049.4375</v>
      </c>
      <c r="I107" s="153">
        <f t="shared" si="18"/>
        <v>4.5138888890505768E-2</v>
      </c>
      <c r="J107" s="103">
        <f t="shared" si="19"/>
        <v>65.000000002328306</v>
      </c>
      <c r="K107" s="153">
        <f t="shared" si="20"/>
        <v>4.5138888890505768E-2</v>
      </c>
      <c r="L107" s="103">
        <f t="shared" si="21"/>
        <v>65.000000002328306</v>
      </c>
      <c r="M107" s="12" t="s">
        <v>2941</v>
      </c>
      <c r="N107" s="9" t="s">
        <v>20</v>
      </c>
      <c r="O107" s="9" t="s">
        <v>20</v>
      </c>
      <c r="P107" s="102" t="s">
        <v>2684</v>
      </c>
      <c r="Q107" s="37" t="s">
        <v>678</v>
      </c>
      <c r="R107" s="12"/>
      <c r="S107" s="38" t="str">
        <f t="shared" si="22"/>
        <v>ISLA</v>
      </c>
      <c r="T107" s="37" t="str">
        <f t="shared" si="23"/>
        <v>NON</v>
      </c>
      <c r="U107" s="37" t="s">
        <v>2680</v>
      </c>
    </row>
    <row r="108" spans="1:21" x14ac:dyDescent="0.4">
      <c r="A108" s="37">
        <v>107</v>
      </c>
      <c r="B108" s="37" t="s">
        <v>2942</v>
      </c>
      <c r="C108" s="37" t="s">
        <v>2</v>
      </c>
      <c r="D108" s="37" t="s">
        <v>702</v>
      </c>
      <c r="E108" s="12" t="s">
        <v>2717</v>
      </c>
      <c r="F108" s="102">
        <v>46049.450694444444</v>
      </c>
      <c r="G108" s="102">
        <v>46049.606249999997</v>
      </c>
      <c r="H108" s="102">
        <v>46049.606249999997</v>
      </c>
      <c r="I108" s="153">
        <f t="shared" si="18"/>
        <v>0.15555555555329192</v>
      </c>
      <c r="J108" s="103">
        <f t="shared" si="19"/>
        <v>223.99999999674037</v>
      </c>
      <c r="K108" s="153">
        <f t="shared" si="20"/>
        <v>0.15555555555329192</v>
      </c>
      <c r="L108" s="103">
        <f t="shared" si="21"/>
        <v>223.99999999674037</v>
      </c>
      <c r="M108" s="12" t="s">
        <v>2718</v>
      </c>
      <c r="N108" s="9" t="s">
        <v>2943</v>
      </c>
      <c r="O108" s="9" t="s">
        <v>2944</v>
      </c>
      <c r="P108" s="102" t="s">
        <v>2846</v>
      </c>
      <c r="Q108" s="37" t="s">
        <v>678</v>
      </c>
      <c r="R108" s="12"/>
      <c r="S108" s="38" t="str">
        <f t="shared" si="22"/>
        <v>ISLA</v>
      </c>
      <c r="T108" s="37" t="str">
        <f t="shared" si="23"/>
        <v>NON</v>
      </c>
      <c r="U108" s="37" t="s">
        <v>2680</v>
      </c>
    </row>
    <row r="109" spans="1:21" x14ac:dyDescent="0.4">
      <c r="A109" s="37">
        <v>108</v>
      </c>
      <c r="B109" s="37" t="s">
        <v>2945</v>
      </c>
      <c r="C109" s="37" t="s">
        <v>2</v>
      </c>
      <c r="D109" s="37" t="s">
        <v>702</v>
      </c>
      <c r="E109" s="12" t="s">
        <v>2682</v>
      </c>
      <c r="F109" s="102">
        <v>46049.784722222219</v>
      </c>
      <c r="G109" s="102">
        <v>46050.402777777781</v>
      </c>
      <c r="H109" s="102">
        <v>46050.402777777781</v>
      </c>
      <c r="I109" s="153">
        <f t="shared" si="18"/>
        <v>0.61805555556202307</v>
      </c>
      <c r="J109" s="103">
        <f t="shared" si="19"/>
        <v>890.00000000931323</v>
      </c>
      <c r="K109" s="153">
        <f t="shared" si="20"/>
        <v>0.61805555556202307</v>
      </c>
      <c r="L109" s="103">
        <f t="shared" si="21"/>
        <v>890.00000000931323</v>
      </c>
      <c r="M109" s="12" t="s">
        <v>2941</v>
      </c>
      <c r="N109" s="9" t="s">
        <v>20</v>
      </c>
      <c r="O109" s="9" t="s">
        <v>20</v>
      </c>
      <c r="P109" s="102" t="s">
        <v>2684</v>
      </c>
      <c r="Q109" s="37" t="s">
        <v>678</v>
      </c>
      <c r="R109" s="12"/>
      <c r="S109" s="38" t="str">
        <f t="shared" si="22"/>
        <v>OSLA</v>
      </c>
      <c r="T109" s="37" t="str">
        <f t="shared" si="23"/>
        <v>OUI</v>
      </c>
      <c r="U109" s="37" t="s">
        <v>2680</v>
      </c>
    </row>
    <row r="110" spans="1:21" x14ac:dyDescent="0.4">
      <c r="A110" s="37">
        <v>109</v>
      </c>
      <c r="B110" s="37" t="s">
        <v>2946</v>
      </c>
      <c r="C110" s="37" t="s">
        <v>2</v>
      </c>
      <c r="D110" s="37" t="s">
        <v>702</v>
      </c>
      <c r="E110" s="12" t="s">
        <v>2811</v>
      </c>
      <c r="F110" s="102">
        <v>46050.059027777781</v>
      </c>
      <c r="G110" s="102">
        <v>46050.302083333336</v>
      </c>
      <c r="H110" s="102">
        <v>46050.302083333336</v>
      </c>
      <c r="I110" s="153">
        <f t="shared" si="18"/>
        <v>0.24305555555474712</v>
      </c>
      <c r="J110" s="103">
        <f t="shared" si="19"/>
        <v>349.99999999883585</v>
      </c>
      <c r="K110" s="153">
        <f t="shared" si="20"/>
        <v>0.24305555555474712</v>
      </c>
      <c r="L110" s="103">
        <f t="shared" si="21"/>
        <v>349.99999999883585</v>
      </c>
      <c r="M110" s="12" t="s">
        <v>2947</v>
      </c>
      <c r="N110" s="9" t="s">
        <v>20</v>
      </c>
      <c r="O110" s="9" t="s">
        <v>20</v>
      </c>
      <c r="P110" s="102" t="s">
        <v>2813</v>
      </c>
      <c r="Q110" s="37" t="s">
        <v>678</v>
      </c>
      <c r="R110" s="12"/>
      <c r="S110" s="38" t="str">
        <f t="shared" si="22"/>
        <v>OSLA</v>
      </c>
      <c r="T110" s="37" t="str">
        <f t="shared" si="23"/>
        <v>OUI</v>
      </c>
      <c r="U110" s="37" t="s">
        <v>2680</v>
      </c>
    </row>
    <row r="111" spans="1:21" x14ac:dyDescent="0.4">
      <c r="A111" s="37">
        <v>110</v>
      </c>
      <c r="B111" s="37" t="s">
        <v>2948</v>
      </c>
      <c r="C111" s="37" t="s">
        <v>2</v>
      </c>
      <c r="D111" s="37" t="s">
        <v>702</v>
      </c>
      <c r="E111" s="12" t="s">
        <v>2868</v>
      </c>
      <c r="F111" s="102">
        <v>46050.21597222222</v>
      </c>
      <c r="G111" s="102">
        <v>46050.4375</v>
      </c>
      <c r="H111" s="102">
        <v>46050.4375</v>
      </c>
      <c r="I111" s="153">
        <f t="shared" si="18"/>
        <v>0.22152777777955635</v>
      </c>
      <c r="J111" s="103">
        <f t="shared" si="19"/>
        <v>319.00000000256114</v>
      </c>
      <c r="K111" s="153">
        <f t="shared" si="20"/>
        <v>0.22152777777955635</v>
      </c>
      <c r="L111" s="103">
        <f t="shared" si="21"/>
        <v>319.00000000256114</v>
      </c>
      <c r="M111" s="12" t="s">
        <v>2869</v>
      </c>
      <c r="N111" s="9" t="s">
        <v>20</v>
      </c>
      <c r="O111" s="9" t="s">
        <v>20</v>
      </c>
      <c r="P111" s="102" t="s">
        <v>2871</v>
      </c>
      <c r="Q111" s="37" t="s">
        <v>678</v>
      </c>
      <c r="R111" s="12"/>
      <c r="S111" s="38" t="str">
        <f t="shared" si="22"/>
        <v>OSLA</v>
      </c>
      <c r="T111" s="37" t="str">
        <f t="shared" si="23"/>
        <v>OUI</v>
      </c>
      <c r="U111" s="37" t="s">
        <v>2680</v>
      </c>
    </row>
    <row r="112" spans="1:21" x14ac:dyDescent="0.4">
      <c r="A112" s="37">
        <v>111</v>
      </c>
      <c r="B112" s="37" t="s">
        <v>2949</v>
      </c>
      <c r="C112" s="37" t="s">
        <v>2</v>
      </c>
      <c r="D112" s="37" t="s">
        <v>702</v>
      </c>
      <c r="E112" s="12" t="s">
        <v>2950</v>
      </c>
      <c r="F112" s="102">
        <v>46050.4375</v>
      </c>
      <c r="G112" s="102">
        <v>46050.645833333336</v>
      </c>
      <c r="H112" s="102">
        <v>46050.645833333336</v>
      </c>
      <c r="I112" s="153">
        <f t="shared" si="18"/>
        <v>0.20833333333575865</v>
      </c>
      <c r="J112" s="103">
        <f t="shared" si="19"/>
        <v>300.00000000349246</v>
      </c>
      <c r="K112" s="153">
        <f t="shared" si="20"/>
        <v>0.20833333333575865</v>
      </c>
      <c r="L112" s="103">
        <f t="shared" si="21"/>
        <v>300.00000000349246</v>
      </c>
      <c r="M112" s="12" t="s">
        <v>2951</v>
      </c>
      <c r="N112" s="9" t="s">
        <v>2952</v>
      </c>
      <c r="O112" s="9" t="s">
        <v>20</v>
      </c>
      <c r="P112" s="102" t="s">
        <v>701</v>
      </c>
      <c r="Q112" s="37" t="s">
        <v>678</v>
      </c>
      <c r="R112" s="12"/>
      <c r="S112" s="38" t="str">
        <f t="shared" si="22"/>
        <v>OSLA</v>
      </c>
      <c r="T112" s="37" t="str">
        <f t="shared" si="23"/>
        <v>NON</v>
      </c>
      <c r="U112" s="37" t="s">
        <v>2680</v>
      </c>
    </row>
    <row r="113" spans="1:21" x14ac:dyDescent="0.4">
      <c r="A113" s="37">
        <v>112</v>
      </c>
      <c r="B113" s="37" t="s">
        <v>2953</v>
      </c>
      <c r="C113" s="37" t="s">
        <v>2</v>
      </c>
      <c r="D113" s="37" t="s">
        <v>702</v>
      </c>
      <c r="E113" s="12" t="s">
        <v>2800</v>
      </c>
      <c r="F113" s="102">
        <v>46050.479166666664</v>
      </c>
      <c r="G113" s="102">
        <v>46050.524305555555</v>
      </c>
      <c r="H113" s="102">
        <v>46050.524305555555</v>
      </c>
      <c r="I113" s="153">
        <f t="shared" si="18"/>
        <v>4.5138888890505768E-2</v>
      </c>
      <c r="J113" s="103">
        <f t="shared" si="19"/>
        <v>65.000000002328306</v>
      </c>
      <c r="K113" s="153">
        <f t="shared" si="20"/>
        <v>4.5138888890505768E-2</v>
      </c>
      <c r="L113" s="103">
        <f t="shared" si="21"/>
        <v>65.000000002328306</v>
      </c>
      <c r="M113" s="12" t="s">
        <v>2842</v>
      </c>
      <c r="N113" s="9" t="s">
        <v>2954</v>
      </c>
      <c r="O113" s="9" t="s">
        <v>2955</v>
      </c>
      <c r="P113" s="102" t="s">
        <v>2628</v>
      </c>
      <c r="Q113" s="37" t="s">
        <v>678</v>
      </c>
      <c r="R113" s="12"/>
      <c r="S113" s="38" t="str">
        <f t="shared" si="22"/>
        <v>ISLA</v>
      </c>
      <c r="T113" s="37" t="str">
        <f t="shared" si="23"/>
        <v>NON</v>
      </c>
      <c r="U113" s="37" t="s">
        <v>2675</v>
      </c>
    </row>
    <row r="114" spans="1:21" x14ac:dyDescent="0.4">
      <c r="A114" s="37">
        <v>113</v>
      </c>
      <c r="B114" s="37" t="s">
        <v>2956</v>
      </c>
      <c r="C114" s="37" t="s">
        <v>2</v>
      </c>
      <c r="D114" s="37" t="s">
        <v>702</v>
      </c>
      <c r="E114" s="12" t="s">
        <v>2717</v>
      </c>
      <c r="F114" s="102">
        <v>46050.638888888891</v>
      </c>
      <c r="G114" s="102">
        <v>46050.725694444445</v>
      </c>
      <c r="H114" s="102">
        <v>46050.725694444445</v>
      </c>
      <c r="I114" s="153">
        <f t="shared" si="18"/>
        <v>8.6805555554747116E-2</v>
      </c>
      <c r="J114" s="103">
        <f t="shared" si="19"/>
        <v>124.99999999883585</v>
      </c>
      <c r="K114" s="153">
        <f t="shared" si="20"/>
        <v>8.6805555554747116E-2</v>
      </c>
      <c r="L114" s="103">
        <f t="shared" si="21"/>
        <v>124.99999999883585</v>
      </c>
      <c r="M114" s="12" t="s">
        <v>2718</v>
      </c>
      <c r="N114" s="9" t="s">
        <v>20</v>
      </c>
      <c r="O114" s="9" t="s">
        <v>20</v>
      </c>
      <c r="P114" s="102" t="s">
        <v>2846</v>
      </c>
      <c r="Q114" s="37" t="s">
        <v>678</v>
      </c>
      <c r="R114" s="12"/>
      <c r="S114" s="38" t="str">
        <f t="shared" si="22"/>
        <v>ISLA</v>
      </c>
      <c r="T114" s="37" t="str">
        <f t="shared" si="23"/>
        <v>NON</v>
      </c>
      <c r="U114" s="37" t="s">
        <v>2680</v>
      </c>
    </row>
    <row r="115" spans="1:21" x14ac:dyDescent="0.4">
      <c r="A115" s="37">
        <v>114</v>
      </c>
      <c r="B115" s="37" t="s">
        <v>2957</v>
      </c>
      <c r="C115" s="37" t="s">
        <v>2</v>
      </c>
      <c r="D115" s="37" t="s">
        <v>702</v>
      </c>
      <c r="E115" s="12" t="s">
        <v>2958</v>
      </c>
      <c r="F115" s="102">
        <v>46050.684027777781</v>
      </c>
      <c r="G115" s="102">
        <v>46050.711805555555</v>
      </c>
      <c r="H115" s="102">
        <v>46050.711805555555</v>
      </c>
      <c r="I115" s="153">
        <f t="shared" si="18"/>
        <v>2.7777777773735579E-2</v>
      </c>
      <c r="J115" s="103">
        <f t="shared" si="19"/>
        <v>39.999999994179234</v>
      </c>
      <c r="K115" s="153">
        <f t="shared" si="20"/>
        <v>2.7777777773735579E-2</v>
      </c>
      <c r="L115" s="103">
        <f t="shared" si="21"/>
        <v>39.999999994179234</v>
      </c>
      <c r="M115" s="12" t="s">
        <v>2959</v>
      </c>
      <c r="N115" s="9" t="s">
        <v>2960</v>
      </c>
      <c r="O115" s="9" t="s">
        <v>2961</v>
      </c>
      <c r="P115" s="102" t="s">
        <v>707</v>
      </c>
      <c r="Q115" s="37" t="s">
        <v>678</v>
      </c>
      <c r="R115" s="12"/>
      <c r="S115" s="38" t="str">
        <f t="shared" si="22"/>
        <v>ISLA</v>
      </c>
      <c r="T115" s="37" t="str">
        <f t="shared" si="23"/>
        <v>NON</v>
      </c>
      <c r="U115" s="37" t="s">
        <v>2675</v>
      </c>
    </row>
    <row r="116" spans="1:21" ht="20.6" x14ac:dyDescent="0.4">
      <c r="A116" s="37">
        <v>115</v>
      </c>
      <c r="B116" s="37" t="s">
        <v>2962</v>
      </c>
      <c r="C116" s="37" t="s">
        <v>2</v>
      </c>
      <c r="D116" s="37" t="s">
        <v>702</v>
      </c>
      <c r="E116" s="12" t="s">
        <v>2934</v>
      </c>
      <c r="F116" s="102">
        <v>46050.807638888888</v>
      </c>
      <c r="G116" s="102">
        <v>46050.836805555555</v>
      </c>
      <c r="H116" s="102">
        <v>46050.836805555555</v>
      </c>
      <c r="I116" s="153">
        <f t="shared" si="18"/>
        <v>2.9166666667151731E-2</v>
      </c>
      <c r="J116" s="103">
        <f t="shared" si="19"/>
        <v>42.000000000698492</v>
      </c>
      <c r="K116" s="153">
        <f t="shared" si="20"/>
        <v>2.9166666667151731E-2</v>
      </c>
      <c r="L116" s="103">
        <f t="shared" si="21"/>
        <v>42.000000000698492</v>
      </c>
      <c r="M116" s="12" t="s">
        <v>2935</v>
      </c>
      <c r="N116" s="9" t="s">
        <v>2963</v>
      </c>
      <c r="O116" s="9" t="s">
        <v>209</v>
      </c>
      <c r="P116" s="102" t="s">
        <v>2936</v>
      </c>
      <c r="Q116" s="37" t="s">
        <v>678</v>
      </c>
      <c r="R116" s="12"/>
      <c r="S116" s="38" t="str">
        <f t="shared" si="22"/>
        <v>ISLA</v>
      </c>
      <c r="T116" s="37" t="str">
        <f t="shared" si="23"/>
        <v>NON</v>
      </c>
      <c r="U116" s="37" t="s">
        <v>2680</v>
      </c>
    </row>
    <row r="117" spans="1:21" x14ac:dyDescent="0.4">
      <c r="A117" s="37">
        <v>116</v>
      </c>
      <c r="B117" s="37" t="s">
        <v>2964</v>
      </c>
      <c r="C117" s="37" t="s">
        <v>2</v>
      </c>
      <c r="D117" s="37" t="s">
        <v>702</v>
      </c>
      <c r="E117" s="12" t="s">
        <v>2800</v>
      </c>
      <c r="F117" s="102">
        <v>46050.909722222219</v>
      </c>
      <c r="G117" s="102">
        <v>46051.40625</v>
      </c>
      <c r="H117" s="102">
        <v>46051.40625</v>
      </c>
      <c r="I117" s="153">
        <f t="shared" si="18"/>
        <v>0.49652777778101154</v>
      </c>
      <c r="J117" s="103">
        <f t="shared" si="19"/>
        <v>715.00000000465661</v>
      </c>
      <c r="K117" s="153">
        <f t="shared" si="20"/>
        <v>0.49652777778101154</v>
      </c>
      <c r="L117" s="103">
        <f t="shared" si="21"/>
        <v>715.00000000465661</v>
      </c>
      <c r="M117" s="12" t="s">
        <v>2842</v>
      </c>
      <c r="N117" s="9" t="s">
        <v>20</v>
      </c>
      <c r="O117" s="9" t="s">
        <v>20</v>
      </c>
      <c r="P117" s="102" t="s">
        <v>2628</v>
      </c>
      <c r="Q117" s="37" t="s">
        <v>678</v>
      </c>
      <c r="R117" s="12"/>
      <c r="S117" s="38" t="str">
        <f t="shared" si="22"/>
        <v>OSLA</v>
      </c>
      <c r="T117" s="37" t="str">
        <f t="shared" si="23"/>
        <v>NON</v>
      </c>
      <c r="U117" s="37" t="s">
        <v>2675</v>
      </c>
    </row>
    <row r="118" spans="1:21" x14ac:dyDescent="0.4">
      <c r="A118" s="37">
        <v>117</v>
      </c>
      <c r="B118" s="37" t="s">
        <v>2965</v>
      </c>
      <c r="C118" s="37" t="s">
        <v>2</v>
      </c>
      <c r="D118" s="37" t="s">
        <v>702</v>
      </c>
      <c r="E118" s="12" t="s">
        <v>2966</v>
      </c>
      <c r="F118" s="102">
        <v>46050.947916666664</v>
      </c>
      <c r="G118" s="102">
        <v>46051.204861111109</v>
      </c>
      <c r="H118" s="102">
        <v>46051.204861111109</v>
      </c>
      <c r="I118" s="153">
        <f t="shared" si="18"/>
        <v>0.25694444444525288</v>
      </c>
      <c r="J118" s="103">
        <f t="shared" si="19"/>
        <v>370.00000000116415</v>
      </c>
      <c r="K118" s="153">
        <f t="shared" si="20"/>
        <v>0.25694444444525288</v>
      </c>
      <c r="L118" s="103">
        <f t="shared" si="21"/>
        <v>370.00000000116415</v>
      </c>
      <c r="M118" s="12" t="s">
        <v>2967</v>
      </c>
      <c r="N118" s="9" t="s">
        <v>20</v>
      </c>
      <c r="O118" s="9" t="s">
        <v>20</v>
      </c>
      <c r="P118" s="102" t="s">
        <v>2968</v>
      </c>
      <c r="Q118" s="37" t="s">
        <v>678</v>
      </c>
      <c r="R118" s="12"/>
      <c r="S118" s="38" t="str">
        <f t="shared" si="22"/>
        <v>OSLA</v>
      </c>
      <c r="T118" s="37" t="str">
        <f t="shared" si="23"/>
        <v>NON</v>
      </c>
      <c r="U118" s="37" t="s">
        <v>2675</v>
      </c>
    </row>
    <row r="119" spans="1:21" x14ac:dyDescent="0.4">
      <c r="A119" s="37">
        <v>118</v>
      </c>
      <c r="B119" s="37" t="s">
        <v>2969</v>
      </c>
      <c r="C119" s="37" t="s">
        <v>2</v>
      </c>
      <c r="D119" s="37" t="s">
        <v>702</v>
      </c>
      <c r="E119" s="12" t="s">
        <v>2970</v>
      </c>
      <c r="F119" s="102">
        <v>46050.954861111109</v>
      </c>
      <c r="G119" s="102">
        <v>46050.996527777781</v>
      </c>
      <c r="H119" s="102">
        <v>46050.996527777781</v>
      </c>
      <c r="I119" s="153">
        <f t="shared" si="18"/>
        <v>4.1666666671517305E-2</v>
      </c>
      <c r="J119" s="103">
        <f t="shared" si="19"/>
        <v>60.000000006984919</v>
      </c>
      <c r="K119" s="153">
        <f t="shared" si="20"/>
        <v>4.1666666671517305E-2</v>
      </c>
      <c r="L119" s="103">
        <f t="shared" si="21"/>
        <v>60.000000006984919</v>
      </c>
      <c r="M119" s="12" t="s">
        <v>2971</v>
      </c>
      <c r="N119" s="9" t="s">
        <v>20</v>
      </c>
      <c r="O119" s="9" t="s">
        <v>20</v>
      </c>
      <c r="P119" s="102" t="s">
        <v>2628</v>
      </c>
      <c r="Q119" s="37" t="s">
        <v>678</v>
      </c>
      <c r="R119" s="12"/>
      <c r="S119" s="38" t="str">
        <f t="shared" si="22"/>
        <v>ISLA</v>
      </c>
      <c r="T119" s="37" t="str">
        <f t="shared" si="23"/>
        <v>NON</v>
      </c>
      <c r="U119" s="37" t="s">
        <v>2675</v>
      </c>
    </row>
    <row r="120" spans="1:21" x14ac:dyDescent="0.4">
      <c r="A120" s="37">
        <v>119</v>
      </c>
      <c r="B120" s="37" t="s">
        <v>2972</v>
      </c>
      <c r="C120" s="37" t="s">
        <v>2</v>
      </c>
      <c r="D120" s="37" t="s">
        <v>702</v>
      </c>
      <c r="E120" s="12" t="s">
        <v>2885</v>
      </c>
      <c r="F120" s="102">
        <v>46051</v>
      </c>
      <c r="G120" s="102">
        <v>46051.583333333336</v>
      </c>
      <c r="H120" s="102">
        <v>46051.583333333336</v>
      </c>
      <c r="I120" s="153">
        <f t="shared" si="18"/>
        <v>0.58333333333575865</v>
      </c>
      <c r="J120" s="103">
        <f t="shared" si="19"/>
        <v>840.00000000349246</v>
      </c>
      <c r="K120" s="153">
        <f t="shared" si="20"/>
        <v>0.58333333333575865</v>
      </c>
      <c r="L120" s="103">
        <f t="shared" si="21"/>
        <v>840.00000000349246</v>
      </c>
      <c r="M120" s="12" t="s">
        <v>2886</v>
      </c>
      <c r="N120" s="9" t="s">
        <v>20</v>
      </c>
      <c r="O120" s="9" t="s">
        <v>20</v>
      </c>
      <c r="P120" s="102" t="s">
        <v>2684</v>
      </c>
      <c r="Q120" s="37" t="s">
        <v>678</v>
      </c>
      <c r="R120" s="12"/>
      <c r="S120" s="38" t="str">
        <f t="shared" si="22"/>
        <v>OSLA</v>
      </c>
      <c r="T120" s="37" t="str">
        <f t="shared" si="23"/>
        <v>OUI</v>
      </c>
      <c r="U120" s="37" t="s">
        <v>2680</v>
      </c>
    </row>
    <row r="121" spans="1:21" x14ac:dyDescent="0.4">
      <c r="A121" s="37">
        <v>120</v>
      </c>
      <c r="B121" s="37" t="s">
        <v>2973</v>
      </c>
      <c r="C121" s="37" t="s">
        <v>2</v>
      </c>
      <c r="D121" s="37" t="s">
        <v>702</v>
      </c>
      <c r="E121" s="12" t="s">
        <v>2974</v>
      </c>
      <c r="F121" s="102">
        <v>46051.576388888891</v>
      </c>
      <c r="G121" s="102">
        <v>46051.763888888891</v>
      </c>
      <c r="H121" s="102">
        <v>46051.763888888891</v>
      </c>
      <c r="I121" s="153">
        <f t="shared" si="18"/>
        <v>0.1875</v>
      </c>
      <c r="J121" s="103">
        <f t="shared" si="19"/>
        <v>270</v>
      </c>
      <c r="K121" s="153">
        <f t="shared" si="20"/>
        <v>0.1875</v>
      </c>
      <c r="L121" s="103">
        <f t="shared" si="21"/>
        <v>270</v>
      </c>
      <c r="M121" s="12" t="s">
        <v>2975</v>
      </c>
      <c r="N121" s="9" t="s">
        <v>20</v>
      </c>
      <c r="O121" s="9" t="s">
        <v>2976</v>
      </c>
      <c r="P121" s="102" t="s">
        <v>2977</v>
      </c>
      <c r="Q121" s="37" t="s">
        <v>678</v>
      </c>
      <c r="R121" s="12"/>
      <c r="S121" s="38" t="str">
        <f t="shared" si="22"/>
        <v>OSLA</v>
      </c>
      <c r="T121" s="37" t="str">
        <f t="shared" si="23"/>
        <v>OUI</v>
      </c>
      <c r="U121" s="37" t="s">
        <v>2680</v>
      </c>
    </row>
    <row r="122" spans="1:21" x14ac:dyDescent="0.4">
      <c r="A122" s="37">
        <v>121</v>
      </c>
      <c r="B122" s="37" t="s">
        <v>2978</v>
      </c>
      <c r="C122" s="37" t="s">
        <v>2</v>
      </c>
      <c r="D122" s="37" t="s">
        <v>702</v>
      </c>
      <c r="E122" s="12" t="s">
        <v>2800</v>
      </c>
      <c r="F122" s="102">
        <v>46051.954861111109</v>
      </c>
      <c r="G122" s="102">
        <v>46052.21875</v>
      </c>
      <c r="H122" s="102">
        <v>46052.21875</v>
      </c>
      <c r="I122" s="153">
        <f t="shared" si="18"/>
        <v>0.26388888889050577</v>
      </c>
      <c r="J122" s="103">
        <f t="shared" si="19"/>
        <v>380.00000000232831</v>
      </c>
      <c r="K122" s="153">
        <f t="shared" si="20"/>
        <v>0.26388888889050577</v>
      </c>
      <c r="L122" s="103">
        <f t="shared" si="21"/>
        <v>380.00000000232831</v>
      </c>
      <c r="M122" s="12" t="s">
        <v>2842</v>
      </c>
      <c r="N122" s="9" t="s">
        <v>20</v>
      </c>
      <c r="O122" s="9" t="s">
        <v>20</v>
      </c>
      <c r="P122" s="102" t="s">
        <v>2628</v>
      </c>
      <c r="Q122" s="37" t="s">
        <v>678</v>
      </c>
      <c r="R122" s="12"/>
      <c r="S122" s="38" t="str">
        <f t="shared" si="22"/>
        <v>OSLA</v>
      </c>
      <c r="T122" s="37" t="str">
        <f t="shared" si="23"/>
        <v>NON</v>
      </c>
      <c r="U122" s="37" t="s">
        <v>2675</v>
      </c>
    </row>
    <row r="123" spans="1:21" x14ac:dyDescent="0.4">
      <c r="A123" s="37">
        <v>122</v>
      </c>
      <c r="B123" s="37" t="s">
        <v>2979</v>
      </c>
      <c r="C123" s="37" t="s">
        <v>2</v>
      </c>
      <c r="D123" s="37" t="s">
        <v>702</v>
      </c>
      <c r="E123" s="12" t="s">
        <v>2808</v>
      </c>
      <c r="F123" s="102">
        <v>46052.28402777778</v>
      </c>
      <c r="G123" s="102">
        <v>46052.604166666664</v>
      </c>
      <c r="H123" s="102">
        <v>46052.604166666664</v>
      </c>
      <c r="I123" s="153">
        <f t="shared" si="18"/>
        <v>0.320138888884685</v>
      </c>
      <c r="J123" s="103">
        <f t="shared" si="19"/>
        <v>460.9999999939464</v>
      </c>
      <c r="K123" s="153">
        <f t="shared" si="20"/>
        <v>0.320138888884685</v>
      </c>
      <c r="L123" s="103">
        <f t="shared" si="21"/>
        <v>460.9999999939464</v>
      </c>
      <c r="M123" s="12" t="s">
        <v>2809</v>
      </c>
      <c r="N123" s="9" t="s">
        <v>20</v>
      </c>
      <c r="O123" s="9" t="s">
        <v>20</v>
      </c>
      <c r="P123" s="102" t="s">
        <v>707</v>
      </c>
      <c r="Q123" s="37" t="s">
        <v>678</v>
      </c>
      <c r="R123" s="12"/>
      <c r="S123" s="38" t="str">
        <f t="shared" si="22"/>
        <v>OSLA</v>
      </c>
      <c r="T123" s="37" t="str">
        <f t="shared" si="23"/>
        <v>NON</v>
      </c>
      <c r="U123" s="37" t="s">
        <v>2675</v>
      </c>
    </row>
    <row r="124" spans="1:21" x14ac:dyDescent="0.4">
      <c r="A124" s="37">
        <v>123</v>
      </c>
      <c r="B124" s="37" t="s">
        <v>2980</v>
      </c>
      <c r="C124" s="37" t="s">
        <v>2</v>
      </c>
      <c r="D124" s="37" t="s">
        <v>702</v>
      </c>
      <c r="E124" s="12" t="s">
        <v>2800</v>
      </c>
      <c r="F124" s="102">
        <v>46052.439583333333</v>
      </c>
      <c r="G124" s="102">
        <v>46052.508333333331</v>
      </c>
      <c r="H124" s="102">
        <v>46052.508333333331</v>
      </c>
      <c r="I124" s="153">
        <f t="shared" si="18"/>
        <v>6.8749999998544808E-2</v>
      </c>
      <c r="J124" s="103">
        <f t="shared" si="19"/>
        <v>98.999999997904524</v>
      </c>
      <c r="K124" s="153">
        <f t="shared" si="20"/>
        <v>6.8749999998544808E-2</v>
      </c>
      <c r="L124" s="103">
        <f t="shared" si="21"/>
        <v>98.999999997904524</v>
      </c>
      <c r="M124" s="12" t="s">
        <v>2981</v>
      </c>
      <c r="N124" s="9" t="s">
        <v>20</v>
      </c>
      <c r="O124" s="9" t="s">
        <v>20</v>
      </c>
      <c r="P124" s="102" t="s">
        <v>2628</v>
      </c>
      <c r="Q124" s="37" t="s">
        <v>678</v>
      </c>
      <c r="R124" s="12"/>
      <c r="S124" s="38" t="str">
        <f t="shared" si="22"/>
        <v>ISLA</v>
      </c>
      <c r="T124" s="37" t="str">
        <f t="shared" si="23"/>
        <v>NON</v>
      </c>
      <c r="U124" s="37" t="s">
        <v>2675</v>
      </c>
    </row>
    <row r="125" spans="1:21" x14ac:dyDescent="0.4">
      <c r="A125" s="37">
        <v>124</v>
      </c>
      <c r="B125" s="37" t="s">
        <v>2982</v>
      </c>
      <c r="C125" s="37" t="s">
        <v>2</v>
      </c>
      <c r="D125" s="37" t="s">
        <v>702</v>
      </c>
      <c r="E125" s="12" t="s">
        <v>2983</v>
      </c>
      <c r="F125" s="102">
        <v>46052.442361111112</v>
      </c>
      <c r="G125" s="102">
        <v>46052.486805555556</v>
      </c>
      <c r="H125" s="102">
        <v>46052.486805555556</v>
      </c>
      <c r="I125" s="153">
        <f t="shared" si="18"/>
        <v>4.4444444443797693E-2</v>
      </c>
      <c r="J125" s="103">
        <f t="shared" si="19"/>
        <v>63.999999999068677</v>
      </c>
      <c r="K125" s="153">
        <f t="shared" si="20"/>
        <v>4.4444444443797693E-2</v>
      </c>
      <c r="L125" s="103">
        <f t="shared" si="21"/>
        <v>63.999999999068677</v>
      </c>
      <c r="M125" s="12" t="s">
        <v>2738</v>
      </c>
      <c r="N125" s="9" t="s">
        <v>20</v>
      </c>
      <c r="O125" s="9" t="s">
        <v>20</v>
      </c>
      <c r="P125" s="102" t="s">
        <v>2628</v>
      </c>
      <c r="Q125" s="37" t="s">
        <v>678</v>
      </c>
      <c r="R125" s="12"/>
      <c r="S125" s="38" t="str">
        <f t="shared" si="22"/>
        <v>ISLA</v>
      </c>
      <c r="T125" s="37" t="str">
        <f t="shared" si="23"/>
        <v>NON</v>
      </c>
      <c r="U125" s="37" t="s">
        <v>2675</v>
      </c>
    </row>
    <row r="126" spans="1:21" x14ac:dyDescent="0.4">
      <c r="A126" s="37">
        <v>125</v>
      </c>
      <c r="B126" s="37" t="s">
        <v>2984</v>
      </c>
      <c r="C126" s="37" t="s">
        <v>2</v>
      </c>
      <c r="D126" s="37" t="s">
        <v>702</v>
      </c>
      <c r="E126" s="12" t="s">
        <v>2827</v>
      </c>
      <c r="F126" s="102">
        <v>46052.525694444441</v>
      </c>
      <c r="G126" s="102">
        <v>46052.534722222219</v>
      </c>
      <c r="H126" s="102">
        <v>46052.534722222219</v>
      </c>
      <c r="I126" s="153">
        <f t="shared" si="18"/>
        <v>9.0277777781011537E-3</v>
      </c>
      <c r="J126" s="103">
        <f t="shared" si="19"/>
        <v>13.000000000465661</v>
      </c>
      <c r="K126" s="153">
        <f t="shared" si="20"/>
        <v>9.0277777781011537E-3</v>
      </c>
      <c r="L126" s="103">
        <f t="shared" si="21"/>
        <v>13.000000000465661</v>
      </c>
      <c r="M126" s="12" t="s">
        <v>2828</v>
      </c>
      <c r="N126" s="9" t="s">
        <v>2985</v>
      </c>
      <c r="O126" s="9" t="s">
        <v>2986</v>
      </c>
      <c r="P126" s="102" t="s">
        <v>2829</v>
      </c>
      <c r="Q126" s="37" t="s">
        <v>678</v>
      </c>
      <c r="R126" s="12"/>
      <c r="S126" s="38" t="str">
        <f t="shared" si="22"/>
        <v>ISLA</v>
      </c>
      <c r="T126" s="37" t="str">
        <f t="shared" si="23"/>
        <v>NON</v>
      </c>
      <c r="U126" s="37" t="s">
        <v>2680</v>
      </c>
    </row>
    <row r="127" spans="1:21" x14ac:dyDescent="0.4">
      <c r="A127" s="37">
        <v>126</v>
      </c>
      <c r="B127" s="37" t="s">
        <v>2987</v>
      </c>
      <c r="C127" s="37" t="s">
        <v>2</v>
      </c>
      <c r="D127" s="37" t="s">
        <v>702</v>
      </c>
      <c r="E127" s="12" t="s">
        <v>2885</v>
      </c>
      <c r="F127" s="102">
        <v>46052.555555555555</v>
      </c>
      <c r="G127" s="102">
        <v>46052.663194444445</v>
      </c>
      <c r="H127" s="102">
        <v>46052.663194444445</v>
      </c>
      <c r="I127" s="153">
        <f t="shared" si="18"/>
        <v>0.10763888889050577</v>
      </c>
      <c r="J127" s="103">
        <f t="shared" si="19"/>
        <v>155.00000000232831</v>
      </c>
      <c r="K127" s="153">
        <f t="shared" si="20"/>
        <v>0.10763888889050577</v>
      </c>
      <c r="L127" s="103">
        <f t="shared" si="21"/>
        <v>155.00000000232831</v>
      </c>
      <c r="M127" s="12" t="s">
        <v>2988</v>
      </c>
      <c r="N127" s="9" t="s">
        <v>20</v>
      </c>
      <c r="O127" s="9" t="s">
        <v>20</v>
      </c>
      <c r="P127" s="102" t="s">
        <v>2684</v>
      </c>
      <c r="Q127" s="37" t="s">
        <v>678</v>
      </c>
      <c r="R127" s="12"/>
      <c r="S127" s="38" t="str">
        <f t="shared" si="22"/>
        <v>ISLA</v>
      </c>
      <c r="T127" s="37" t="str">
        <f t="shared" si="23"/>
        <v>NON</v>
      </c>
      <c r="U127" s="37" t="s">
        <v>2680</v>
      </c>
    </row>
    <row r="128" spans="1:21" x14ac:dyDescent="0.4">
      <c r="A128" s="37">
        <v>127</v>
      </c>
      <c r="B128" s="37" t="s">
        <v>2989</v>
      </c>
      <c r="C128" s="37" t="s">
        <v>2</v>
      </c>
      <c r="D128" s="37" t="s">
        <v>702</v>
      </c>
      <c r="E128" s="12" t="s">
        <v>2817</v>
      </c>
      <c r="F128" s="102">
        <v>46052.868055555555</v>
      </c>
      <c r="G128" s="102">
        <v>46052.927083333336</v>
      </c>
      <c r="H128" s="102">
        <v>46052.927083333336</v>
      </c>
      <c r="I128" s="153">
        <f t="shared" si="18"/>
        <v>5.9027777781011537E-2</v>
      </c>
      <c r="J128" s="103">
        <f t="shared" si="19"/>
        <v>85.000000004656613</v>
      </c>
      <c r="K128" s="153">
        <f t="shared" si="20"/>
        <v>5.9027777781011537E-2</v>
      </c>
      <c r="L128" s="103">
        <f t="shared" si="21"/>
        <v>85.000000004656613</v>
      </c>
      <c r="M128" s="12" t="s">
        <v>2990</v>
      </c>
      <c r="N128" s="9" t="s">
        <v>20</v>
      </c>
      <c r="O128" s="9" t="s">
        <v>20</v>
      </c>
      <c r="P128" s="102" t="s">
        <v>2819</v>
      </c>
      <c r="Q128" s="37" t="s">
        <v>678</v>
      </c>
      <c r="R128" s="12"/>
      <c r="S128" s="38" t="str">
        <f t="shared" si="22"/>
        <v>ISLA</v>
      </c>
      <c r="T128" s="37" t="str">
        <f t="shared" si="23"/>
        <v>NON</v>
      </c>
      <c r="U128" s="37" t="s">
        <v>2680</v>
      </c>
    </row>
    <row r="129" spans="1:21" ht="20.6" x14ac:dyDescent="0.4">
      <c r="A129" s="37">
        <v>128</v>
      </c>
      <c r="B129" s="37" t="s">
        <v>2991</v>
      </c>
      <c r="C129" s="37" t="s">
        <v>2</v>
      </c>
      <c r="D129" s="37" t="s">
        <v>702</v>
      </c>
      <c r="E129" s="149" t="s">
        <v>2717</v>
      </c>
      <c r="F129" s="102">
        <v>46052.958333333336</v>
      </c>
      <c r="G129" s="102">
        <v>46058.875</v>
      </c>
      <c r="H129" s="102">
        <v>46058.875</v>
      </c>
      <c r="I129" s="153">
        <f t="shared" si="18"/>
        <v>5.9166666666642413</v>
      </c>
      <c r="J129" s="103">
        <f t="shared" si="19"/>
        <v>8519.9999999965075</v>
      </c>
      <c r="K129" s="153">
        <f t="shared" si="20"/>
        <v>5.9166666666642413</v>
      </c>
      <c r="L129" s="103">
        <f t="shared" si="21"/>
        <v>8519.9999999965075</v>
      </c>
      <c r="M129" s="12" t="s">
        <v>2718</v>
      </c>
      <c r="N129" s="9" t="s">
        <v>2992</v>
      </c>
      <c r="O129" s="9" t="s">
        <v>2993</v>
      </c>
      <c r="P129" s="102" t="s">
        <v>2846</v>
      </c>
      <c r="Q129" s="37" t="s">
        <v>678</v>
      </c>
      <c r="R129" s="12"/>
      <c r="S129" s="38" t="str">
        <f t="shared" si="22"/>
        <v>OSLA</v>
      </c>
      <c r="T129" s="37" t="str">
        <f t="shared" si="23"/>
        <v>OUI</v>
      </c>
      <c r="U129" s="37" t="s">
        <v>2735</v>
      </c>
    </row>
    <row r="130" spans="1:21" x14ac:dyDescent="0.4">
      <c r="A130" s="37">
        <v>129</v>
      </c>
      <c r="B130" s="37" t="s">
        <v>2994</v>
      </c>
      <c r="C130" s="37" t="s">
        <v>2</v>
      </c>
      <c r="D130" s="37" t="s">
        <v>702</v>
      </c>
      <c r="E130" s="12" t="s">
        <v>2995</v>
      </c>
      <c r="F130" s="102">
        <v>46053.236111111109</v>
      </c>
      <c r="G130" s="102">
        <v>46053.533333333333</v>
      </c>
      <c r="H130" s="102">
        <v>46053.533333333333</v>
      </c>
      <c r="I130" s="153">
        <f t="shared" si="18"/>
        <v>0.29722222222335404</v>
      </c>
      <c r="J130" s="103">
        <f t="shared" ref="J130:J132" si="24">I130*1440</f>
        <v>428.00000000162981</v>
      </c>
      <c r="K130" s="153">
        <f t="shared" si="20"/>
        <v>0.29722222222335404</v>
      </c>
      <c r="L130" s="103">
        <f t="shared" ref="L130:L132" si="25">K130*1440</f>
        <v>428.00000000162981</v>
      </c>
      <c r="M130" s="12" t="s">
        <v>2996</v>
      </c>
      <c r="N130" s="9" t="s">
        <v>20</v>
      </c>
      <c r="O130" s="9" t="s">
        <v>20</v>
      </c>
      <c r="P130" s="102" t="s">
        <v>2997</v>
      </c>
      <c r="Q130" s="37" t="s">
        <v>678</v>
      </c>
      <c r="R130" s="12"/>
      <c r="S130" s="38" t="str">
        <f t="shared" si="22"/>
        <v>OSLA</v>
      </c>
      <c r="T130" s="37" t="str">
        <f t="shared" ref="T130:T132" si="26">IF((AND(MID(P130,1,2)="IT",S130="OSLA")),"OUI","NON")</f>
        <v>OUI</v>
      </c>
      <c r="U130" s="37" t="s">
        <v>2680</v>
      </c>
    </row>
    <row r="131" spans="1:21" x14ac:dyDescent="0.4">
      <c r="A131" s="37">
        <v>130</v>
      </c>
      <c r="B131" s="37" t="s">
        <v>2998</v>
      </c>
      <c r="C131" s="37" t="s">
        <v>2</v>
      </c>
      <c r="D131" s="37" t="s">
        <v>702</v>
      </c>
      <c r="E131" s="12" t="s">
        <v>2851</v>
      </c>
      <c r="F131" s="102">
        <v>46053.388888888891</v>
      </c>
      <c r="G131" s="102">
        <v>46053.463194444441</v>
      </c>
      <c r="H131" s="102">
        <v>46053.463194444441</v>
      </c>
      <c r="I131" s="153">
        <f t="shared" si="18"/>
        <v>7.4305555550381541E-2</v>
      </c>
      <c r="J131" s="103">
        <f t="shared" si="24"/>
        <v>106.99999999254942</v>
      </c>
      <c r="K131" s="153">
        <f t="shared" si="20"/>
        <v>7.4305555550381541E-2</v>
      </c>
      <c r="L131" s="103">
        <f t="shared" si="25"/>
        <v>106.99999999254942</v>
      </c>
      <c r="M131" s="12" t="s">
        <v>2786</v>
      </c>
      <c r="N131" s="9" t="s">
        <v>2999</v>
      </c>
      <c r="O131" s="9" t="s">
        <v>1195</v>
      </c>
      <c r="P131" s="102" t="s">
        <v>2628</v>
      </c>
      <c r="Q131" s="37" t="s">
        <v>678</v>
      </c>
      <c r="R131" s="12"/>
      <c r="S131" s="38" t="str">
        <f t="shared" si="22"/>
        <v>ISLA</v>
      </c>
      <c r="T131" s="37" t="str">
        <f t="shared" si="26"/>
        <v>NON</v>
      </c>
      <c r="U131" s="37" t="s">
        <v>2675</v>
      </c>
    </row>
    <row r="132" spans="1:21" x14ac:dyDescent="0.4">
      <c r="A132" s="37">
        <v>131</v>
      </c>
      <c r="B132" s="37" t="s">
        <v>3000</v>
      </c>
      <c r="C132" s="37" t="s">
        <v>2</v>
      </c>
      <c r="D132" s="37" t="s">
        <v>702</v>
      </c>
      <c r="E132" s="12" t="s">
        <v>2831</v>
      </c>
      <c r="F132" s="102">
        <v>46053.640277777777</v>
      </c>
      <c r="G132" s="102">
        <v>46053.691666666666</v>
      </c>
      <c r="H132" s="102">
        <v>46053.691666666666</v>
      </c>
      <c r="I132" s="153">
        <f t="shared" si="18"/>
        <v>5.1388888889050577E-2</v>
      </c>
      <c r="J132" s="103">
        <f t="shared" si="24"/>
        <v>74.000000000232831</v>
      </c>
      <c r="K132" s="153">
        <f t="shared" si="20"/>
        <v>5.1388888889050577E-2</v>
      </c>
      <c r="L132" s="103">
        <f t="shared" si="25"/>
        <v>74.000000000232831</v>
      </c>
      <c r="M132" s="12" t="s">
        <v>3001</v>
      </c>
      <c r="N132" s="9" t="s">
        <v>20</v>
      </c>
      <c r="O132" s="9" t="s">
        <v>20</v>
      </c>
      <c r="P132" s="102" t="s">
        <v>2834</v>
      </c>
      <c r="Q132" s="37" t="s">
        <v>678</v>
      </c>
      <c r="R132" s="12"/>
      <c r="S132" s="38" t="str">
        <f t="shared" si="22"/>
        <v>ISLA</v>
      </c>
      <c r="T132" s="37" t="str">
        <f t="shared" si="26"/>
        <v>NON</v>
      </c>
      <c r="U132" s="37" t="s">
        <v>2680</v>
      </c>
    </row>
  </sheetData>
  <autoFilter ref="A1:U132" xr:uid="{00000000-0001-0000-0100-000000000000}"/>
  <conditionalFormatting sqref="F2:L132 P2:P132">
    <cfRule type="cellIs" dxfId="109" priority="1" operator="equal">
      <formula>"NOK"</formula>
    </cfRule>
  </conditionalFormatting>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1">
    <tabColor rgb="FFFFFF00"/>
  </sheetPr>
  <dimension ref="A1:AP24"/>
  <sheetViews>
    <sheetView workbookViewId="0">
      <selection activeCell="C4" sqref="C4"/>
    </sheetView>
  </sheetViews>
  <sheetFormatPr baseColWidth="10" defaultRowHeight="14.6" x14ac:dyDescent="0.4"/>
  <cols>
    <col min="1" max="1" width="25.53515625" bestFit="1" customWidth="1"/>
    <col min="2" max="2" width="3.84375" hidden="1" customWidth="1"/>
    <col min="3" max="3" width="4.07421875" bestFit="1" customWidth="1"/>
    <col min="4" max="4" width="4.3046875" customWidth="1"/>
    <col min="5" max="6" width="4.07421875" bestFit="1" customWidth="1"/>
    <col min="7" max="7" width="4.84375" bestFit="1" customWidth="1"/>
    <col min="8" max="8" width="4.07421875" bestFit="1" customWidth="1"/>
    <col min="9" max="9" width="4.3046875" bestFit="1" customWidth="1"/>
    <col min="10" max="14" width="4.07421875" bestFit="1" customWidth="1"/>
    <col min="15" max="15" width="4.69140625" customWidth="1"/>
    <col min="16" max="16" width="7.07421875" bestFit="1" customWidth="1"/>
    <col min="17" max="17" width="3.4609375" bestFit="1" customWidth="1"/>
    <col min="18" max="18" width="3.53515625" bestFit="1" customWidth="1"/>
    <col min="19" max="19" width="4.4609375" bestFit="1" customWidth="1"/>
    <col min="20" max="20" width="4.3046875" customWidth="1"/>
    <col min="21" max="21" width="3.3046875" bestFit="1" customWidth="1"/>
    <col min="22" max="22" width="3.69140625" bestFit="1" customWidth="1"/>
    <col min="23" max="23" width="4.69140625" bestFit="1" customWidth="1"/>
    <col min="24" max="25" width="4.69140625" customWidth="1"/>
    <col min="26" max="26" width="3.84375" customWidth="1"/>
    <col min="27" max="27" width="4.07421875" customWidth="1"/>
    <col min="28" max="28" width="4.69140625" customWidth="1"/>
    <col min="29" max="29" width="4.84375" customWidth="1"/>
    <col min="30" max="30" width="10.69140625" bestFit="1" customWidth="1"/>
    <col min="31" max="31" width="3.4609375" bestFit="1" customWidth="1"/>
    <col min="32" max="32" width="3.53515625" bestFit="1" customWidth="1"/>
    <col min="33" max="33" width="4.4609375" bestFit="1" customWidth="1"/>
    <col min="34" max="34" width="4.07421875" bestFit="1" customWidth="1"/>
    <col min="35" max="36" width="4.4609375" bestFit="1" customWidth="1"/>
    <col min="37" max="37" width="4.69140625" bestFit="1" customWidth="1"/>
    <col min="38" max="38" width="4.3046875" bestFit="1" customWidth="1"/>
    <col min="39" max="39" width="4.07421875" bestFit="1" customWidth="1"/>
    <col min="40" max="40" width="3.4609375" bestFit="1" customWidth="1"/>
    <col min="41" max="42" width="3.69140625" bestFit="1" customWidth="1"/>
  </cols>
  <sheetData>
    <row r="1" spans="1:42" x14ac:dyDescent="0.4">
      <c r="A1" s="49" t="s">
        <v>740</v>
      </c>
      <c r="B1" s="50"/>
      <c r="C1" s="50"/>
      <c r="P1" s="51" t="s">
        <v>680</v>
      </c>
      <c r="AD1" s="52" t="s">
        <v>699</v>
      </c>
      <c r="AE1" s="53"/>
      <c r="AF1" s="53"/>
    </row>
    <row r="3" spans="1:42" x14ac:dyDescent="0.4">
      <c r="B3" s="14" t="s">
        <v>741</v>
      </c>
      <c r="C3" s="54" t="s">
        <v>741</v>
      </c>
      <c r="D3" s="54" t="s">
        <v>742</v>
      </c>
      <c r="E3" s="54" t="s">
        <v>743</v>
      </c>
      <c r="F3" s="54" t="s">
        <v>744</v>
      </c>
      <c r="G3" s="54" t="s">
        <v>745</v>
      </c>
      <c r="H3" s="54" t="s">
        <v>746</v>
      </c>
      <c r="I3" s="54" t="s">
        <v>747</v>
      </c>
      <c r="J3" s="55" t="s">
        <v>748</v>
      </c>
      <c r="K3" s="55" t="s">
        <v>749</v>
      </c>
      <c r="L3" s="55" t="s">
        <v>750</v>
      </c>
      <c r="M3" s="55" t="s">
        <v>751</v>
      </c>
      <c r="N3" s="54" t="s">
        <v>752</v>
      </c>
      <c r="Q3" s="54" t="s">
        <v>741</v>
      </c>
      <c r="R3" s="54" t="s">
        <v>742</v>
      </c>
      <c r="S3" s="54" t="s">
        <v>743</v>
      </c>
      <c r="T3" s="54" t="s">
        <v>744</v>
      </c>
      <c r="U3" s="54" t="s">
        <v>745</v>
      </c>
      <c r="V3" s="54" t="s">
        <v>746</v>
      </c>
      <c r="W3" s="54" t="s">
        <v>747</v>
      </c>
      <c r="X3" s="55" t="s">
        <v>748</v>
      </c>
      <c r="Y3" s="55" t="s">
        <v>749</v>
      </c>
      <c r="Z3" s="55" t="s">
        <v>750</v>
      </c>
      <c r="AA3" s="55" t="s">
        <v>751</v>
      </c>
      <c r="AB3" s="54" t="s">
        <v>752</v>
      </c>
      <c r="AE3" s="54" t="s">
        <v>741</v>
      </c>
      <c r="AF3" s="54" t="s">
        <v>742</v>
      </c>
      <c r="AG3" s="54" t="s">
        <v>743</v>
      </c>
      <c r="AH3" s="54" t="s">
        <v>744</v>
      </c>
      <c r="AI3" s="54" t="s">
        <v>745</v>
      </c>
      <c r="AJ3" s="54" t="s">
        <v>746</v>
      </c>
      <c r="AK3" s="54" t="s">
        <v>747</v>
      </c>
      <c r="AL3" s="55" t="s">
        <v>748</v>
      </c>
      <c r="AM3" s="55" t="s">
        <v>749</v>
      </c>
      <c r="AN3" s="55" t="s">
        <v>750</v>
      </c>
      <c r="AO3" s="55" t="s">
        <v>751</v>
      </c>
      <c r="AP3" s="54" t="s">
        <v>752</v>
      </c>
    </row>
    <row r="4" spans="1:42" x14ac:dyDescent="0.4">
      <c r="A4" s="56" t="s">
        <v>753</v>
      </c>
      <c r="B4" s="14"/>
      <c r="C4" s="38">
        <f>COUNTA(Janvier_2018!C2:C37)</f>
        <v>31</v>
      </c>
      <c r="D4" s="38">
        <f>COUNTA(Février_2018!C2:C29)</f>
        <v>28</v>
      </c>
      <c r="E4" s="38">
        <f>COUNTA(Mars_2018!C2:C41)</f>
        <v>40</v>
      </c>
      <c r="F4" s="38">
        <f>COUNTA(Avril_2018!C2:C44)</f>
        <v>43</v>
      </c>
      <c r="G4" s="38">
        <f>COUNTA(Mai_2018!C2:C30)</f>
        <v>29</v>
      </c>
      <c r="H4" s="38">
        <f>COUNTA(Juin_2018!C2:C45)</f>
        <v>44</v>
      </c>
      <c r="I4" s="38">
        <f>COUNTA(Juillet_2018!C2:C17)</f>
        <v>16</v>
      </c>
      <c r="J4" s="38">
        <f>COUNTA(Aout_2018!C2:C45)</f>
        <v>22</v>
      </c>
      <c r="K4" s="38">
        <f>COUNTA(Septembre_2018!C2:C20)</f>
        <v>15</v>
      </c>
      <c r="L4" s="38">
        <f>COUNTA(Octobre_2018!C2:C41)</f>
        <v>40</v>
      </c>
      <c r="M4" s="38">
        <f>COUNTA(Novembre_2018!C2:C48)</f>
        <v>47</v>
      </c>
      <c r="N4" s="38">
        <f>COUNTA(Decembre_2018!C2:C54)</f>
        <v>53</v>
      </c>
      <c r="P4" s="57" t="s">
        <v>2</v>
      </c>
      <c r="Q4" s="38">
        <f>COUNTIF(Janvier_2018!C:C,"=P1")</f>
        <v>26</v>
      </c>
      <c r="R4" s="38">
        <f>COUNTIF(Février_2018!C:C,"=P1")</f>
        <v>20</v>
      </c>
      <c r="S4" s="38">
        <f>COUNTIF(Mars_2018!C:C,"=P1")</f>
        <v>27</v>
      </c>
      <c r="T4" s="38">
        <f>COUNTIF(Avril_2018!C:C,"=P1")</f>
        <v>37</v>
      </c>
      <c r="U4" s="38">
        <f>COUNTIF(Mai_2018!C:C,"=P1")</f>
        <v>24</v>
      </c>
      <c r="V4" s="38">
        <f>COUNTIF(Juin_2018!C:C,"=P1")</f>
        <v>33</v>
      </c>
      <c r="W4" s="38">
        <f>COUNTIF(Juillet_2018!C:C,"=P1")</f>
        <v>15</v>
      </c>
      <c r="X4" s="38">
        <f>COUNTIF(Aout_2018!C:C,"=P1")</f>
        <v>19</v>
      </c>
      <c r="Y4" s="38">
        <f>COUNTIF(Septembre_2018!C:C,"=P1")</f>
        <v>12</v>
      </c>
      <c r="Z4" s="38">
        <f>COUNTIF(Octobre_2018!C:C,"=P1")</f>
        <v>36</v>
      </c>
      <c r="AA4" s="38">
        <f>COUNTIF(Novembre_2018!C:C,"=P1")</f>
        <v>43</v>
      </c>
      <c r="AB4" s="38">
        <f>COUNTIF(Decembre_2018!C:C,"=P1")</f>
        <v>48</v>
      </c>
      <c r="AD4" s="58" t="s">
        <v>754</v>
      </c>
      <c r="AE4" s="38">
        <f>COUNTIF(Janvier_2018!$L:$L,"GIN")</f>
        <v>0</v>
      </c>
      <c r="AF4" s="38">
        <f>COUNTIF(Février_2018!$L:$L,"GIN")</f>
        <v>0</v>
      </c>
      <c r="AG4" s="38">
        <f>COUNTIF(Mars_2018!$L:$L,"GIN")</f>
        <v>0</v>
      </c>
      <c r="AH4" s="38">
        <f>COUNTIF(Avril_2018!$L:$L,"GIN")</f>
        <v>0</v>
      </c>
      <c r="AI4" s="38">
        <f>COUNTIF(Mai_2018!$L:$L,"GIN")</f>
        <v>0</v>
      </c>
      <c r="AJ4" s="38">
        <f>COUNTIF(Juin_2018!$L:$L,"GIN")</f>
        <v>0</v>
      </c>
      <c r="AK4" s="38">
        <f>COUNTIF(Juillet_2018!$L:$L,"GIN")</f>
        <v>0</v>
      </c>
      <c r="AL4" s="38">
        <f>COUNTIF(Aout_2018!$L:$L,"GIN")</f>
        <v>0</v>
      </c>
      <c r="AM4" s="38">
        <f>COUNTIF(Septembre_2018!$L:$L,"GIN")</f>
        <v>0</v>
      </c>
      <c r="AN4" s="38">
        <f>COUNTIF(Octobre_2018!$L:$L,"GIN")</f>
        <v>0</v>
      </c>
      <c r="AO4" s="38">
        <f>COUNTIF(Novembre_2018!$L:$L,"GIN")</f>
        <v>0</v>
      </c>
      <c r="AP4" s="38">
        <f>COUNTIF(Decembre_2018!$L:$L,"GIN")</f>
        <v>0</v>
      </c>
    </row>
    <row r="5" spans="1:42" x14ac:dyDescent="0.4">
      <c r="A5" s="56" t="s">
        <v>780</v>
      </c>
      <c r="B5" s="14"/>
      <c r="C5" s="38">
        <f>COUNTIF(Janvier_2018!$O$2:$O$32,"ISLA")</f>
        <v>17</v>
      </c>
      <c r="D5" s="38">
        <f>COUNTIF(Février_2018!$O$2:$O$29,"ISLA")</f>
        <v>15</v>
      </c>
      <c r="E5" s="38">
        <f>+COUNTIF(Mars_2018!$O$2:$O$41,"ISLA")</f>
        <v>26</v>
      </c>
      <c r="F5" s="38">
        <f>COUNTIF(Avril_2018!$O$2:$O$44,"ISLA")</f>
        <v>34</v>
      </c>
      <c r="G5" s="38">
        <f>+COUNTIF(Mai_2018!$O$2:$O$30,"ISLA")</f>
        <v>22</v>
      </c>
      <c r="H5" s="38">
        <f>+COUNTIF(Juin_2018!$O$2:$O$45,"ISLA")</f>
        <v>27</v>
      </c>
      <c r="I5" s="38">
        <f>COUNTIF(Juillet_2018!$O$2:$O$45,"ISLA")</f>
        <v>11</v>
      </c>
      <c r="J5" s="38">
        <f>COUNTIF(Aout_2018!$O$2:$O$45,"ISLA")</f>
        <v>12</v>
      </c>
      <c r="K5" s="38">
        <f>COUNTIF(Septembre_2018!$O$2:$O$20,"ISLA")</f>
        <v>11</v>
      </c>
      <c r="L5" s="38">
        <f>COUNTIF(Octobre_2018!$O$2:$O$41,"ISLA")</f>
        <v>25</v>
      </c>
      <c r="M5" s="38">
        <f>COUNTIF(Novembre_2018!$O$2:$O$48,"ISLA")</f>
        <v>29</v>
      </c>
      <c r="N5" s="38">
        <f>COUNTIF(Decembre_2018!$O$2:$O$54,"ISLA")</f>
        <v>36</v>
      </c>
      <c r="P5" s="57" t="s">
        <v>14</v>
      </c>
      <c r="Q5" s="38">
        <f>COUNTIF(Janvier_2018!C:C,"=P2")</f>
        <v>4</v>
      </c>
      <c r="R5" s="38">
        <f>COUNTIF(Février_2018!C:C,"=P2")</f>
        <v>7</v>
      </c>
      <c r="S5" s="38">
        <f>COUNTIF(Mars_2018!C:C,"=P2")</f>
        <v>8</v>
      </c>
      <c r="T5" s="38">
        <f>COUNTIF(Avril_2018!C:C,"=P2")</f>
        <v>5</v>
      </c>
      <c r="U5" s="38">
        <f>COUNTIF(Mai_2018!C:C,"=P2")</f>
        <v>5</v>
      </c>
      <c r="V5" s="38">
        <f>COUNTIF(Juin_2018!C:C,"=P2")</f>
        <v>11</v>
      </c>
      <c r="W5" s="38">
        <f>COUNTIF(Juillet_2018!C:C,"=P2")</f>
        <v>0</v>
      </c>
      <c r="X5" s="38">
        <f>COUNTIF(Aout_2018!C:C,"=P2")</f>
        <v>3</v>
      </c>
      <c r="Y5" s="38">
        <f>COUNTIF(Septembre_2018!C:C,"=P2")</f>
        <v>3</v>
      </c>
      <c r="Z5" s="38">
        <f>COUNTIF(Octobre_2018!C:C,"=P2")</f>
        <v>4</v>
      </c>
      <c r="AA5" s="38">
        <f>COUNTIF(Novembre_2018!C:C,"=P2")</f>
        <v>4</v>
      </c>
      <c r="AB5" s="38">
        <f>COUNTIF(Decembre_2018!C:C,"=P2")</f>
        <v>5</v>
      </c>
      <c r="AD5" s="58" t="s">
        <v>701</v>
      </c>
      <c r="AE5" s="38">
        <f>COUNTIF(Janvier_2018!$L:$L,"SSPO")</f>
        <v>16</v>
      </c>
      <c r="AF5" s="38">
        <f>COUNTIF(Février_2018!$L:$L,"SSPO")</f>
        <v>8</v>
      </c>
      <c r="AG5" s="38">
        <f>COUNTIF(Mars_2018!$L:$L,"SSPO")</f>
        <v>17</v>
      </c>
      <c r="AH5" s="38">
        <f>COUNTIF(Avril_2018!$L:$L,"SSPO")</f>
        <v>19</v>
      </c>
      <c r="AI5" s="38">
        <f>COUNTIF(Mai_2018!$L:$L,"SSPO")</f>
        <v>12</v>
      </c>
      <c r="AJ5" s="38">
        <f>COUNTIF(Juin_2018!$L:$L,"SSPO")</f>
        <v>17</v>
      </c>
      <c r="AK5" s="38">
        <f>COUNTIF(Juillet_2018!$L:$L,"SSPO")</f>
        <v>7</v>
      </c>
      <c r="AL5" s="38">
        <f>COUNTIF(Aout_2018!$L:$L,"SSPO")</f>
        <v>15</v>
      </c>
      <c r="AM5" s="38">
        <f>COUNTIF(Septembre_2018!$L:$L,"SSPO")</f>
        <v>8</v>
      </c>
      <c r="AN5" s="38">
        <f>COUNTIF(Octobre_2018!$L:$L,"SSPO")</f>
        <v>19</v>
      </c>
      <c r="AO5" s="38">
        <f>COUNTIF(Novembre_2018!$L:$L,"SSPO")</f>
        <v>21</v>
      </c>
      <c r="AP5" s="38">
        <f>COUNTIF(Decembre_2018!$L:$L,"SSPO")</f>
        <v>30</v>
      </c>
    </row>
    <row r="6" spans="1:42" x14ac:dyDescent="0.4">
      <c r="A6" s="56" t="s">
        <v>755</v>
      </c>
      <c r="B6" s="14"/>
      <c r="C6" s="38">
        <f>COUNTIF(Janvier_2018!$O$2:$O$32,"oSLA")</f>
        <v>14</v>
      </c>
      <c r="D6" s="38">
        <f>COUNTIF(Février_2018!$O$2:$O$29,"OSLA")</f>
        <v>13</v>
      </c>
      <c r="E6" s="38">
        <f>+COUNTIF(Mars_2018!$O$2:$O$41,"OSLA")</f>
        <v>14</v>
      </c>
      <c r="F6" s="38">
        <f>COUNTIF(Avril_2018!$O$2:$O$44,"OSLA")</f>
        <v>9</v>
      </c>
      <c r="G6" s="38">
        <f>+COUNTIF(Mai_2018!$O$2:$O$30,"OSLA")</f>
        <v>7</v>
      </c>
      <c r="H6" s="38">
        <f>+COUNTIF(Juin_2018!$O$2:$O$45,"OSLA")</f>
        <v>17</v>
      </c>
      <c r="I6" s="38">
        <f>COUNTIF(Juillet_2018!$O$2:$O$45,"OSLA")</f>
        <v>5</v>
      </c>
      <c r="J6" s="38">
        <f>COUNTIF(Aout_2018!$O$2:$O$45,"OSLA")</f>
        <v>10</v>
      </c>
      <c r="K6" s="38">
        <f>COUNTIF(Septembre_2018!$O$2:$O$20,"OSLA")</f>
        <v>4</v>
      </c>
      <c r="L6" s="38">
        <f>COUNTIF(Octobre_2018!$O$2:$O$41,"OSLA")</f>
        <v>14</v>
      </c>
      <c r="M6" s="38">
        <f>COUNTIF(Novembre_2018!$O$2:$O$48,"OSLA")</f>
        <v>18</v>
      </c>
      <c r="N6" s="38">
        <f>COUNTIF(Decembre_2018!$O$2:$O$54,"OSLA")</f>
        <v>17</v>
      </c>
      <c r="P6" s="57" t="s">
        <v>158</v>
      </c>
      <c r="Q6" s="38">
        <f>COUNTIF(Janvier_2018!C:C,"=P3")</f>
        <v>1</v>
      </c>
      <c r="R6" s="38">
        <f>COUNTIF(Février_2018!C:C,"=P3")</f>
        <v>1</v>
      </c>
      <c r="S6" s="38">
        <f>COUNTIF(Mars_2018!C:C,"=P3")</f>
        <v>5</v>
      </c>
      <c r="T6" s="38">
        <f>COUNTIF(Avril_2018!C:C,"=P3")</f>
        <v>1</v>
      </c>
      <c r="U6" s="38">
        <f>COUNTIF(Mai_2018!C:C,"=P3")</f>
        <v>0</v>
      </c>
      <c r="V6" s="38">
        <f>COUNTIF(Juin_2018!C:C,"=P3")</f>
        <v>0</v>
      </c>
      <c r="W6" s="38">
        <f>COUNTIF(Juillet_2018!C:C,"=P3")</f>
        <v>1</v>
      </c>
      <c r="X6" s="38">
        <f>COUNTIF(Aout_2018!C:C,"=P3")</f>
        <v>0</v>
      </c>
      <c r="Y6" s="38">
        <f>COUNTIF(Septembre_2018!C:C,"=P3")</f>
        <v>0</v>
      </c>
      <c r="Z6" s="38">
        <f>COUNTIF(Octobre_2018!C:C,"=P3")</f>
        <v>0</v>
      </c>
      <c r="AA6" s="38">
        <f>COUNTIF(Novembre_2018!C:C,"=P3")</f>
        <v>0</v>
      </c>
      <c r="AB6" s="38">
        <f>COUNTIF(Decembre_2018!C:C,"=P3")</f>
        <v>0</v>
      </c>
      <c r="AD6" s="58" t="s">
        <v>707</v>
      </c>
      <c r="AE6" s="38">
        <f>COUNTIF(Janvier_2018!$L:$L,"GOS")</f>
        <v>6</v>
      </c>
      <c r="AF6" s="38">
        <f>COUNTIF(Février_2018!$L:$L,"GOS")</f>
        <v>9</v>
      </c>
      <c r="AG6" s="38">
        <f>COUNTIF(Mars_2018!$L:$L,"GOS")</f>
        <v>4</v>
      </c>
      <c r="AH6" s="38">
        <f>COUNTIF(Avril_2018!$L:$L,"GOS")</f>
        <v>5</v>
      </c>
      <c r="AI6" s="38">
        <f>COUNTIF(Mai_2018!$L:$L,"GOS")</f>
        <v>1</v>
      </c>
      <c r="AJ6" s="38">
        <f>COUNTIF(Juin_2018!$L:$L,"GOS")</f>
        <v>4</v>
      </c>
      <c r="AK6" s="38">
        <f>COUNTIF(Juillet_2018!$L:$L,"GOS")</f>
        <v>0</v>
      </c>
      <c r="AL6" s="38">
        <f>COUNTIF(Aout_2018!$L:$L,"GOS")</f>
        <v>1</v>
      </c>
      <c r="AM6" s="38">
        <f>COUNTIF(Septembre_2018!$L:$L,"GOS")</f>
        <v>1</v>
      </c>
      <c r="AN6" s="38">
        <f>COUNTIF(Octobre_2018!$L:$L,"GOS")</f>
        <v>2</v>
      </c>
      <c r="AO6" s="38">
        <f>COUNTIF(Novembre_2018!$L:$L,"GOS")</f>
        <v>3</v>
      </c>
      <c r="AP6" s="38">
        <f>COUNTIF(Decembre_2018!$L:$L,"GOS")</f>
        <v>8</v>
      </c>
    </row>
    <row r="7" spans="1:42" x14ac:dyDescent="0.4">
      <c r="A7" s="56" t="s">
        <v>756</v>
      </c>
      <c r="B7" s="14"/>
      <c r="C7" s="38">
        <v>5</v>
      </c>
      <c r="D7" s="38">
        <v>1</v>
      </c>
      <c r="E7" s="38">
        <v>3</v>
      </c>
      <c r="F7" s="38">
        <v>1</v>
      </c>
      <c r="G7" s="38">
        <v>0</v>
      </c>
      <c r="H7" s="38">
        <v>1</v>
      </c>
      <c r="I7" s="38">
        <v>0</v>
      </c>
      <c r="J7" s="38">
        <v>0</v>
      </c>
      <c r="K7" s="38">
        <v>1</v>
      </c>
      <c r="L7" s="38">
        <v>2</v>
      </c>
      <c r="M7" s="38">
        <v>0</v>
      </c>
      <c r="N7" s="38">
        <v>0</v>
      </c>
      <c r="P7" s="57" t="s">
        <v>757</v>
      </c>
      <c r="Q7" s="38">
        <f>COUNTIF(Janvier_2018!C:C,"=P4")</f>
        <v>0</v>
      </c>
      <c r="R7" s="38">
        <f>COUNTIF(Février_2018!C:C,"=P4")</f>
        <v>0</v>
      </c>
      <c r="S7" s="38">
        <f>COUNTIF(Mars_2018!C:C,"=P4")</f>
        <v>0</v>
      </c>
      <c r="T7" s="38">
        <f>COUNTIF(Avril_2018!C:C,"=P4")</f>
        <v>0</v>
      </c>
      <c r="U7" s="38">
        <f>COUNTIF(Mai_2018!C:C,"=P4")</f>
        <v>0</v>
      </c>
      <c r="V7" s="38">
        <f>COUNTIF(Juin_2018!C:C,"=P4")</f>
        <v>0</v>
      </c>
      <c r="W7" s="38">
        <f>COUNTIF(Juillet_2018!C:C,"=P4")</f>
        <v>0</v>
      </c>
      <c r="X7" s="38">
        <f>COUNTIF(Aout_2018!C:C,"=P4")</f>
        <v>0</v>
      </c>
      <c r="Y7" s="38">
        <f>COUNTIF(Septembre_2018!C:C,"=P4")</f>
        <v>0</v>
      </c>
      <c r="Z7" s="38">
        <f>COUNTIF(Octobre_2018!C:C,"=P4")</f>
        <v>0</v>
      </c>
      <c r="AA7" s="38">
        <f>COUNTIF(Novembre_2018!C:C,"=P4")</f>
        <v>0</v>
      </c>
      <c r="AB7" s="38">
        <f>COUNTIF(Decembre_2018!C:C,"=P4")</f>
        <v>0</v>
      </c>
      <c r="AD7" s="58" t="s">
        <v>704</v>
      </c>
      <c r="AE7" s="38">
        <f>COUNTIF(Janvier_2018!$L:$L,"GNOC")</f>
        <v>4</v>
      </c>
      <c r="AF7" s="38">
        <f>COUNTIF(Février_2018!$L:$L,"GNOC")</f>
        <v>4</v>
      </c>
      <c r="AG7" s="38">
        <f>COUNTIF(Mars_2018!$L:$L,"GNOC")</f>
        <v>6</v>
      </c>
      <c r="AH7" s="38">
        <f>COUNTIF(Avril_2018!$L:$L,"GNOC")</f>
        <v>4</v>
      </c>
      <c r="AI7" s="38">
        <f>COUNTIF(Mai_2018!$L:$L,"GNOC")</f>
        <v>7</v>
      </c>
      <c r="AJ7" s="38">
        <f>COUNTIF(Juin_2018!$L:$L,"GNOC")</f>
        <v>5</v>
      </c>
      <c r="AK7" s="38">
        <f>COUNTIF(Juillet_2018!$L:$L,"GNOC")</f>
        <v>5</v>
      </c>
      <c r="AL7" s="38">
        <f>COUNTIF(Aout_2018!$L:$L,"GNOC")</f>
        <v>2</v>
      </c>
      <c r="AM7" s="38">
        <f>COUNTIF(Septembre_2018!$L:$L,"GNOC")</f>
        <v>3</v>
      </c>
      <c r="AN7" s="38">
        <f>COUNTIF(Octobre_2018!$L:$L,"GNOC")</f>
        <v>2</v>
      </c>
      <c r="AO7" s="38">
        <f>COUNTIF(Novembre_2018!$L:$L,"GNOC")</f>
        <v>11</v>
      </c>
      <c r="AP7" s="38">
        <f>COUNTIF(Decembre_2018!$L:$L,"GNOC")</f>
        <v>4</v>
      </c>
    </row>
    <row r="8" spans="1:42" x14ac:dyDescent="0.4">
      <c r="A8" s="56" t="s">
        <v>758</v>
      </c>
      <c r="B8" s="14"/>
      <c r="C8" s="96">
        <f>(SUM(COUNTIFS(Janvier_2018!C:C,"=P1",Janvier_2018!H:H,"&lt;=120"),COUNTIFS(Janvier_2018!C:C,"=P2",Janvier_2018!H:H,"&lt;=240"),COUNTIFS(Janvier_2018!C:C,"=P3",Janvier_2018!H:H,"&lt;=2880")))/(SUM(COUNTIF(Janvier_2018!C:C,"=P1"),COUNTIF(Janvier_2018!C:C,"=P2"),COUNTIF(Janvier_2018!C:C,"=P3")))</f>
        <v>0.54838709677419351</v>
      </c>
      <c r="D8" s="96">
        <f>(SUM(COUNTIFS(Février_2018!C:C,"=P1",Février_2018!H:H,"&lt;=120"),COUNTIFS(Février_2018!C:C,"=P2",Février_2018!H:H,"&lt;=240"),COUNTIFS(Février_2018!C:C,"=P3",Février_2018!H:H,"&lt;=2880")))/(SUM(COUNTIF(Février_2018!C:C,"=P1"),COUNTIF(Février_2018!C:C,"=P2"),COUNTIF(Février_2018!C:C,"=P3")))</f>
        <v>0.5357142857142857</v>
      </c>
      <c r="E8" s="96">
        <f>(SUM(COUNTIFS(Mars_2018!C:C,"=P1",Mars_2018!H:H,"&lt;=120"),COUNTIFS(Mars_2018!C:C,"=P2",Mars_2018!H:H,"&lt;=240"),COUNTIFS(Mars_2018!C:C,"=P3",Mars_2018!H:H,"&lt;=2880")))/(SUM(COUNTIF(Mars_2018!C:C,"=P1"),COUNTIF(Mars_2018!C:C,"=P2"),COUNTIF(Mars_2018!C:C,"=P3")))</f>
        <v>0.65</v>
      </c>
      <c r="F8" s="96">
        <f>(SUM(COUNTIFS(Avril_2018!C:C,"=P1",Avril_2018!H:H,"&lt;=120"),COUNTIFS(Avril_2018!C:C,"=P2",Avril_2018!H:H,"&lt;=240"),COUNTIFS(Avril_2018!C:C,"=P3",Avril_2018!H:H,"&lt;=2880")))/(SUM(COUNTIF(Avril_2018!C:C,"=P1"),COUNTIF(Avril_2018!C:C,"=P2"),COUNTIF(Avril_2018!C:C,"=P3")))</f>
        <v>0.79069767441860461</v>
      </c>
      <c r="G8" s="96">
        <f>(SUM(COUNTIFS(Mai_2018!C:C,"=P1",Mai_2018!H:H,"&lt;=120"),COUNTIFS(Mai_2018!C:C,"=P2",Mai_2018!H:H,"&lt;=240"),COUNTIFS(Mai_2018!C:C,"=P3",Mai_2018!H:H,"&lt;=2880")))/(SUM(COUNTIF(Mai_2018!C:C,"=P1"),COUNTIF(Mai_2018!C:C,"=P2"),COUNTIF(Mai_2018!C:C,"=P3")))</f>
        <v>0.75862068965517238</v>
      </c>
      <c r="H8" s="96">
        <f>(SUM(COUNTIFS(Juin_2018!C:C,"=P1",Juin_2018!H:H,"&lt;=120"),COUNTIFS(Juin_2018!C:C,"=P2",Juin_2018!H:H,"&lt;=240"),COUNTIFS(Juin_2018!C:C,"=P3",Juin_2018!H:H,"&lt;=2880")))/(SUM(COUNTIF(Juin_2018!C:C,"=P1"),COUNTIF(Juin_2018!C:C,"=P2"),COUNTIF(Juin_2018!C:C,"=P3")))</f>
        <v>0.61363636363636365</v>
      </c>
      <c r="I8" s="96">
        <f>(SUM(COUNTIFS(Juillet_2018!C:C,"=P1",Juillet_2018!H:H,"&lt;=120"),COUNTIFS(Juillet_2018!C:C,"=P2",Juillet_2018!H:H,"&lt;=240"),COUNTIFS(Juillet_2018!C:C,"=P3",Juillet_2018!H:H,"&lt;=2880")))/(SUM(COUNTIF(Juillet_2018!C:C,"=P1"),COUNTIF(Juillet_2018!C:C,"=P2"),COUNTIF(Juillet_2018!C:C,"=P3")))</f>
        <v>0.6875</v>
      </c>
      <c r="J8" s="96">
        <f>(SUM(COUNTIFS(Aout_2018!C:C,"=P1",Aout_2018!H:H,"&lt;=120"),COUNTIFS(Aout_2018!C:C,"=P2",Aout_2018!H:H,"&lt;=240"),COUNTIFS(Aout_2018!C:C,"=P3",Aout_2018!H:H,"&lt;=2880")))/(SUM(COUNTIF(Aout_2018!C:C,"=P1"),COUNTIF(Aout_2018!C:C,"=P2"),COUNTIF(Aout_2018!C:C,"=P3")))</f>
        <v>0.54545454545454541</v>
      </c>
      <c r="K8" s="96">
        <f>(SUM(COUNTIFS(Septembre_2018!C:C,"=P1",Septembre_2018!H:H,"&lt;=120"),COUNTIFS(Septembre_2018!C:C,"=P2",Septembre_2018!H:H,"&lt;=240"),COUNTIFS(Septembre_2018!C:C,"=P3",Septembre_2018!H:H,"&lt;=2880")))/(SUM(COUNTIF(Septembre_2018!C:C,"=P1"),COUNTIF(Septembre_2018!C:C,"=P2"),COUNTIF(Septembre_2018!C:C,"=P3")))</f>
        <v>0.73333333333333328</v>
      </c>
      <c r="L8" s="96">
        <f>(SUM(COUNTIFS(Octobre_2018!C:C,"=P1",Octobre_2018!H:H,"&lt;=120"),COUNTIFS(Octobre_2018!C:C,"=P2",Octobre_2018!H:H,"&lt;=240"),COUNTIFS(Octobre_2018!C:C,"=P3",Octobre_2018!H:H,"&lt;=2880")))/(SUM(COUNTIF(Octobre_2018!C:C,"=P1"),COUNTIF(Octobre_2018!C:C,"=P2"),COUNTIF(Octobre_2018!C:C,"=P3")))</f>
        <v>0.65</v>
      </c>
      <c r="M8" s="96">
        <f>(SUM(COUNTIFS(Novembre_2018!C:C,"=P1",Novembre_2018!H:H,"&lt;=120"),COUNTIFS(Novembre_2018!C:C,"=P2",Novembre_2018!H:H,"&lt;=240"),COUNTIFS(Novembre_2018!C:C,"=P3",Novembre_2018!H:H,"&lt;=2880")))/(SUM(COUNTIF(Novembre_2018!C:C,"=P1"),COUNTIF(Novembre_2018!C:C,"=P2"),COUNTIF(Novembre_2018!C:C,"=P3")))</f>
        <v>0.61702127659574468</v>
      </c>
      <c r="N8" s="96">
        <f>(SUM(COUNTIFS(Decembre_2018!C:C,"=P1",Decembre_2018!H:H,"&lt;=120"),COUNTIFS(Decembre_2018!C:C,"=P2",Decembre_2018!H:H,"&lt;=240"),COUNTIFS(Decembre_2018!C:C,"=P3",Decembre_2018!H:H,"&lt;=2880")))/(SUM(COUNTIF(Decembre_2018!C:C,"=P1"),COUNTIF(Decembre_2018!C:C,"=P2"),COUNTIF(Decembre_2018!C:C,"=P3")))</f>
        <v>0.660377358490566</v>
      </c>
      <c r="P8" s="57" t="s">
        <v>759</v>
      </c>
      <c r="Q8" s="38">
        <f>SUM(Q4:Q7)</f>
        <v>31</v>
      </c>
      <c r="R8" s="38">
        <f t="shared" ref="R8:Z8" si="0">SUM(R4:R7)</f>
        <v>28</v>
      </c>
      <c r="S8" s="38">
        <f t="shared" si="0"/>
        <v>40</v>
      </c>
      <c r="T8" s="38">
        <f t="shared" si="0"/>
        <v>43</v>
      </c>
      <c r="U8" s="38">
        <f t="shared" si="0"/>
        <v>29</v>
      </c>
      <c r="V8" s="38">
        <f t="shared" si="0"/>
        <v>44</v>
      </c>
      <c r="W8" s="38">
        <f t="shared" si="0"/>
        <v>16</v>
      </c>
      <c r="X8" s="38">
        <f t="shared" si="0"/>
        <v>22</v>
      </c>
      <c r="Y8" s="38">
        <f t="shared" si="0"/>
        <v>15</v>
      </c>
      <c r="Z8" s="38">
        <f t="shared" si="0"/>
        <v>40</v>
      </c>
      <c r="AA8" s="38">
        <f>SUM(AA4:AA7)</f>
        <v>47</v>
      </c>
      <c r="AB8" s="38">
        <f>SUM(AB4:AB7)</f>
        <v>53</v>
      </c>
      <c r="AD8" s="58" t="s">
        <v>703</v>
      </c>
      <c r="AE8" s="38">
        <f>COUNTIF(Janvier_2018!$L:$L,"ASBD")</f>
        <v>2</v>
      </c>
      <c r="AF8" s="38">
        <f>COUNTIF(Février_2018!$L:$L,"ASBD")</f>
        <v>2</v>
      </c>
      <c r="AG8" s="38">
        <f>COUNTIF(Mars_2018!$L:$L,"ASBD")</f>
        <v>4</v>
      </c>
      <c r="AH8" s="38">
        <f>COUNTIF(Avril_2018!$L:$L,"ASBD")</f>
        <v>8</v>
      </c>
      <c r="AI8" s="38">
        <f>COUNTIF(Mai_2018!$L:$L,"ASBD")</f>
        <v>3</v>
      </c>
      <c r="AJ8" s="38">
        <f>COUNTIF(Juin_2018!$L:$L,"ASBD")</f>
        <v>3</v>
      </c>
      <c r="AK8" s="38">
        <f>COUNTIF(Juillet_2018!$L:$L,"ASBD")</f>
        <v>1</v>
      </c>
      <c r="AL8" s="38">
        <f>COUNTIF(Aout_2018!$L:$L,"ASBD")</f>
        <v>2</v>
      </c>
      <c r="AM8" s="38">
        <f>COUNTIF(Septembre_2018!$L:$L,"ASBD")</f>
        <v>1</v>
      </c>
      <c r="AN8" s="38">
        <f>COUNTIF(Octobre_2018!$L:$L,"ASBD")</f>
        <v>11</v>
      </c>
      <c r="AO8" s="38">
        <f>COUNTIF(Novembre_2018!$L:$L,"ASBD")</f>
        <v>6</v>
      </c>
      <c r="AP8" s="38">
        <f>COUNTIF(Decembre_2018!$L:$L,"ASBD")</f>
        <v>3</v>
      </c>
    </row>
    <row r="9" spans="1:42" x14ac:dyDescent="0.4">
      <c r="A9" s="1"/>
      <c r="B9" s="1"/>
      <c r="C9" s="85"/>
      <c r="D9" s="85"/>
      <c r="E9" s="86"/>
      <c r="F9" s="86"/>
      <c r="G9" s="85"/>
      <c r="H9" s="85"/>
      <c r="I9" s="85"/>
      <c r="J9" s="85"/>
      <c r="K9" s="85"/>
      <c r="L9" s="87"/>
      <c r="M9" s="87"/>
      <c r="N9" s="87"/>
      <c r="P9" s="61"/>
      <c r="Q9" s="88"/>
      <c r="R9" s="88"/>
      <c r="S9" s="88"/>
      <c r="T9" s="88"/>
      <c r="U9" s="88"/>
      <c r="V9" s="88"/>
      <c r="W9" s="88"/>
      <c r="X9" s="88"/>
      <c r="Y9" s="88"/>
      <c r="Z9" s="88"/>
      <c r="AA9" s="88"/>
      <c r="AB9" s="88"/>
      <c r="AD9" s="58" t="s">
        <v>889</v>
      </c>
      <c r="AE9" s="89">
        <f>COUNTIF(Janvier_2018!$L:$L,"PSIVAS")</f>
        <v>1</v>
      </c>
      <c r="AF9" s="89">
        <f>COUNTIF(Février_2018!$L:$L,"DevOps")</f>
        <v>0</v>
      </c>
      <c r="AG9" s="89">
        <f>COUNTIF(Mars_2018!$L:$L,"DevOps")</f>
        <v>0</v>
      </c>
      <c r="AH9" s="89">
        <f>COUNTIF(Avril_2018!$L:$L,"DevOps")</f>
        <v>0</v>
      </c>
      <c r="AI9" s="89">
        <f>COUNTIF(Mai_2018!$L:$L,"DevOps")</f>
        <v>0</v>
      </c>
      <c r="AJ9" s="89">
        <f>COUNTIF(Juin_2018!$L:$L,"DevOps")</f>
        <v>2</v>
      </c>
      <c r="AK9" s="89">
        <f>COUNTIF(Juillet_2018!$L:$L,"DevOps")</f>
        <v>0</v>
      </c>
      <c r="AL9" s="89">
        <f>COUNTIF(Aout_2018!$L:$L,"DevOps")</f>
        <v>0</v>
      </c>
      <c r="AM9" s="89">
        <f>COUNTIF(Septembre_2018!$L:$L,"DevOps")</f>
        <v>1</v>
      </c>
      <c r="AN9" s="38">
        <f>COUNTIF(Octobre_2018!$L:$L,"DevOps")</f>
        <v>0</v>
      </c>
      <c r="AO9" s="38">
        <f>COUNTIF(Novembre_2018!$L:$L,"DevOps")</f>
        <v>0</v>
      </c>
      <c r="AP9" s="38">
        <f>COUNTIF(Decembre_2018!$L:$L,"DevOps")</f>
        <v>3</v>
      </c>
    </row>
    <row r="10" spans="1:42" x14ac:dyDescent="0.4">
      <c r="A10" s="1"/>
      <c r="B10" s="1"/>
      <c r="C10" s="1"/>
      <c r="D10" s="59"/>
      <c r="E10" s="59"/>
      <c r="F10" s="60"/>
      <c r="G10" s="60"/>
      <c r="H10" s="60"/>
      <c r="I10" s="60"/>
      <c r="J10" s="60"/>
      <c r="K10" s="60"/>
      <c r="L10" s="60"/>
      <c r="M10" s="60"/>
      <c r="N10" s="60"/>
      <c r="P10" s="61"/>
      <c r="Q10" s="61"/>
      <c r="R10" s="61"/>
      <c r="S10" s="1"/>
      <c r="T10" s="1"/>
      <c r="U10" s="1"/>
      <c r="V10" s="1"/>
      <c r="W10" s="1"/>
      <c r="X10" s="1"/>
      <c r="Y10" s="1"/>
      <c r="Z10" s="1"/>
      <c r="AA10" s="1"/>
      <c r="AB10" s="1"/>
      <c r="AD10" s="61"/>
      <c r="AE10" s="61"/>
      <c r="AF10" s="61"/>
      <c r="AG10" s="61"/>
    </row>
    <row r="11" spans="1:42" x14ac:dyDescent="0.4">
      <c r="A11" s="62" t="s">
        <v>760</v>
      </c>
      <c r="B11" s="50"/>
      <c r="C11" s="50"/>
      <c r="D11" s="59"/>
      <c r="E11" s="59"/>
      <c r="F11" s="60"/>
      <c r="G11" s="60"/>
      <c r="H11" s="60"/>
      <c r="I11" s="60"/>
      <c r="J11" s="60"/>
      <c r="K11" s="60"/>
      <c r="L11" s="60"/>
      <c r="M11" s="60"/>
      <c r="N11" s="60"/>
      <c r="P11" s="63" t="s">
        <v>684</v>
      </c>
      <c r="Q11" s="64"/>
      <c r="R11" s="64"/>
      <c r="S11" s="1"/>
      <c r="T11" s="1"/>
      <c r="U11" s="1"/>
      <c r="V11" s="1"/>
      <c r="W11" s="1"/>
      <c r="X11" s="1"/>
      <c r="Y11" s="1"/>
      <c r="Z11" s="1"/>
      <c r="AA11" s="1"/>
      <c r="AB11" s="1"/>
      <c r="AD11" s="52" t="s">
        <v>761</v>
      </c>
      <c r="AE11" s="61"/>
      <c r="AF11" s="61"/>
      <c r="AG11" s="61"/>
    </row>
    <row r="13" spans="1:42" x14ac:dyDescent="0.4">
      <c r="A13" s="1"/>
      <c r="B13" s="14" t="s">
        <v>741</v>
      </c>
      <c r="C13" s="54" t="s">
        <v>741</v>
      </c>
      <c r="D13" s="54" t="s">
        <v>742</v>
      </c>
      <c r="E13" s="54" t="s">
        <v>743</v>
      </c>
      <c r="F13" s="54" t="s">
        <v>744</v>
      </c>
      <c r="G13" s="54" t="s">
        <v>745</v>
      </c>
      <c r="H13" s="54" t="s">
        <v>746</v>
      </c>
      <c r="I13" s="54" t="s">
        <v>747</v>
      </c>
      <c r="J13" s="55" t="s">
        <v>748</v>
      </c>
      <c r="K13" s="55" t="s">
        <v>749</v>
      </c>
      <c r="L13" s="55" t="s">
        <v>750</v>
      </c>
      <c r="M13" s="55" t="s">
        <v>751</v>
      </c>
      <c r="N13" s="54" t="s">
        <v>752</v>
      </c>
      <c r="Q13" s="54" t="s">
        <v>741</v>
      </c>
      <c r="R13" s="54" t="s">
        <v>742</v>
      </c>
      <c r="S13" s="54" t="s">
        <v>743</v>
      </c>
      <c r="T13" s="54" t="s">
        <v>744</v>
      </c>
      <c r="U13" s="54" t="s">
        <v>745</v>
      </c>
      <c r="V13" s="54" t="s">
        <v>746</v>
      </c>
      <c r="W13" s="54" t="s">
        <v>747</v>
      </c>
      <c r="X13" s="55" t="s">
        <v>748</v>
      </c>
      <c r="Y13" s="55" t="s">
        <v>749</v>
      </c>
      <c r="Z13" s="55" t="s">
        <v>750</v>
      </c>
      <c r="AA13" s="55" t="s">
        <v>751</v>
      </c>
      <c r="AB13" s="54" t="s">
        <v>752</v>
      </c>
      <c r="AE13" s="54" t="s">
        <v>741</v>
      </c>
      <c r="AF13" s="54" t="s">
        <v>742</v>
      </c>
      <c r="AG13" s="54" t="s">
        <v>743</v>
      </c>
      <c r="AH13" s="54" t="s">
        <v>744</v>
      </c>
      <c r="AI13" s="54" t="s">
        <v>745</v>
      </c>
      <c r="AJ13" s="54" t="s">
        <v>746</v>
      </c>
      <c r="AK13" s="54" t="s">
        <v>747</v>
      </c>
      <c r="AL13" s="55" t="s">
        <v>748</v>
      </c>
      <c r="AM13" s="55" t="s">
        <v>749</v>
      </c>
      <c r="AN13" s="55" t="s">
        <v>750</v>
      </c>
      <c r="AO13" s="55" t="s">
        <v>751</v>
      </c>
    </row>
    <row r="14" spans="1:42" x14ac:dyDescent="0.4">
      <c r="A14" s="65" t="s">
        <v>138</v>
      </c>
      <c r="B14" s="14"/>
      <c r="C14" s="75">
        <f>COUNTIF(Janvier_2018!$E$2:$E$32,"*E-recharge*")</f>
        <v>3</v>
      </c>
      <c r="D14" s="38">
        <f>COUNTIF(Février_2018!$E$2:$E$45,"*E-recharge*")</f>
        <v>1</v>
      </c>
      <c r="E14" s="38">
        <f>COUNTIF(Mars_2018!$E$2:$E$45,"*E-recharge*")</f>
        <v>2</v>
      </c>
      <c r="F14" s="38">
        <f>COUNTIF(Avril_2018!$E$2:$E$45,"*E-recharge*")</f>
        <v>4</v>
      </c>
      <c r="G14" s="38">
        <f>COUNTIF(Mai_2018!$E$2:$E$45,"*E-recharge*")</f>
        <v>6</v>
      </c>
      <c r="H14" s="38">
        <f>COUNTIF(Juin_2018!$E$2:$E$45,"*E-recharge*")</f>
        <v>9</v>
      </c>
      <c r="I14" s="38">
        <f>COUNTIF(Juillet_2018!$E$2:$E$45,"*E-recharge*")</f>
        <v>2</v>
      </c>
      <c r="J14" s="38">
        <f>COUNTIF(Aout_2018!$E$2:$E$45,"*E-recharge*")</f>
        <v>0</v>
      </c>
      <c r="K14" s="38">
        <f>COUNTIF(Septembre_2018!$E$2:$E$45,"*E-recharge*")</f>
        <v>0</v>
      </c>
      <c r="L14" s="38">
        <f>COUNTIF(Octobre_2018!$E$2:$E$46,"*E-recharge*")</f>
        <v>3</v>
      </c>
      <c r="M14" s="38">
        <f>COUNTIF(Novembre_2018!$I$2:$I$48,"*E-recharge*")</f>
        <v>6</v>
      </c>
      <c r="N14" s="38">
        <f>COUNTIF(Novembre_2018!$I$2:$I$54,"*E-recharge*")</f>
        <v>6</v>
      </c>
      <c r="P14" s="66" t="s">
        <v>159</v>
      </c>
      <c r="Q14" s="38">
        <f>COUNTIF(Janvier_2018!$M$2:$M$45,"En cours")</f>
        <v>0</v>
      </c>
      <c r="R14" s="38">
        <f>COUNTIF(Février_2018!$M$2:$M$45,"En cours")</f>
        <v>0</v>
      </c>
      <c r="S14" s="38">
        <f>COUNTIF(Mars_2018!$M$2:$M$45,"En cours")</f>
        <v>0</v>
      </c>
      <c r="T14" s="38">
        <f>COUNTIF(Avril_2018!$M$2:$M$45,"En cours")</f>
        <v>0</v>
      </c>
      <c r="U14" s="38">
        <f>COUNTIF(Mai_2018!$M$2:$M$45,"En cours")</f>
        <v>0</v>
      </c>
      <c r="V14" s="38">
        <f>COUNTIF(Juin_2018!$M$2:$M$45,"En cours")</f>
        <v>0</v>
      </c>
      <c r="W14" s="38">
        <f>COUNTIF(Juillet_2018!$M$2:$M$45,"En cours")</f>
        <v>0</v>
      </c>
      <c r="X14" s="38">
        <f>COUNTIF(Aout_2018!$M$2:$M$45,"En cours")</f>
        <v>0</v>
      </c>
      <c r="Y14" s="38">
        <f>COUNTIF(Septembre_2018!$M$2:$M$20,"En cours")</f>
        <v>0</v>
      </c>
      <c r="Z14" s="38">
        <f>COUNTIF(Octobre_2018!$M$2:$M$41,"En cours")</f>
        <v>0</v>
      </c>
      <c r="AA14" s="38">
        <f>COUNTIF(Novembre_2018!$M$2:$M$48,"En cours")</f>
        <v>0</v>
      </c>
      <c r="AB14" s="38">
        <f>COUNTIF(Decembre_2018!$M$2:$M$53,"En cours")</f>
        <v>1</v>
      </c>
      <c r="AD14" s="66" t="s">
        <v>762</v>
      </c>
      <c r="AE14" s="47"/>
      <c r="AF14" s="47"/>
      <c r="AG14" s="48"/>
      <c r="AH14" s="48"/>
      <c r="AI14" s="48"/>
      <c r="AJ14" s="48"/>
      <c r="AK14" s="48"/>
      <c r="AL14" s="48"/>
      <c r="AM14" s="48"/>
      <c r="AN14" s="48"/>
      <c r="AO14" s="48"/>
    </row>
    <row r="15" spans="1:42" x14ac:dyDescent="0.4">
      <c r="A15" s="65" t="s">
        <v>40</v>
      </c>
      <c r="B15" s="14"/>
      <c r="C15" s="75">
        <f>COUNTIF(Janvier_2018!$E$2:$E$32,"*Orange Money*")</f>
        <v>13</v>
      </c>
      <c r="D15" s="38">
        <f>COUNTIF(Février_2018!$E$2:$E$45,"*Orange Money*")</f>
        <v>7</v>
      </c>
      <c r="E15" s="38">
        <f>COUNTIF(Mars_2018!$E$2:$E$45,"*Orange Money*")</f>
        <v>18</v>
      </c>
      <c r="F15" s="38">
        <f>COUNTIF(Avril_2018!$E$2:$E$45,"*Orange Money*")</f>
        <v>20</v>
      </c>
      <c r="G15" s="38">
        <f>COUNTIF(Mai_2018!$E$2:$E$45,"*Orange Money*")</f>
        <v>11</v>
      </c>
      <c r="H15" s="38">
        <f>COUNTIF(Juin_2018!$E$2:$E$45,"*Orange Money*")</f>
        <v>15</v>
      </c>
      <c r="I15" s="38">
        <f>COUNTIF(Juillet_2018!$E$2:$E$45,"*Orange Money*")</f>
        <v>7</v>
      </c>
      <c r="J15" s="38">
        <f>COUNTIF(Aout_2018!$E$2:$E$45,"*Orange Money*")</f>
        <v>16</v>
      </c>
      <c r="K15" s="38">
        <f>COUNTIF(Septembre_2018!$E$2:$E$45,"*Orange Money*")</f>
        <v>4</v>
      </c>
      <c r="L15" s="38">
        <f>COUNTIF(Octobre_2018!$E$2:$E$46,"*Orange Money*")</f>
        <v>19</v>
      </c>
      <c r="M15" s="38">
        <f>COUNTIF(Novembre_2018!$E$2:$E$48,"*Orange Money*")</f>
        <v>25</v>
      </c>
      <c r="N15" s="38">
        <f>COUNTIF(Novembre_2018!$E$2:$E$54,"*Orange Money*")</f>
        <v>25</v>
      </c>
      <c r="P15" s="66" t="s">
        <v>763</v>
      </c>
      <c r="Q15" s="38">
        <f>COUNTIF(Janvier_2018!$M$2:$M$45,"Clos")</f>
        <v>31</v>
      </c>
      <c r="R15" s="38">
        <f>COUNTIF(Février_2018!$M$2:$M$45,"Clos")</f>
        <v>28</v>
      </c>
      <c r="S15" s="38">
        <f>COUNTIF(Mars_2018!$M$2:$M$45,"Clos")</f>
        <v>40</v>
      </c>
      <c r="T15" s="38">
        <f>COUNTIF(Avril_2018!$M$2:$M$45,"Clos")</f>
        <v>43</v>
      </c>
      <c r="U15" s="38">
        <f>COUNTIF(Mai_2018!$M$2:$M$45,"Clos")</f>
        <v>29</v>
      </c>
      <c r="V15" s="38">
        <f>COUNTIF(Juin_2018!$M$2:$M$45,"Clos")</f>
        <v>44</v>
      </c>
      <c r="W15" s="38">
        <f>COUNTIF(Juillet_2018!$M$2:$M$45,"Clos")</f>
        <v>16</v>
      </c>
      <c r="X15" s="38">
        <f>COUNTIF(Aout_2018!$M$2:$M$45,"Clos")</f>
        <v>22</v>
      </c>
      <c r="Y15" s="38">
        <f>COUNTIF(Septembre_2018!$M$2:$M$20,"Clos")</f>
        <v>15</v>
      </c>
      <c r="Z15" s="38">
        <f>COUNTIF(Octobre_2018!$M$2:$M$41,"Clos")</f>
        <v>39</v>
      </c>
      <c r="AA15" s="38">
        <f>COUNTIF(Novembre_2018!$M$2:$M$48,"Clos")</f>
        <v>47</v>
      </c>
      <c r="AB15" s="38">
        <f>COUNTIF(Decembre_2018!$M$2:$M$54,"Clos")</f>
        <v>52</v>
      </c>
      <c r="AD15" s="66" t="s">
        <v>764</v>
      </c>
      <c r="AE15" s="14"/>
      <c r="AF15" s="14"/>
      <c r="AG15" s="14"/>
      <c r="AH15" s="14"/>
      <c r="AI15" s="14"/>
      <c r="AJ15" s="14"/>
      <c r="AK15" s="14"/>
      <c r="AL15" s="14"/>
      <c r="AM15" s="14"/>
      <c r="AN15" s="14"/>
      <c r="AO15" s="14"/>
    </row>
    <row r="16" spans="1:42" x14ac:dyDescent="0.4">
      <c r="A16" s="65" t="s">
        <v>261</v>
      </c>
      <c r="B16" s="14"/>
      <c r="C16" s="75">
        <f>COUNTIF(Janvier_2018!$E$2:$E$32,"*Data mobile*")</f>
        <v>2</v>
      </c>
      <c r="D16" s="38">
        <f>COUNTIF(Février_2018!$E$2:$E$45,"*Data mobile*")</f>
        <v>2</v>
      </c>
      <c r="E16" s="38">
        <f>COUNTIF(Mars_2018!$E$2:$E$45,"*Data mobile*")</f>
        <v>2</v>
      </c>
      <c r="F16" s="38">
        <f>COUNTIF(Avril_2018!$E$2:$E$45,"*Data mobile*")</f>
        <v>2</v>
      </c>
      <c r="G16" s="38">
        <f>COUNTIF(Mai_2018!$E$2:$E$45,"*Data mobile*")</f>
        <v>0</v>
      </c>
      <c r="H16" s="38">
        <f>COUNTIF(Juin_2018!$E$2:$E$45,"*Data mobile*")</f>
        <v>0</v>
      </c>
      <c r="I16" s="38">
        <f>COUNTIF(Juillet_2018!$E$2:$E$45,"*Data mobile*")</f>
        <v>1</v>
      </c>
      <c r="J16" s="38">
        <f>COUNTIF(Aout_2018!$E$2:$E$45,"*Data mobile*")</f>
        <v>1</v>
      </c>
      <c r="K16" s="38">
        <f>COUNTIF(Septembre_2018!$E$2:$E$45,"*Data mobile*")</f>
        <v>3</v>
      </c>
      <c r="L16" s="38">
        <f>COUNTIF(Octobre_2018!$E$2:$E$46,"*Data mobile*")</f>
        <v>1</v>
      </c>
      <c r="M16" s="38">
        <f>COUNTIF(Novembre_2018!$I$2:$I$48,"*Data mobile*")</f>
        <v>0</v>
      </c>
      <c r="N16" s="38">
        <f>COUNTIF(Novembre_2018!$I$2:$I$54,"*Data mobile*")</f>
        <v>0</v>
      </c>
      <c r="P16" s="66" t="s">
        <v>765</v>
      </c>
      <c r="Q16" s="38">
        <f>COUNTIF(Janvier_2018!$M$2:$M$45,"gele")</f>
        <v>0</v>
      </c>
      <c r="R16" s="38">
        <f>COUNTIF(Février_2018!$M$2:$M$45,"gele")</f>
        <v>0</v>
      </c>
      <c r="S16" s="38">
        <f>COUNTIF(Mars_2018!$M$2:$M$45,"gele")</f>
        <v>0</v>
      </c>
      <c r="T16" s="38">
        <f>COUNTIF(Avril_2018!$M$2:$M$45,"gele")</f>
        <v>0</v>
      </c>
      <c r="U16" s="38">
        <f>COUNTIF(Mai_2018!$M$2:$M$45,"gele")</f>
        <v>0</v>
      </c>
      <c r="V16" s="38">
        <f>COUNTIF(Juin_2018!$M$2:$M$45,"gele")</f>
        <v>0</v>
      </c>
      <c r="W16" s="38">
        <f>COUNTIF(Juillet_2018!$M$2:$M$45,"gele")</f>
        <v>0</v>
      </c>
      <c r="X16" s="38">
        <f>COUNTIF(Aout_2018!$M$2:$M$45,"gele")</f>
        <v>0</v>
      </c>
      <c r="Y16" s="38">
        <f>COUNTIF(Septembre_2018!$M$2:$M$20,"gele")</f>
        <v>0</v>
      </c>
      <c r="Z16" s="38">
        <f>COUNTIF(Octobre_2018!$M$2:$M$41,"gele")</f>
        <v>0</v>
      </c>
      <c r="AA16" s="38">
        <f>COUNTIF(Novembre_2018!$M$2:$M$48,"gele")</f>
        <v>0</v>
      </c>
      <c r="AB16" s="38">
        <f>COUNTIF(Decembre_2018!$M$2:$M$53,"gele")</f>
        <v>0</v>
      </c>
    </row>
    <row r="17" spans="1:18" x14ac:dyDescent="0.4">
      <c r="A17" s="65" t="s">
        <v>542</v>
      </c>
      <c r="B17" s="14"/>
      <c r="C17" s="75">
        <f>COUNTIF(Janvier_2018!$E$2:$E$32,"*VOIX*")</f>
        <v>2</v>
      </c>
      <c r="D17" s="38">
        <f>COUNTIF(Février_2018!$E$2:$E$45,"*VOIX*")</f>
        <v>0</v>
      </c>
      <c r="E17" s="38">
        <f>COUNTIF(Mars_2018!$E$2:$E$45,"*VOIX*")</f>
        <v>1</v>
      </c>
      <c r="F17" s="38">
        <f>COUNTIF(Avril_2018!$E$2:$E$45,"*VOIX*")</f>
        <v>0</v>
      </c>
      <c r="G17" s="38">
        <f>COUNTIF(Mai_2018!$E$2:$E$45,"*VOIX*")</f>
        <v>1</v>
      </c>
      <c r="H17" s="38">
        <f>COUNTIF(Juin_2018!$E$2:$E$45,"*VOIX*")</f>
        <v>3</v>
      </c>
      <c r="I17" s="38">
        <f>COUNTIF(Juillet_2018!$E$2:$E$45,"*VOIX*")</f>
        <v>2</v>
      </c>
      <c r="J17" s="38">
        <f>COUNTIF(Aout_2018!$E$2:$E$45,"*VOIX*")</f>
        <v>0</v>
      </c>
      <c r="K17" s="38">
        <f>COUNTIF(Septembre_2018!$E$2:$E$45,"*VOIX*")</f>
        <v>0</v>
      </c>
      <c r="L17" s="38">
        <f>COUNTIF(Octobre_2018!$E$2:$E$46,"*VOIX*")</f>
        <v>0</v>
      </c>
      <c r="M17" s="38">
        <f>COUNTIF(Novembre_2018!$I$2:$I$48,"*VOIX*")</f>
        <v>3</v>
      </c>
      <c r="N17" s="38">
        <f>COUNTIF(Novembre_2018!$I$2:$I$54,"*VOIX*")</f>
        <v>3</v>
      </c>
    </row>
    <row r="18" spans="1:18" x14ac:dyDescent="0.4">
      <c r="A18" s="65" t="s">
        <v>766</v>
      </c>
      <c r="B18" s="14"/>
      <c r="C18" s="75">
        <f>COUNTIF(Janvier_2018!$E$2:$E$32,"*SMS*")</f>
        <v>1</v>
      </c>
      <c r="D18" s="38">
        <f>COUNTIF(Février_2018!$E$2:$E$45,"*SMS*")</f>
        <v>4</v>
      </c>
      <c r="E18" s="38">
        <f>COUNTIF(Mars_2018!$E$2:$E$45,"*SMS*")</f>
        <v>0</v>
      </c>
      <c r="F18" s="38">
        <f>COUNTIF(Avril_2018!$E$2:$E$45,"*SMS*")</f>
        <v>3</v>
      </c>
      <c r="G18" s="38">
        <f>COUNTIF(Mai_2018!$E$2:$E$45,"*SMS*")</f>
        <v>2</v>
      </c>
      <c r="H18" s="38">
        <f>COUNTIF(Juin_2018!$E$2:$E$45,"*SMS*")</f>
        <v>1</v>
      </c>
      <c r="I18" s="38">
        <f>COUNTIF(Juillet_2018!$E$2:$E$45,"*SMS*")</f>
        <v>2</v>
      </c>
      <c r="J18" s="38">
        <f>COUNTIF(Aout_2018!$E$2:$E$45,"*SMS*")</f>
        <v>0</v>
      </c>
      <c r="K18" s="38">
        <f>COUNTIF(Septembre_2018!$E$2:$E$45,"*SMS*")</f>
        <v>1</v>
      </c>
      <c r="L18" s="38">
        <f>COUNTIF(Octobre_2018!$E$2:$E$46,"*SMS*")</f>
        <v>1</v>
      </c>
      <c r="M18" s="38">
        <f>COUNTIF(Novembre_2018!$I$2:$I$48,"*SMS*")</f>
        <v>5</v>
      </c>
      <c r="N18" s="38">
        <f>COUNTIF(Novembre_2018!$I$2:$I$54,"*SMS*")</f>
        <v>5</v>
      </c>
    </row>
    <row r="19" spans="1:18" x14ac:dyDescent="0.4">
      <c r="A19" s="65" t="s">
        <v>767</v>
      </c>
      <c r="B19" s="14"/>
      <c r="C19" s="82">
        <f>C4-(C14+C15+C16+C17+C18+C20+C21+C22)</f>
        <v>10</v>
      </c>
      <c r="D19" s="82">
        <f>D4-(D14+D15+D16+D17+D18+D20+D21+D22)</f>
        <v>13</v>
      </c>
      <c r="E19" s="82">
        <f t="shared" ref="E19:K19" si="1">E4-(E14+E15+E16+E17+E18+E20+E21+E22)</f>
        <v>17</v>
      </c>
      <c r="F19" s="82">
        <f t="shared" si="1"/>
        <v>14</v>
      </c>
      <c r="G19" s="82">
        <f t="shared" si="1"/>
        <v>9</v>
      </c>
      <c r="H19" s="82">
        <f t="shared" si="1"/>
        <v>16</v>
      </c>
      <c r="I19" s="82">
        <f t="shared" si="1"/>
        <v>2</v>
      </c>
      <c r="J19" s="82">
        <f t="shared" si="1"/>
        <v>4</v>
      </c>
      <c r="K19" s="82">
        <f t="shared" si="1"/>
        <v>7</v>
      </c>
      <c r="L19" s="82">
        <f>L4-(L14+L15+L16+L17+L18+L20+L21+L22)</f>
        <v>16</v>
      </c>
      <c r="M19" s="82">
        <f>M4-(M14+M15+M16+M17+M18+M20+M21+M22)</f>
        <v>8</v>
      </c>
      <c r="N19" s="82">
        <f>N4-(N14+N15+N16+N17+N18+N20+N21+N22)</f>
        <v>14</v>
      </c>
    </row>
    <row r="20" spans="1:18" x14ac:dyDescent="0.4">
      <c r="A20" s="65" t="s">
        <v>768</v>
      </c>
      <c r="B20" s="14"/>
      <c r="C20" s="75">
        <f>COUNTIF(Janvier_2018!$E$2:$E$45,"*Roaming voix*")</f>
        <v>0</v>
      </c>
      <c r="D20" s="75">
        <f>COUNTIF(Février_2018!$E$2:$E$45,"*Roaming voix*")</f>
        <v>0</v>
      </c>
      <c r="E20" s="75">
        <f>COUNTIF(Mars_2018!$E$2:$E$45,"*Roaming voix*")</f>
        <v>0</v>
      </c>
      <c r="F20" s="75">
        <f>COUNTIF(Avril_2018!$E$2:$E$45,"*Roaming voix*")</f>
        <v>0</v>
      </c>
      <c r="G20" s="75">
        <f>COUNTIF(Mai_2018!$E$2:$E$45,"*Roaming voix*")</f>
        <v>0</v>
      </c>
      <c r="H20" s="75">
        <f>COUNTIF(Juin_2018!$E$2:$E$45,"*Roaming voix*")</f>
        <v>0</v>
      </c>
      <c r="I20" s="75">
        <f>COUNTIF(Juillet_2018!$E$2:$E$45,"*Roaming voix*")</f>
        <v>0</v>
      </c>
      <c r="J20" s="75">
        <f>COUNTIF(Aout_2018!$E$2:$E$45,"*Roaming voix*")</f>
        <v>0</v>
      </c>
      <c r="K20" s="75">
        <f>COUNTIF(Septembre_2018!$E$2:$E$45,"*Roaming voix*")</f>
        <v>0</v>
      </c>
      <c r="L20" s="75">
        <f>COUNTIF(Octobre_2018!$E$2:$E$46,"*Roaming voix*")</f>
        <v>0</v>
      </c>
      <c r="M20" s="75">
        <f>COUNTIF(Novembre_2018!$I$2:$I$48,"*Roaming voix*")</f>
        <v>0</v>
      </c>
      <c r="N20" s="75">
        <f>COUNTIF(Novembre_2018!$I$2:$I$54,"*Roaming voix*")</f>
        <v>0</v>
      </c>
      <c r="P20" s="1"/>
      <c r="Q20" s="1"/>
      <c r="R20" s="1"/>
    </row>
    <row r="21" spans="1:18" x14ac:dyDescent="0.4">
      <c r="A21" s="65" t="s">
        <v>112</v>
      </c>
      <c r="B21" s="48"/>
      <c r="C21" s="75">
        <f>COUNTIF(Janvier_2018!$E$2:$E$45,"*Roaming data*")</f>
        <v>0</v>
      </c>
      <c r="D21" s="75">
        <f>COUNTIF(Février_2018!$E$2:$E$45,"*Roaming data*")</f>
        <v>1</v>
      </c>
      <c r="E21" s="75">
        <f>COUNTIF(Mars_2018!$E$2:$E$45,"*Roaming data*")</f>
        <v>0</v>
      </c>
      <c r="F21" s="75">
        <f>COUNTIF(Avril_2018!$E$2:$E$45,"*Roaming data*")</f>
        <v>0</v>
      </c>
      <c r="G21" s="75">
        <f>COUNTIF(Mai_2018!$E$2:$E$45,"*Roaming data*")</f>
        <v>0</v>
      </c>
      <c r="H21" s="75">
        <f>COUNTIF(Juin_2018!$E$2:$E$45,"*Roaming data*")</f>
        <v>0</v>
      </c>
      <c r="I21" s="75">
        <f>COUNTIF(Juillet_2018!$E$2:$E$45,"*Roaming data*")</f>
        <v>0</v>
      </c>
      <c r="J21" s="75">
        <f>COUNTIF(Aout_2018!$E$2:$E$45,"*Roaming data*")</f>
        <v>1</v>
      </c>
      <c r="K21" s="75">
        <f>COUNTIF(Septembre_2018!$E$2:$E$45,"*Roaming data*")</f>
        <v>0</v>
      </c>
      <c r="L21" s="75">
        <f>COUNTIF(Octobre_2018!$E$2:$E$46,"*Roaming data*")</f>
        <v>0</v>
      </c>
      <c r="M21" s="75">
        <f>COUNTIF(Novembre_2018!$I$2:$I$48,"*Roaming data*")</f>
        <v>0</v>
      </c>
      <c r="N21" s="75">
        <f>COUNTIF(Novembre_2018!$I$2:$I$54,"*Roaming data*")</f>
        <v>0</v>
      </c>
      <c r="P21" s="1"/>
      <c r="Q21" s="1"/>
      <c r="R21" s="1"/>
    </row>
    <row r="22" spans="1:18" x14ac:dyDescent="0.4">
      <c r="A22" s="65" t="s">
        <v>769</v>
      </c>
      <c r="B22" s="48"/>
      <c r="C22" s="75">
        <f>COUNTIF(Janvier_2018!$E$2:$E$45,"*Roaming sms*")</f>
        <v>0</v>
      </c>
      <c r="D22" s="75">
        <f>COUNTIF(Février_2018!$E$2:$E$45,"*Roaming sms*")</f>
        <v>0</v>
      </c>
      <c r="E22" s="75">
        <f>COUNTIF(Mars_2018!$E$2:$E$45,"*Roaming sms*")</f>
        <v>0</v>
      </c>
      <c r="F22" s="75">
        <f>COUNTIF(Avril_2018!$E$2:$E$45,"*Roaming sms*")</f>
        <v>0</v>
      </c>
      <c r="G22" s="75">
        <f>COUNTIF(Mai_2018!$E$2:$E$45,"*Roaming sms*")</f>
        <v>0</v>
      </c>
      <c r="H22" s="75">
        <f>COUNTIF(Juin_2018!$E$2:$E$45,"*Roaming sms*")</f>
        <v>0</v>
      </c>
      <c r="I22" s="75">
        <f>COUNTIF(Juillet_2018!$E$2:$E$45,"*Roaming sms*")</f>
        <v>0</v>
      </c>
      <c r="J22" s="75">
        <f>COUNTIF(Aout_2018!$E$2:$E$45,"*Roaming sms*")</f>
        <v>0</v>
      </c>
      <c r="K22" s="75">
        <f>COUNTIF(Septembre_2018!$E$2:$E$45,"*Roaming sms*")</f>
        <v>0</v>
      </c>
      <c r="L22" s="75">
        <f>COUNTIF(Octobre_2018!$E$2:$E$46,"*Roaming sms*")</f>
        <v>0</v>
      </c>
      <c r="M22" s="75">
        <f>COUNTIF(Novembre_2018!$I$2:$I$48,"*Roaming sms*")</f>
        <v>0</v>
      </c>
      <c r="N22" s="75">
        <f>COUNTIF(Novembre_2018!$I$2:$I$54,"*Roaming sms*")</f>
        <v>0</v>
      </c>
      <c r="P22" s="1"/>
      <c r="Q22" s="1"/>
      <c r="R22" s="1"/>
    </row>
    <row r="23" spans="1:18" x14ac:dyDescent="0.4">
      <c r="P23" s="1"/>
      <c r="Q23" s="1"/>
      <c r="R23" s="1"/>
    </row>
    <row r="24" spans="1:18" x14ac:dyDescent="0.4">
      <c r="P24" s="1"/>
      <c r="Q24" s="1"/>
      <c r="R24" s="1"/>
    </row>
  </sheetData>
  <sheetProtection insertColumns="0" insertRows="0" deleteColumns="0" deleteRows="0"/>
  <pageMargins left="0.7" right="0.7" top="0.75" bottom="0.75" header="0.3" footer="0.3"/>
  <pageSetup paperSize="9" orientation="portrait" r:id="rId1"/>
  <ignoredErrors>
    <ignoredError sqref="C18" formula="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12">
    <tabColor rgb="FF00B050"/>
  </sheetPr>
  <dimension ref="A2:AB8"/>
  <sheetViews>
    <sheetView workbookViewId="0">
      <pane xSplit="1" topLeftCell="P1" activePane="topRight" state="frozen"/>
      <selection pane="topRight" activeCell="AB4" sqref="AB4"/>
    </sheetView>
  </sheetViews>
  <sheetFormatPr baseColWidth="10" defaultRowHeight="14.6" x14ac:dyDescent="0.4"/>
  <cols>
    <col min="1" max="1" width="93.4609375" customWidth="1"/>
    <col min="2" max="28" width="6.07421875" bestFit="1" customWidth="1"/>
  </cols>
  <sheetData>
    <row r="2" spans="1:28" ht="15" thickBot="1" x14ac:dyDescent="0.45"/>
    <row r="3" spans="1:28" x14ac:dyDescent="0.4">
      <c r="A3" s="67" t="s">
        <v>770</v>
      </c>
      <c r="B3" s="68" t="s">
        <v>720</v>
      </c>
      <c r="C3" s="68" t="s">
        <v>721</v>
      </c>
      <c r="D3" s="68" t="s">
        <v>722</v>
      </c>
      <c r="E3" s="68" t="s">
        <v>723</v>
      </c>
      <c r="F3" s="68" t="s">
        <v>724</v>
      </c>
      <c r="G3" s="68" t="s">
        <v>725</v>
      </c>
      <c r="H3" s="68" t="s">
        <v>726</v>
      </c>
      <c r="I3" s="68" t="s">
        <v>727</v>
      </c>
      <c r="J3" s="68" t="s">
        <v>728</v>
      </c>
      <c r="K3" s="68" t="s">
        <v>729</v>
      </c>
      <c r="L3" s="68" t="s">
        <v>730</v>
      </c>
      <c r="M3" s="68" t="s">
        <v>731</v>
      </c>
      <c r="N3" s="68" t="s">
        <v>732</v>
      </c>
      <c r="O3" s="68" t="s">
        <v>733</v>
      </c>
      <c r="P3" s="68" t="s">
        <v>734</v>
      </c>
      <c r="Q3" s="68" t="s">
        <v>735</v>
      </c>
      <c r="R3" s="68" t="s">
        <v>736</v>
      </c>
      <c r="S3" s="68" t="s">
        <v>737</v>
      </c>
      <c r="T3" s="68" t="s">
        <v>738</v>
      </c>
      <c r="U3" s="69" t="s">
        <v>739</v>
      </c>
      <c r="V3" s="69" t="s">
        <v>1235</v>
      </c>
      <c r="W3" s="69" t="s">
        <v>1236</v>
      </c>
      <c r="X3" s="69" t="s">
        <v>1315</v>
      </c>
      <c r="Y3" s="69" t="s">
        <v>1333</v>
      </c>
      <c r="Z3" s="69" t="s">
        <v>1353</v>
      </c>
      <c r="AA3" s="69" t="s">
        <v>1367</v>
      </c>
      <c r="AB3" s="69" t="s">
        <v>1390</v>
      </c>
    </row>
    <row r="4" spans="1:28" ht="20.6" x14ac:dyDescent="0.4">
      <c r="A4" s="16" t="s">
        <v>771</v>
      </c>
      <c r="B4" s="74">
        <v>1</v>
      </c>
      <c r="C4" s="74">
        <v>1</v>
      </c>
      <c r="D4" s="74">
        <v>1</v>
      </c>
      <c r="E4" s="74">
        <v>1</v>
      </c>
      <c r="F4" s="74">
        <v>1</v>
      </c>
      <c r="G4" s="74">
        <v>1</v>
      </c>
      <c r="H4" s="74">
        <v>1</v>
      </c>
      <c r="I4" s="74">
        <v>1</v>
      </c>
      <c r="J4" s="74">
        <v>1</v>
      </c>
      <c r="K4" s="74">
        <v>1</v>
      </c>
      <c r="L4" s="74">
        <v>1</v>
      </c>
      <c r="M4" s="74">
        <v>1</v>
      </c>
      <c r="N4" s="74">
        <v>1</v>
      </c>
      <c r="O4" s="74">
        <v>1</v>
      </c>
      <c r="P4" s="74">
        <v>1</v>
      </c>
      <c r="Q4" s="74">
        <v>1</v>
      </c>
      <c r="R4" s="74">
        <v>1</v>
      </c>
      <c r="S4" s="74">
        <v>1</v>
      </c>
      <c r="T4" s="74">
        <v>1</v>
      </c>
      <c r="U4" s="74">
        <v>1</v>
      </c>
      <c r="V4" s="74" t="s">
        <v>849</v>
      </c>
      <c r="W4" s="74" t="s">
        <v>849</v>
      </c>
      <c r="X4" s="74" t="s">
        <v>849</v>
      </c>
      <c r="Y4" s="74" t="s">
        <v>849</v>
      </c>
      <c r="Z4" s="74" t="s">
        <v>849</v>
      </c>
      <c r="AA4" s="74" t="s">
        <v>849</v>
      </c>
      <c r="AB4" s="74" t="s">
        <v>849</v>
      </c>
    </row>
    <row r="5" spans="1:28" ht="23.25" customHeight="1" x14ac:dyDescent="0.4">
      <c r="A5" s="16" t="s">
        <v>980</v>
      </c>
      <c r="B5" s="74">
        <v>1</v>
      </c>
      <c r="C5" s="74">
        <v>1</v>
      </c>
      <c r="D5" s="74">
        <v>1</v>
      </c>
      <c r="E5" s="74">
        <v>1</v>
      </c>
      <c r="F5" s="74">
        <v>1</v>
      </c>
      <c r="G5" s="74">
        <v>1</v>
      </c>
      <c r="H5" s="74">
        <v>1</v>
      </c>
      <c r="I5" s="74">
        <v>1</v>
      </c>
      <c r="J5" s="74">
        <v>1</v>
      </c>
      <c r="K5" s="74">
        <v>1</v>
      </c>
      <c r="L5" s="74">
        <v>1</v>
      </c>
      <c r="M5" s="74">
        <v>1</v>
      </c>
      <c r="N5" s="74">
        <v>1</v>
      </c>
      <c r="O5" s="74">
        <v>1</v>
      </c>
      <c r="P5" s="74">
        <v>1</v>
      </c>
      <c r="Q5" s="74">
        <v>1</v>
      </c>
      <c r="R5" s="74">
        <v>1</v>
      </c>
      <c r="S5" s="74">
        <v>1</v>
      </c>
      <c r="T5" s="74">
        <v>1</v>
      </c>
      <c r="U5" s="74">
        <v>1</v>
      </c>
      <c r="V5" s="74">
        <v>1</v>
      </c>
      <c r="W5" s="74">
        <v>1</v>
      </c>
      <c r="X5" s="74">
        <v>1</v>
      </c>
      <c r="Y5" s="74">
        <v>1</v>
      </c>
      <c r="Z5" s="74">
        <v>1</v>
      </c>
      <c r="AA5" s="74">
        <v>1</v>
      </c>
      <c r="AB5" s="74">
        <v>1</v>
      </c>
    </row>
    <row r="6" spans="1:28" x14ac:dyDescent="0.4">
      <c r="A6" s="70" t="s">
        <v>772</v>
      </c>
      <c r="B6" s="81" t="s">
        <v>849</v>
      </c>
      <c r="C6" s="81" t="s">
        <v>849</v>
      </c>
      <c r="D6" s="81" t="s">
        <v>849</v>
      </c>
      <c r="E6" s="81" t="s">
        <v>849</v>
      </c>
      <c r="F6" s="81" t="s">
        <v>849</v>
      </c>
      <c r="G6" s="81" t="s">
        <v>849</v>
      </c>
      <c r="H6" s="81" t="s">
        <v>849</v>
      </c>
      <c r="I6" s="74">
        <v>1</v>
      </c>
      <c r="J6" s="92" t="s">
        <v>849</v>
      </c>
      <c r="K6" s="92" t="s">
        <v>849</v>
      </c>
      <c r="L6" s="92" t="s">
        <v>849</v>
      </c>
      <c r="M6" s="74">
        <v>1</v>
      </c>
      <c r="N6" s="92" t="s">
        <v>849</v>
      </c>
      <c r="O6" s="92" t="s">
        <v>849</v>
      </c>
      <c r="P6" s="74">
        <v>1</v>
      </c>
      <c r="Q6" s="74">
        <v>1</v>
      </c>
      <c r="R6" s="92" t="s">
        <v>849</v>
      </c>
      <c r="S6" s="74">
        <v>1</v>
      </c>
      <c r="T6" s="92" t="s">
        <v>849</v>
      </c>
      <c r="U6" s="74">
        <v>1</v>
      </c>
      <c r="V6" s="92" t="s">
        <v>849</v>
      </c>
      <c r="W6" s="92" t="s">
        <v>849</v>
      </c>
      <c r="X6" s="92" t="s">
        <v>849</v>
      </c>
      <c r="Y6" s="92" t="s">
        <v>849</v>
      </c>
      <c r="Z6" s="92" t="s">
        <v>849</v>
      </c>
      <c r="AA6" s="92" t="s">
        <v>849</v>
      </c>
      <c r="AB6" s="92" t="s">
        <v>849</v>
      </c>
    </row>
    <row r="7" spans="1:28" x14ac:dyDescent="0.4">
      <c r="A7" s="71" t="s">
        <v>773</v>
      </c>
      <c r="B7" s="38" t="s">
        <v>848</v>
      </c>
      <c r="C7" s="38" t="s">
        <v>848</v>
      </c>
      <c r="D7" s="38" t="s">
        <v>848</v>
      </c>
      <c r="E7" s="38" t="s">
        <v>848</v>
      </c>
      <c r="F7" s="38" t="s">
        <v>848</v>
      </c>
      <c r="G7" s="38" t="s">
        <v>848</v>
      </c>
      <c r="H7" s="38" t="s">
        <v>848</v>
      </c>
      <c r="I7" s="74">
        <v>1</v>
      </c>
      <c r="J7" s="38" t="s">
        <v>848</v>
      </c>
      <c r="K7" s="38" t="s">
        <v>848</v>
      </c>
      <c r="L7" s="38" t="s">
        <v>848</v>
      </c>
      <c r="M7" s="38" t="s">
        <v>848</v>
      </c>
      <c r="N7" s="38" t="s">
        <v>848</v>
      </c>
      <c r="O7" s="38" t="s">
        <v>848</v>
      </c>
      <c r="P7" s="38" t="s">
        <v>848</v>
      </c>
      <c r="Q7" s="38" t="s">
        <v>848</v>
      </c>
      <c r="R7" s="74">
        <v>1</v>
      </c>
      <c r="S7" s="38" t="s">
        <v>848</v>
      </c>
      <c r="T7" s="38" t="s">
        <v>848</v>
      </c>
      <c r="U7" s="38" t="s">
        <v>848</v>
      </c>
      <c r="V7" s="38" t="s">
        <v>848</v>
      </c>
      <c r="W7" s="38" t="s">
        <v>848</v>
      </c>
      <c r="X7" s="38" t="s">
        <v>848</v>
      </c>
      <c r="Y7" s="38" t="s">
        <v>848</v>
      </c>
      <c r="Z7" s="38" t="s">
        <v>848</v>
      </c>
      <c r="AA7" s="38" t="s">
        <v>848</v>
      </c>
      <c r="AB7" s="38" t="s">
        <v>848</v>
      </c>
    </row>
    <row r="8" spans="1:28" x14ac:dyDescent="0.4">
      <c r="A8" s="71" t="s">
        <v>774</v>
      </c>
      <c r="B8" s="74">
        <v>1</v>
      </c>
      <c r="C8" s="74">
        <v>1</v>
      </c>
      <c r="D8" s="74">
        <v>1</v>
      </c>
      <c r="E8" s="74">
        <v>1</v>
      </c>
      <c r="F8" s="74">
        <v>1</v>
      </c>
      <c r="G8" s="74">
        <v>1</v>
      </c>
      <c r="H8" s="74">
        <v>1</v>
      </c>
      <c r="I8" s="74">
        <v>1</v>
      </c>
      <c r="J8" s="74">
        <v>1</v>
      </c>
      <c r="K8" s="74">
        <v>1</v>
      </c>
      <c r="L8" s="74">
        <v>1</v>
      </c>
      <c r="M8" s="74">
        <v>1</v>
      </c>
      <c r="N8" s="74">
        <v>1</v>
      </c>
      <c r="O8" s="74">
        <v>1</v>
      </c>
      <c r="P8" s="74">
        <v>1</v>
      </c>
      <c r="Q8" s="74">
        <v>1</v>
      </c>
      <c r="R8" s="74">
        <v>1</v>
      </c>
      <c r="S8" s="74">
        <v>1</v>
      </c>
      <c r="T8" s="74">
        <v>1</v>
      </c>
      <c r="U8" s="74">
        <v>1</v>
      </c>
      <c r="V8" s="74">
        <v>1</v>
      </c>
      <c r="W8" s="74">
        <v>1</v>
      </c>
      <c r="X8" s="74">
        <v>1</v>
      </c>
      <c r="Y8" s="74">
        <v>1</v>
      </c>
      <c r="Z8" s="74">
        <v>1</v>
      </c>
      <c r="AA8" s="74">
        <v>1</v>
      </c>
      <c r="AB8" s="74">
        <v>1</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1">
    <tabColor theme="3"/>
  </sheetPr>
  <dimension ref="A1:O52"/>
  <sheetViews>
    <sheetView zoomScale="93" zoomScaleNormal="100" workbookViewId="0">
      <pane xSplit="7" topLeftCell="J1" activePane="topRight" state="frozen"/>
      <selection pane="topRight" activeCell="F14" sqref="F14"/>
    </sheetView>
  </sheetViews>
  <sheetFormatPr baseColWidth="10" defaultColWidth="11.4609375" defaultRowHeight="10.3" x14ac:dyDescent="0.25"/>
  <cols>
    <col min="1" max="1" width="3" style="1" bestFit="1" customWidth="1"/>
    <col min="2" max="2" width="9.84375" style="1" bestFit="1" customWidth="1"/>
    <col min="3" max="3" width="6.84375" style="1" bestFit="1" customWidth="1"/>
    <col min="4" max="4" width="9.07421875" style="1" bestFit="1" customWidth="1"/>
    <col min="5" max="5" width="35.53515625" style="1" bestFit="1" customWidth="1"/>
    <col min="6" max="6" width="19.69140625" style="1" bestFit="1" customWidth="1"/>
    <col min="7" max="7" width="17" style="1" bestFit="1" customWidth="1"/>
    <col min="8" max="8" width="10.07421875" style="1" bestFit="1" customWidth="1"/>
    <col min="9" max="9" width="41.4609375" style="1" customWidth="1"/>
    <col min="10" max="10" width="35.69140625" style="1" customWidth="1"/>
    <col min="11" max="11" width="34.4609375" style="1" customWidth="1"/>
    <col min="12" max="12" width="9.4609375" style="1" bestFit="1" customWidth="1"/>
    <col min="13" max="13" width="8.84375" style="1" customWidth="1"/>
    <col min="14" max="16384" width="11.4609375" style="1"/>
  </cols>
  <sheetData>
    <row r="1" spans="1:15" ht="12.45" x14ac:dyDescent="0.25">
      <c r="A1" s="6" t="s">
        <v>0</v>
      </c>
      <c r="B1" s="6" t="s">
        <v>679</v>
      </c>
      <c r="C1" s="6" t="s">
        <v>680</v>
      </c>
      <c r="D1" s="6" t="s">
        <v>700</v>
      </c>
      <c r="E1" s="6" t="s">
        <v>696</v>
      </c>
      <c r="F1" s="6" t="s">
        <v>695</v>
      </c>
      <c r="G1" s="6" t="s">
        <v>694</v>
      </c>
      <c r="H1" s="6" t="s">
        <v>681</v>
      </c>
      <c r="I1" s="6" t="s">
        <v>395</v>
      </c>
      <c r="J1" s="6" t="s">
        <v>682</v>
      </c>
      <c r="K1" s="6" t="s">
        <v>683</v>
      </c>
      <c r="L1" s="7" t="s">
        <v>699</v>
      </c>
      <c r="M1" s="6" t="s">
        <v>684</v>
      </c>
      <c r="N1" s="6" t="s">
        <v>659</v>
      </c>
      <c r="O1" s="6" t="s">
        <v>888</v>
      </c>
    </row>
    <row r="2" spans="1:15" x14ac:dyDescent="0.25">
      <c r="A2" s="12">
        <v>1</v>
      </c>
      <c r="B2" s="12" t="s">
        <v>781</v>
      </c>
      <c r="C2" s="12" t="s">
        <v>2</v>
      </c>
      <c r="D2" s="10" t="s">
        <v>702</v>
      </c>
      <c r="E2" s="12" t="s">
        <v>40</v>
      </c>
      <c r="F2" s="13">
        <v>43095.461805555555</v>
      </c>
      <c r="G2" s="20" t="s">
        <v>782</v>
      </c>
      <c r="H2" s="12">
        <v>13283</v>
      </c>
      <c r="I2" s="10" t="s">
        <v>783</v>
      </c>
      <c r="J2" s="10" t="s">
        <v>784</v>
      </c>
      <c r="K2" s="10" t="s">
        <v>785</v>
      </c>
      <c r="L2" s="38" t="s">
        <v>707</v>
      </c>
      <c r="M2" s="10" t="s">
        <v>678</v>
      </c>
      <c r="N2" s="10"/>
      <c r="O2" s="10" t="str">
        <f>IF(AND(C2=Mai_2018!$B$47,H2&lt;=Mai_2018!$D$47),"ISLA",IF((AND(C2=Mai_2018!$B$48,H2&lt;=Mai_2018!$D$48)),"ISLA",IF((AND(C2=Mai_2018!$B$49,H2&lt;=Mai_2018!$D$49)),"ISLA","OSLA")))</f>
        <v>OSLA</v>
      </c>
    </row>
    <row r="3" spans="1:15" x14ac:dyDescent="0.25">
      <c r="A3" s="12">
        <v>2</v>
      </c>
      <c r="B3" s="12" t="s">
        <v>1</v>
      </c>
      <c r="C3" s="11" t="s">
        <v>2</v>
      </c>
      <c r="D3" s="10" t="s">
        <v>702</v>
      </c>
      <c r="E3" s="12" t="s">
        <v>790</v>
      </c>
      <c r="F3" s="20">
        <v>43101.097222222219</v>
      </c>
      <c r="G3" s="20">
        <v>43101.114583333336</v>
      </c>
      <c r="H3" s="12">
        <v>25</v>
      </c>
      <c r="I3" s="12" t="s">
        <v>3</v>
      </c>
      <c r="J3" s="12" t="s">
        <v>4</v>
      </c>
      <c r="K3" s="12" t="s">
        <v>5</v>
      </c>
      <c r="L3" s="37" t="s">
        <v>704</v>
      </c>
      <c r="M3" s="10" t="s">
        <v>678</v>
      </c>
      <c r="N3" s="12"/>
      <c r="O3" s="10" t="str">
        <f>IF(AND(C3=Mai_2018!$B$47,H3&lt;=Mai_2018!$D$47),"ISLA",IF((AND(C3=Mai_2018!$B$48,H3&lt;=Mai_2018!$D$48)),"ISLA",IF((AND(C3=Mai_2018!$B$49,H3&lt;=Mai_2018!$D$49)),"ISLA","OSLA")))</f>
        <v>ISLA</v>
      </c>
    </row>
    <row r="4" spans="1:15" x14ac:dyDescent="0.25">
      <c r="A4" s="12">
        <v>3</v>
      </c>
      <c r="B4" s="12" t="s">
        <v>6</v>
      </c>
      <c r="C4" s="12" t="s">
        <v>2</v>
      </c>
      <c r="D4" s="37" t="s">
        <v>701</v>
      </c>
      <c r="E4" s="12" t="s">
        <v>7</v>
      </c>
      <c r="F4" s="13">
        <v>43102.881944444445</v>
      </c>
      <c r="G4" s="13">
        <v>43103.315972222219</v>
      </c>
      <c r="H4" s="12">
        <v>625</v>
      </c>
      <c r="I4" s="12" t="s">
        <v>8</v>
      </c>
      <c r="J4" s="12" t="s">
        <v>9</v>
      </c>
      <c r="K4" s="12" t="s">
        <v>10</v>
      </c>
      <c r="L4" s="37" t="s">
        <v>701</v>
      </c>
      <c r="M4" s="10" t="s">
        <v>678</v>
      </c>
      <c r="N4" s="12"/>
      <c r="O4" s="10" t="str">
        <f>IF(AND(C4=Mai_2018!$B$47,H4&lt;=Mai_2018!$D$47),"ISLA",IF((AND(C4=Mai_2018!$B$48,H4&lt;=Mai_2018!$D$48)),"ISLA",IF((AND(C4=Mai_2018!$B$49,H4&lt;=Mai_2018!$D$49)),"ISLA","OSLA")))</f>
        <v>OSLA</v>
      </c>
    </row>
    <row r="5" spans="1:15" x14ac:dyDescent="0.25">
      <c r="A5" s="12">
        <v>4</v>
      </c>
      <c r="B5" s="12" t="s">
        <v>11</v>
      </c>
      <c r="C5" s="12" t="s">
        <v>2</v>
      </c>
      <c r="D5" s="37" t="s">
        <v>701</v>
      </c>
      <c r="E5" s="12" t="s">
        <v>12</v>
      </c>
      <c r="F5" s="13">
        <v>43102.881944444445</v>
      </c>
      <c r="G5" s="13">
        <v>43103.357638888891</v>
      </c>
      <c r="H5" s="12">
        <v>685</v>
      </c>
      <c r="I5" s="12" t="s">
        <v>12</v>
      </c>
      <c r="J5" s="12" t="s">
        <v>9</v>
      </c>
      <c r="K5" s="12" t="s">
        <v>10</v>
      </c>
      <c r="L5" s="37" t="s">
        <v>701</v>
      </c>
      <c r="M5" s="10" t="s">
        <v>678</v>
      </c>
      <c r="N5" s="17"/>
      <c r="O5" s="10" t="str">
        <f>IF(AND(C5=Mai_2018!$B$47,H5&lt;=Mai_2018!$D$47),"ISLA",IF((AND(C5=Mai_2018!$B$48,H5&lt;=Mai_2018!$D$48)),"ISLA",IF((AND(C5=Mai_2018!$B$49,H5&lt;=Mai_2018!$D$49)),"ISLA","OSLA")))</f>
        <v>OSLA</v>
      </c>
    </row>
    <row r="6" spans="1:15" x14ac:dyDescent="0.25">
      <c r="A6" s="12">
        <v>5</v>
      </c>
      <c r="B6" s="12" t="s">
        <v>13</v>
      </c>
      <c r="C6" s="12" t="s">
        <v>14</v>
      </c>
      <c r="D6" s="37" t="s">
        <v>701</v>
      </c>
      <c r="E6" s="12" t="s">
        <v>15</v>
      </c>
      <c r="F6" s="13">
        <v>43102.868055555555</v>
      </c>
      <c r="G6" s="13">
        <v>43103.310416666667</v>
      </c>
      <c r="H6" s="12">
        <v>637</v>
      </c>
      <c r="I6" s="10" t="s">
        <v>15</v>
      </c>
      <c r="J6" s="12" t="s">
        <v>9</v>
      </c>
      <c r="K6" s="12" t="s">
        <v>10</v>
      </c>
      <c r="L6" s="37" t="s">
        <v>701</v>
      </c>
      <c r="M6" s="10" t="s">
        <v>678</v>
      </c>
      <c r="N6" s="12"/>
      <c r="O6" s="10" t="str">
        <f>IF(AND(C6=Mai_2018!$B$47,H6&lt;=Mai_2018!$D$47),"ISLA",IF((AND(C6=Mai_2018!$B$48,H6&lt;=Mai_2018!$D$48)),"ISLA",IF((AND(C6=Mai_2018!$B$49,H6&lt;=Mai_2018!$D$49)),"ISLA","OSLA")))</f>
        <v>OSLA</v>
      </c>
    </row>
    <row r="7" spans="1:15" x14ac:dyDescent="0.25">
      <c r="A7" s="12">
        <v>6</v>
      </c>
      <c r="B7" s="12" t="s">
        <v>16</v>
      </c>
      <c r="C7" s="12" t="s">
        <v>2</v>
      </c>
      <c r="D7" s="37" t="s">
        <v>701</v>
      </c>
      <c r="E7" s="12" t="s">
        <v>17</v>
      </c>
      <c r="F7" s="13">
        <v>43103.784722222219</v>
      </c>
      <c r="G7" s="13">
        <v>43103.826388888891</v>
      </c>
      <c r="H7" s="12">
        <v>60</v>
      </c>
      <c r="I7" s="11" t="s">
        <v>61</v>
      </c>
      <c r="J7" s="12" t="s">
        <v>19</v>
      </c>
      <c r="K7" s="12" t="s">
        <v>88</v>
      </c>
      <c r="L7" s="37" t="s">
        <v>701</v>
      </c>
      <c r="M7" s="10" t="s">
        <v>678</v>
      </c>
      <c r="N7" s="12"/>
      <c r="O7" s="10" t="str">
        <f>IF(AND(C7=Mai_2018!$B$47,H7&lt;=Mai_2018!$D$47),"ISLA",IF((AND(C7=Mai_2018!$B$48,H7&lt;=Mai_2018!$D$48)),"ISLA",IF((AND(C7=Mai_2018!$B$49,H7&lt;=Mai_2018!$D$49)),"ISLA","OSLA")))</f>
        <v>ISLA</v>
      </c>
    </row>
    <row r="8" spans="1:15" ht="10.75" x14ac:dyDescent="0.25">
      <c r="A8" s="12">
        <v>7</v>
      </c>
      <c r="B8" s="12" t="s">
        <v>21</v>
      </c>
      <c r="C8" s="12" t="s">
        <v>2</v>
      </c>
      <c r="D8" s="10" t="s">
        <v>702</v>
      </c>
      <c r="E8" s="12" t="s">
        <v>691</v>
      </c>
      <c r="F8" s="13">
        <v>43104.640277777777</v>
      </c>
      <c r="G8" s="13">
        <v>43104.669444444444</v>
      </c>
      <c r="H8" s="12">
        <v>42</v>
      </c>
      <c r="I8" s="12" t="s">
        <v>22</v>
      </c>
      <c r="J8" s="12" t="s">
        <v>23</v>
      </c>
      <c r="K8" s="12" t="s">
        <v>24</v>
      </c>
      <c r="L8" s="37" t="s">
        <v>705</v>
      </c>
      <c r="M8" s="10" t="s">
        <v>678</v>
      </c>
      <c r="N8" s="12"/>
      <c r="O8" s="10" t="str">
        <f>IF(AND(C8=Mai_2018!$B$47,H8&lt;=Mai_2018!$D$47),"ISLA",IF((AND(C8=Mai_2018!$B$48,H8&lt;=Mai_2018!$D$48)),"ISLA",IF((AND(C8=Mai_2018!$B$49,H8&lt;=Mai_2018!$D$49)),"ISLA","OSLA")))</f>
        <v>ISLA</v>
      </c>
    </row>
    <row r="9" spans="1:15" x14ac:dyDescent="0.25">
      <c r="A9" s="12">
        <v>8</v>
      </c>
      <c r="B9" s="10" t="s">
        <v>25</v>
      </c>
      <c r="C9" s="10" t="s">
        <v>2</v>
      </c>
      <c r="D9" s="37" t="s">
        <v>701</v>
      </c>
      <c r="E9" s="12" t="s">
        <v>17</v>
      </c>
      <c r="F9" s="26">
        <v>43108.79583333333</v>
      </c>
      <c r="G9" s="26">
        <v>43108.837500000001</v>
      </c>
      <c r="H9" s="10">
        <v>60</v>
      </c>
      <c r="I9" s="11" t="s">
        <v>61</v>
      </c>
      <c r="J9" s="12" t="s">
        <v>19</v>
      </c>
      <c r="K9" s="12" t="s">
        <v>88</v>
      </c>
      <c r="L9" s="37" t="s">
        <v>701</v>
      </c>
      <c r="M9" s="10" t="s">
        <v>678</v>
      </c>
      <c r="N9" s="12"/>
      <c r="O9" s="10" t="str">
        <f>IF(AND(C9=Mai_2018!$B$47,H9&lt;=Mai_2018!$D$47),"ISLA",IF((AND(C9=Mai_2018!$B$48,H9&lt;=Mai_2018!$D$48)),"ISLA",IF((AND(C9=Mai_2018!$B$49,H9&lt;=Mai_2018!$D$49)),"ISLA","OSLA")))</f>
        <v>ISLA</v>
      </c>
    </row>
    <row r="10" spans="1:15" x14ac:dyDescent="0.25">
      <c r="A10" s="12">
        <v>9</v>
      </c>
      <c r="B10" s="10" t="s">
        <v>26</v>
      </c>
      <c r="C10" s="10" t="s">
        <v>2</v>
      </c>
      <c r="D10" s="10" t="s">
        <v>702</v>
      </c>
      <c r="E10" s="12" t="s">
        <v>27</v>
      </c>
      <c r="F10" s="26">
        <v>43109.013888888891</v>
      </c>
      <c r="G10" s="26">
        <v>43109.4</v>
      </c>
      <c r="H10" s="10">
        <v>556</v>
      </c>
      <c r="I10" s="12" t="s">
        <v>28</v>
      </c>
      <c r="J10" s="12" t="s">
        <v>29</v>
      </c>
      <c r="K10" s="12" t="s">
        <v>30</v>
      </c>
      <c r="L10" s="37" t="s">
        <v>706</v>
      </c>
      <c r="M10" s="10" t="s">
        <v>678</v>
      </c>
      <c r="N10" s="12"/>
      <c r="O10" s="10" t="str">
        <f>IF(AND(C10=Mai_2018!$B$47,H10&lt;=Mai_2018!$D$47),"ISLA",IF((AND(C10=Mai_2018!$B$48,H10&lt;=Mai_2018!$D$48)),"ISLA",IF((AND(C10=Mai_2018!$B$49,H10&lt;=Mai_2018!$D$49)),"ISLA","OSLA")))</f>
        <v>OSLA</v>
      </c>
    </row>
    <row r="11" spans="1:15" x14ac:dyDescent="0.25">
      <c r="A11" s="12">
        <v>10</v>
      </c>
      <c r="B11" s="18" t="s">
        <v>31</v>
      </c>
      <c r="C11" s="18" t="s">
        <v>2</v>
      </c>
      <c r="D11" s="37" t="s">
        <v>701</v>
      </c>
      <c r="E11" s="12" t="s">
        <v>32</v>
      </c>
      <c r="F11" s="35">
        <v>43110.301388888889</v>
      </c>
      <c r="G11" s="35">
        <v>43110.368750000001</v>
      </c>
      <c r="H11" s="18">
        <v>97</v>
      </c>
      <c r="I11" s="12" t="s">
        <v>33</v>
      </c>
      <c r="J11" s="12" t="s">
        <v>34</v>
      </c>
      <c r="K11" s="12" t="s">
        <v>35</v>
      </c>
      <c r="L11" s="37" t="s">
        <v>701</v>
      </c>
      <c r="M11" s="10" t="s">
        <v>678</v>
      </c>
      <c r="N11" s="12"/>
      <c r="O11" s="10" t="str">
        <f>IF(AND(C11=Mai_2018!$B$47,H11&lt;=Mai_2018!$D$47),"ISLA",IF((AND(C11=Mai_2018!$B$48,H11&lt;=Mai_2018!$D$48)),"ISLA",IF((AND(C11=Mai_2018!$B$49,H11&lt;=Mai_2018!$D$49)),"ISLA","OSLA")))</f>
        <v>ISLA</v>
      </c>
    </row>
    <row r="12" spans="1:15" x14ac:dyDescent="0.25">
      <c r="A12" s="12">
        <v>11</v>
      </c>
      <c r="B12" s="18" t="s">
        <v>36</v>
      </c>
      <c r="C12" s="18" t="s">
        <v>2</v>
      </c>
      <c r="D12" s="37" t="s">
        <v>701</v>
      </c>
      <c r="E12" s="12" t="s">
        <v>17</v>
      </c>
      <c r="F12" s="35">
        <v>43110.340277777781</v>
      </c>
      <c r="G12" s="35">
        <v>43110.377083333333</v>
      </c>
      <c r="H12" s="18">
        <v>53</v>
      </c>
      <c r="I12" s="11" t="s">
        <v>61</v>
      </c>
      <c r="J12" s="12" t="s">
        <v>37</v>
      </c>
      <c r="K12" s="12" t="s">
        <v>38</v>
      </c>
      <c r="L12" s="37" t="s">
        <v>701</v>
      </c>
      <c r="M12" s="10" t="s">
        <v>678</v>
      </c>
      <c r="N12" s="12"/>
      <c r="O12" s="10" t="str">
        <f>IF(AND(C12=Mai_2018!$B$47,H12&lt;=Mai_2018!$D$47),"ISLA",IF((AND(C12=Mai_2018!$B$48,H12&lt;=Mai_2018!$D$48)),"ISLA",IF((AND(C12=Mai_2018!$B$49,H12&lt;=Mai_2018!$D$49)),"ISLA","OSLA")))</f>
        <v>ISLA</v>
      </c>
    </row>
    <row r="13" spans="1:15" x14ac:dyDescent="0.25">
      <c r="A13" s="12">
        <v>12</v>
      </c>
      <c r="B13" s="12" t="s">
        <v>39</v>
      </c>
      <c r="C13" s="10" t="s">
        <v>2</v>
      </c>
      <c r="D13" s="37" t="s">
        <v>701</v>
      </c>
      <c r="E13" s="12" t="s">
        <v>40</v>
      </c>
      <c r="F13" s="26">
        <v>43111.460416666669</v>
      </c>
      <c r="G13" s="26">
        <v>43111.464583333334</v>
      </c>
      <c r="H13" s="10">
        <v>6</v>
      </c>
      <c r="I13" s="12" t="s">
        <v>41</v>
      </c>
      <c r="J13" s="12" t="s">
        <v>1271</v>
      </c>
      <c r="K13" s="12" t="s">
        <v>42</v>
      </c>
      <c r="L13" s="37" t="s">
        <v>701</v>
      </c>
      <c r="M13" s="10" t="s">
        <v>678</v>
      </c>
      <c r="N13" s="12"/>
      <c r="O13" s="10" t="str">
        <f>IF(AND(C13=Mai_2018!$B$47,H13&lt;=Mai_2018!$D$47),"ISLA",IF((AND(C13=Mai_2018!$B$48,H13&lt;=Mai_2018!$D$48)),"ISLA",IF((AND(C13=Mai_2018!$B$49,H13&lt;=Mai_2018!$D$49)),"ISLA","OSLA")))</f>
        <v>ISLA</v>
      </c>
    </row>
    <row r="14" spans="1:15" x14ac:dyDescent="0.25">
      <c r="A14" s="12">
        <v>13</v>
      </c>
      <c r="B14" s="12" t="s">
        <v>43</v>
      </c>
      <c r="C14" s="10" t="s">
        <v>2</v>
      </c>
      <c r="D14" s="10" t="s">
        <v>702</v>
      </c>
      <c r="E14" s="12" t="s">
        <v>44</v>
      </c>
      <c r="F14" s="26">
        <v>43111.625</v>
      </c>
      <c r="G14" s="26">
        <v>43111.763194444444</v>
      </c>
      <c r="H14" s="10">
        <v>199</v>
      </c>
      <c r="I14" s="12" t="s">
        <v>45</v>
      </c>
      <c r="J14" s="12" t="s">
        <v>46</v>
      </c>
      <c r="K14" s="12" t="s">
        <v>47</v>
      </c>
      <c r="L14" s="37" t="s">
        <v>707</v>
      </c>
      <c r="M14" s="10" t="s">
        <v>678</v>
      </c>
      <c r="N14" s="12"/>
      <c r="O14" s="10" t="str">
        <f>IF(AND(C14=Mai_2018!$B$47,H14&lt;=Mai_2018!$D$47),"ISLA",IF((AND(C14=Mai_2018!$B$48,H14&lt;=Mai_2018!$D$48)),"ISLA",IF((AND(C14=Mai_2018!$B$49,H14&lt;=Mai_2018!$D$49)),"ISLA","OSLA")))</f>
        <v>OSLA</v>
      </c>
    </row>
    <row r="15" spans="1:15" x14ac:dyDescent="0.25">
      <c r="A15" s="12">
        <v>14</v>
      </c>
      <c r="B15" s="12" t="s">
        <v>48</v>
      </c>
      <c r="C15" s="11" t="s">
        <v>2</v>
      </c>
      <c r="D15" s="10" t="s">
        <v>702</v>
      </c>
      <c r="E15" s="11" t="s">
        <v>49</v>
      </c>
      <c r="F15" s="20">
        <v>43112.662499999999</v>
      </c>
      <c r="G15" s="20">
        <v>43112.6875</v>
      </c>
      <c r="H15" s="11">
        <v>36</v>
      </c>
      <c r="I15" s="11" t="s">
        <v>50</v>
      </c>
      <c r="J15" s="11" t="s">
        <v>51</v>
      </c>
      <c r="K15" s="12" t="s">
        <v>52</v>
      </c>
      <c r="L15" s="37" t="s">
        <v>707</v>
      </c>
      <c r="M15" s="10" t="s">
        <v>678</v>
      </c>
      <c r="N15" s="12"/>
      <c r="O15" s="10" t="str">
        <f>IF(AND(C15=Mai_2018!$B$47,H15&lt;=Mai_2018!$D$47),"ISLA",IF((AND(C15=Mai_2018!$B$48,H15&lt;=Mai_2018!$D$48)),"ISLA",IF((AND(C15=Mai_2018!$B$49,H15&lt;=Mai_2018!$D$49)),"ISLA","OSLA")))</f>
        <v>ISLA</v>
      </c>
    </row>
    <row r="16" spans="1:15" x14ac:dyDescent="0.25">
      <c r="A16" s="12">
        <v>15</v>
      </c>
      <c r="B16" s="12" t="s">
        <v>53</v>
      </c>
      <c r="C16" s="11" t="s">
        <v>2</v>
      </c>
      <c r="D16" s="10" t="s">
        <v>702</v>
      </c>
      <c r="E16" s="11" t="s">
        <v>54</v>
      </c>
      <c r="F16" s="20">
        <v>43115.723611111112</v>
      </c>
      <c r="G16" s="20">
        <v>43117.5</v>
      </c>
      <c r="H16" s="11">
        <v>2558</v>
      </c>
      <c r="I16" s="11" t="s">
        <v>1273</v>
      </c>
      <c r="J16" s="11" t="s">
        <v>55</v>
      </c>
      <c r="K16" s="12" t="s">
        <v>56</v>
      </c>
      <c r="L16" s="37" t="s">
        <v>704</v>
      </c>
      <c r="M16" s="10" t="s">
        <v>678</v>
      </c>
      <c r="N16" s="12"/>
      <c r="O16" s="10" t="str">
        <f>IF(AND(C16=Mai_2018!$B$47,H16&lt;=Mai_2018!$D$47),"ISLA",IF((AND(C16=Mai_2018!$B$48,H16&lt;=Mai_2018!$D$48)),"ISLA",IF((AND(C16=Mai_2018!$B$49,H16&lt;=Mai_2018!$D$49)),"ISLA","OSLA")))</f>
        <v>OSLA</v>
      </c>
    </row>
    <row r="17" spans="1:15" x14ac:dyDescent="0.25">
      <c r="A17" s="12">
        <v>16</v>
      </c>
      <c r="B17" s="27" t="s">
        <v>788</v>
      </c>
      <c r="C17" s="12" t="s">
        <v>158</v>
      </c>
      <c r="D17" s="12" t="s">
        <v>57</v>
      </c>
      <c r="E17" s="12" t="s">
        <v>57</v>
      </c>
      <c r="F17" s="26">
        <v>43117.691666666666</v>
      </c>
      <c r="G17" s="25">
        <v>43126.75</v>
      </c>
      <c r="H17" s="11">
        <v>13044.000000001397</v>
      </c>
      <c r="I17" s="10" t="s">
        <v>789</v>
      </c>
      <c r="J17" s="10" t="s">
        <v>786</v>
      </c>
      <c r="K17" s="10" t="s">
        <v>787</v>
      </c>
      <c r="L17" s="37" t="s">
        <v>707</v>
      </c>
      <c r="M17" s="10" t="s">
        <v>678</v>
      </c>
      <c r="N17" s="17"/>
      <c r="O17" s="10" t="str">
        <f>IF(AND(C17=Mai_2018!$B$47,H17&lt;=Mai_2018!$D$47),"ISLA",IF((AND(C17=Mai_2018!$B$48,H17&lt;=Mai_2018!$D$48)),"ISLA",IF((AND(C17=Mai_2018!$B$49,H17&lt;=Mai_2018!$D$49)),"ISLA","OSLA")))</f>
        <v>OSLA</v>
      </c>
    </row>
    <row r="18" spans="1:15" x14ac:dyDescent="0.25">
      <c r="A18" s="12">
        <v>17</v>
      </c>
      <c r="B18" s="12" t="s">
        <v>60</v>
      </c>
      <c r="C18" s="11" t="s">
        <v>2</v>
      </c>
      <c r="D18" s="37" t="s">
        <v>701</v>
      </c>
      <c r="E18" s="12" t="s">
        <v>17</v>
      </c>
      <c r="F18" s="20">
        <v>43118.269444444442</v>
      </c>
      <c r="G18" s="20">
        <v>43118.300694444442</v>
      </c>
      <c r="H18" s="11">
        <v>45</v>
      </c>
      <c r="I18" s="11" t="s">
        <v>61</v>
      </c>
      <c r="J18" s="11" t="s">
        <v>19</v>
      </c>
      <c r="K18" s="12" t="s">
        <v>88</v>
      </c>
      <c r="L18" s="37" t="s">
        <v>701</v>
      </c>
      <c r="M18" s="10" t="s">
        <v>678</v>
      </c>
      <c r="N18" s="12"/>
      <c r="O18" s="10" t="str">
        <f>IF(AND(C18=Mai_2018!$B$47,H18&lt;=Mai_2018!$D$47),"ISLA",IF((AND(C18=Mai_2018!$B$48,H18&lt;=Mai_2018!$D$48)),"ISLA",IF((AND(C18=Mai_2018!$B$49,H18&lt;=Mai_2018!$D$49)),"ISLA","OSLA")))</f>
        <v>ISLA</v>
      </c>
    </row>
    <row r="19" spans="1:15" x14ac:dyDescent="0.25">
      <c r="A19" s="12">
        <v>18</v>
      </c>
      <c r="B19" s="12" t="s">
        <v>62</v>
      </c>
      <c r="C19" s="11" t="s">
        <v>14</v>
      </c>
      <c r="D19" s="37" t="s">
        <v>707</v>
      </c>
      <c r="E19" s="11" t="s">
        <v>63</v>
      </c>
      <c r="F19" s="20">
        <v>43118.534722222219</v>
      </c>
      <c r="G19" s="20">
        <v>43118.642361111109</v>
      </c>
      <c r="H19" s="11">
        <v>155</v>
      </c>
      <c r="I19" s="11" t="s">
        <v>64</v>
      </c>
      <c r="J19" s="11" t="s">
        <v>65</v>
      </c>
      <c r="K19" s="12" t="s">
        <v>66</v>
      </c>
      <c r="L19" s="37" t="s">
        <v>707</v>
      </c>
      <c r="M19" s="10" t="s">
        <v>678</v>
      </c>
      <c r="N19" s="17"/>
      <c r="O19" s="10" t="str">
        <f>IF(AND(C19=Mai_2018!$B$47,H19&lt;=Mai_2018!$D$47),"ISLA",IF((AND(C19=Mai_2018!$B$48,H19&lt;=Mai_2018!$D$48)),"ISLA",IF((AND(C19=Mai_2018!$B$49,H19&lt;=Mai_2018!$D$49)),"ISLA","OSLA")))</f>
        <v>ISLA</v>
      </c>
    </row>
    <row r="20" spans="1:15" x14ac:dyDescent="0.25">
      <c r="A20" s="12">
        <v>19</v>
      </c>
      <c r="B20" s="11" t="s">
        <v>67</v>
      </c>
      <c r="C20" s="11" t="s">
        <v>2</v>
      </c>
      <c r="D20" s="37" t="s">
        <v>701</v>
      </c>
      <c r="E20" s="12" t="s">
        <v>17</v>
      </c>
      <c r="F20" s="20">
        <v>43119.55972222222</v>
      </c>
      <c r="G20" s="20">
        <v>43119.677083333336</v>
      </c>
      <c r="H20" s="11">
        <v>169</v>
      </c>
      <c r="I20" s="11" t="s">
        <v>61</v>
      </c>
      <c r="J20" s="12" t="s">
        <v>19</v>
      </c>
      <c r="K20" s="12" t="s">
        <v>88</v>
      </c>
      <c r="L20" s="37" t="s">
        <v>701</v>
      </c>
      <c r="M20" s="10" t="s">
        <v>678</v>
      </c>
      <c r="N20" s="12"/>
      <c r="O20" s="10" t="str">
        <f>IF(AND(C20=Mai_2018!$B$47,H20&lt;=Mai_2018!$D$47),"ISLA",IF((AND(C20=Mai_2018!$B$48,H20&lt;=Mai_2018!$D$48)),"ISLA",IF((AND(C20=Mai_2018!$B$49,H20&lt;=Mai_2018!$D$49)),"ISLA","OSLA")))</f>
        <v>OSLA</v>
      </c>
    </row>
    <row r="21" spans="1:15" x14ac:dyDescent="0.25">
      <c r="A21" s="12">
        <v>20</v>
      </c>
      <c r="B21" s="11" t="s">
        <v>69</v>
      </c>
      <c r="C21" s="11" t="s">
        <v>2</v>
      </c>
      <c r="D21" s="37" t="s">
        <v>701</v>
      </c>
      <c r="E21" s="12" t="s">
        <v>17</v>
      </c>
      <c r="F21" s="13">
        <v>43122.392361111109</v>
      </c>
      <c r="G21" s="13">
        <v>43122.456944444442</v>
      </c>
      <c r="H21" s="11">
        <v>93</v>
      </c>
      <c r="I21" s="11" t="s">
        <v>61</v>
      </c>
      <c r="J21" s="12" t="s">
        <v>19</v>
      </c>
      <c r="K21" s="12" t="s">
        <v>88</v>
      </c>
      <c r="L21" s="37" t="s">
        <v>701</v>
      </c>
      <c r="M21" s="10" t="s">
        <v>678</v>
      </c>
      <c r="N21" s="12"/>
      <c r="O21" s="10" t="str">
        <f>IF(AND(C21=Mai_2018!$B$47,H21&lt;=Mai_2018!$D$47),"ISLA",IF((AND(C21=Mai_2018!$B$48,H21&lt;=Mai_2018!$D$48)),"ISLA",IF((AND(C21=Mai_2018!$B$49,H21&lt;=Mai_2018!$D$49)),"ISLA","OSLA")))</f>
        <v>ISLA</v>
      </c>
    </row>
    <row r="22" spans="1:15" x14ac:dyDescent="0.25">
      <c r="A22" s="12">
        <v>21</v>
      </c>
      <c r="B22" s="11" t="s">
        <v>70</v>
      </c>
      <c r="C22" s="11" t="s">
        <v>2</v>
      </c>
      <c r="D22" s="37" t="s">
        <v>701</v>
      </c>
      <c r="E22" s="12" t="s">
        <v>17</v>
      </c>
      <c r="F22" s="20">
        <v>43123.145833333336</v>
      </c>
      <c r="G22" s="20">
        <v>43123.4375</v>
      </c>
      <c r="H22" s="11">
        <v>420</v>
      </c>
      <c r="I22" s="11" t="s">
        <v>61</v>
      </c>
      <c r="J22" s="12" t="s">
        <v>19</v>
      </c>
      <c r="K22" s="12" t="s">
        <v>88</v>
      </c>
      <c r="L22" s="37" t="s">
        <v>701</v>
      </c>
      <c r="M22" s="10" t="s">
        <v>678</v>
      </c>
      <c r="N22" s="17"/>
      <c r="O22" s="10" t="str">
        <f>IF(AND(C22=Mai_2018!$B$47,H22&lt;=Mai_2018!$D$47),"ISLA",IF((AND(C22=Mai_2018!$B$48,H22&lt;=Mai_2018!$D$48)),"ISLA",IF((AND(C22=Mai_2018!$B$49,H22&lt;=Mai_2018!$D$49)),"ISLA","OSLA")))</f>
        <v>OSLA</v>
      </c>
    </row>
    <row r="23" spans="1:15" x14ac:dyDescent="0.25">
      <c r="A23" s="12">
        <v>22</v>
      </c>
      <c r="B23" s="12" t="s">
        <v>71</v>
      </c>
      <c r="C23" s="11" t="s">
        <v>14</v>
      </c>
      <c r="D23" s="10" t="s">
        <v>702</v>
      </c>
      <c r="E23" s="12" t="s">
        <v>40</v>
      </c>
      <c r="F23" s="13">
        <v>43123.197222222225</v>
      </c>
      <c r="G23" s="13">
        <v>43123.231944444444</v>
      </c>
      <c r="H23" s="12">
        <v>50</v>
      </c>
      <c r="I23" s="12" t="s">
        <v>40</v>
      </c>
      <c r="J23" s="12" t="s">
        <v>1272</v>
      </c>
      <c r="K23" s="12" t="s">
        <v>72</v>
      </c>
      <c r="L23" s="37" t="s">
        <v>701</v>
      </c>
      <c r="M23" s="10" t="s">
        <v>678</v>
      </c>
      <c r="N23" s="12"/>
      <c r="O23" s="10" t="str">
        <f>IF(AND(C23=Mai_2018!$B$47,H23&lt;=Mai_2018!$D$47),"ISLA",IF((AND(C23=Mai_2018!$B$48,H23&lt;=Mai_2018!$D$48)),"ISLA",IF((AND(C23=Mai_2018!$B$49,H23&lt;=Mai_2018!$D$49)),"ISLA","OSLA")))</f>
        <v>ISLA</v>
      </c>
    </row>
    <row r="24" spans="1:15" x14ac:dyDescent="0.25">
      <c r="A24" s="12">
        <v>23</v>
      </c>
      <c r="B24" s="11" t="s">
        <v>73</v>
      </c>
      <c r="C24" s="11" t="s">
        <v>2</v>
      </c>
      <c r="D24" s="37" t="s">
        <v>701</v>
      </c>
      <c r="E24" s="12" t="s">
        <v>17</v>
      </c>
      <c r="F24" s="20">
        <v>43123.51458333333</v>
      </c>
      <c r="G24" s="20">
        <v>43123.557638888888</v>
      </c>
      <c r="H24" s="11">
        <v>62</v>
      </c>
      <c r="I24" s="11" t="s">
        <v>61</v>
      </c>
      <c r="J24" s="12" t="s">
        <v>19</v>
      </c>
      <c r="K24" s="12" t="s">
        <v>88</v>
      </c>
      <c r="L24" s="37" t="s">
        <v>701</v>
      </c>
      <c r="M24" s="10" t="s">
        <v>678</v>
      </c>
      <c r="N24" s="12"/>
      <c r="O24" s="10" t="str">
        <f>IF(AND(C24=Mai_2018!$B$47,H24&lt;=Mai_2018!$D$47),"ISLA",IF((AND(C24=Mai_2018!$B$48,H24&lt;=Mai_2018!$D$48)),"ISLA",IF((AND(C24=Mai_2018!$B$49,H24&lt;=Mai_2018!$D$49)),"ISLA","OSLA")))</f>
        <v>ISLA</v>
      </c>
    </row>
    <row r="25" spans="1:15" x14ac:dyDescent="0.25">
      <c r="A25" s="12">
        <v>24</v>
      </c>
      <c r="B25" s="11" t="s">
        <v>74</v>
      </c>
      <c r="C25" s="11" t="s">
        <v>2</v>
      </c>
      <c r="D25" s="37" t="s">
        <v>701</v>
      </c>
      <c r="E25" s="11" t="s">
        <v>75</v>
      </c>
      <c r="F25" s="20">
        <v>43124.061805555553</v>
      </c>
      <c r="G25" s="20">
        <v>43124.10833333333</v>
      </c>
      <c r="H25" s="11">
        <v>67</v>
      </c>
      <c r="I25" s="10" t="s">
        <v>237</v>
      </c>
      <c r="J25" s="12" t="s">
        <v>1274</v>
      </c>
      <c r="K25" s="12" t="s">
        <v>959</v>
      </c>
      <c r="L25" s="37" t="s">
        <v>701</v>
      </c>
      <c r="M25" s="10" t="s">
        <v>678</v>
      </c>
      <c r="N25" s="12"/>
      <c r="O25" s="10" t="str">
        <f>IF(AND(C25=Mai_2018!$B$47,H25&lt;=Mai_2018!$D$47),"ISLA",IF((AND(C25=Mai_2018!$B$48,H25&lt;=Mai_2018!$D$48)),"ISLA",IF((AND(C25=Mai_2018!$B$49,H25&lt;=Mai_2018!$D$49)),"ISLA","OSLA")))</f>
        <v>ISLA</v>
      </c>
    </row>
    <row r="26" spans="1:15" x14ac:dyDescent="0.25">
      <c r="A26" s="12">
        <v>25</v>
      </c>
      <c r="B26" s="11" t="s">
        <v>76</v>
      </c>
      <c r="C26" s="11" t="s">
        <v>2</v>
      </c>
      <c r="D26" s="37" t="s">
        <v>701</v>
      </c>
      <c r="E26" s="12" t="s">
        <v>138</v>
      </c>
      <c r="F26" s="20">
        <v>43124.369444444441</v>
      </c>
      <c r="G26" s="20">
        <v>43124.447916666664</v>
      </c>
      <c r="H26" s="11">
        <v>113</v>
      </c>
      <c r="I26" s="11" t="s">
        <v>77</v>
      </c>
      <c r="J26" s="11" t="s">
        <v>78</v>
      </c>
      <c r="K26" s="12" t="s">
        <v>79</v>
      </c>
      <c r="L26" s="37" t="s">
        <v>704</v>
      </c>
      <c r="M26" s="10" t="s">
        <v>678</v>
      </c>
      <c r="N26" s="12"/>
      <c r="O26" s="10" t="str">
        <f>IF(AND(C26=Mai_2018!$B$47,H26&lt;=Mai_2018!$D$47),"ISLA",IF((AND(C26=Mai_2018!$B$48,H26&lt;=Mai_2018!$D$48)),"ISLA",IF((AND(C26=Mai_2018!$B$49,H26&lt;=Mai_2018!$D$49)),"ISLA","OSLA")))</f>
        <v>ISLA</v>
      </c>
    </row>
    <row r="27" spans="1:15" x14ac:dyDescent="0.25">
      <c r="A27" s="12">
        <v>26</v>
      </c>
      <c r="B27" s="11" t="s">
        <v>80</v>
      </c>
      <c r="C27" s="11" t="s">
        <v>2</v>
      </c>
      <c r="D27" s="10" t="s">
        <v>702</v>
      </c>
      <c r="E27" s="11" t="s">
        <v>81</v>
      </c>
      <c r="F27" s="20">
        <v>43124.872916666667</v>
      </c>
      <c r="G27" s="20">
        <v>43125.991666666669</v>
      </c>
      <c r="H27" s="11">
        <v>1611</v>
      </c>
      <c r="I27" s="11" t="s">
        <v>82</v>
      </c>
      <c r="J27" s="11" t="s">
        <v>83</v>
      </c>
      <c r="K27" s="12" t="s">
        <v>84</v>
      </c>
      <c r="L27" s="37" t="s">
        <v>704</v>
      </c>
      <c r="M27" s="10" t="s">
        <v>678</v>
      </c>
      <c r="N27" s="12"/>
      <c r="O27" s="10" t="str">
        <f>IF(AND(C27=Mai_2018!$B$47,H27&lt;=Mai_2018!$D$47),"ISLA",IF((AND(C27=Mai_2018!$B$48,H27&lt;=Mai_2018!$D$48)),"ISLA",IF((AND(C27=Mai_2018!$B$49,H27&lt;=Mai_2018!$D$49)),"ISLA","OSLA")))</f>
        <v>OSLA</v>
      </c>
    </row>
    <row r="28" spans="1:15" x14ac:dyDescent="0.25">
      <c r="A28" s="12">
        <v>27</v>
      </c>
      <c r="B28" s="12" t="s">
        <v>85</v>
      </c>
      <c r="C28" s="12" t="s">
        <v>2</v>
      </c>
      <c r="D28" s="10" t="s">
        <v>702</v>
      </c>
      <c r="E28" s="12" t="s">
        <v>86</v>
      </c>
      <c r="F28" s="13">
        <v>43125.722222222219</v>
      </c>
      <c r="G28" s="13">
        <v>43126.574999999997</v>
      </c>
      <c r="H28" s="11">
        <v>1228</v>
      </c>
      <c r="I28" s="12" t="s">
        <v>87</v>
      </c>
      <c r="J28" s="10" t="s">
        <v>89</v>
      </c>
      <c r="K28" s="10" t="s">
        <v>90</v>
      </c>
      <c r="L28" s="37" t="s">
        <v>707</v>
      </c>
      <c r="M28" s="10" t="s">
        <v>678</v>
      </c>
      <c r="N28" s="12"/>
      <c r="O28" s="10" t="str">
        <f>IF(AND(C28=Mai_2018!$B$47,H28&lt;=Mai_2018!$D$47),"ISLA",IF((AND(C28=Mai_2018!$B$48,H28&lt;=Mai_2018!$D$48)),"ISLA",IF((AND(C28=Mai_2018!$B$49,H28&lt;=Mai_2018!$D$49)),"ISLA","OSLA")))</f>
        <v>OSLA</v>
      </c>
    </row>
    <row r="29" spans="1:15" x14ac:dyDescent="0.25">
      <c r="A29" s="12">
        <v>28</v>
      </c>
      <c r="B29" s="19" t="s">
        <v>91</v>
      </c>
      <c r="C29" s="10" t="s">
        <v>2</v>
      </c>
      <c r="D29" s="10" t="s">
        <v>702</v>
      </c>
      <c r="E29" s="10" t="s">
        <v>92</v>
      </c>
      <c r="F29" s="13">
        <v>43126.513888888891</v>
      </c>
      <c r="G29" s="20">
        <v>43126.525000000001</v>
      </c>
      <c r="H29" s="18">
        <v>16</v>
      </c>
      <c r="I29" s="10" t="s">
        <v>93</v>
      </c>
      <c r="J29" s="10" t="s">
        <v>94</v>
      </c>
      <c r="K29" s="10" t="s">
        <v>95</v>
      </c>
      <c r="L29" s="37" t="s">
        <v>708</v>
      </c>
      <c r="M29" s="10" t="s">
        <v>678</v>
      </c>
      <c r="N29" s="12"/>
      <c r="O29" s="10" t="str">
        <f>IF(AND(C29=Mai_2018!$B$47,H29&lt;=Mai_2018!$D$47),"ISLA",IF((AND(C29=Mai_2018!$B$48,H29&lt;=Mai_2018!$D$48)),"ISLA",IF((AND(C29=Mai_2018!$B$49,H29&lt;=Mai_2018!$D$49)),"ISLA","OSLA")))</f>
        <v>ISLA</v>
      </c>
    </row>
    <row r="30" spans="1:15" x14ac:dyDescent="0.25">
      <c r="A30" s="12">
        <v>29</v>
      </c>
      <c r="B30" s="11" t="s">
        <v>96</v>
      </c>
      <c r="C30" s="10" t="s">
        <v>14</v>
      </c>
      <c r="D30" s="10" t="s">
        <v>702</v>
      </c>
      <c r="E30" s="12" t="s">
        <v>138</v>
      </c>
      <c r="F30" s="13">
        <v>43126.84652777778</v>
      </c>
      <c r="G30" s="20">
        <v>43126.868055555555</v>
      </c>
      <c r="H30" s="18">
        <v>31</v>
      </c>
      <c r="I30" s="10" t="s">
        <v>97</v>
      </c>
      <c r="J30" s="10" t="s">
        <v>98</v>
      </c>
      <c r="K30" s="10" t="s">
        <v>99</v>
      </c>
      <c r="L30" s="37" t="s">
        <v>701</v>
      </c>
      <c r="M30" s="10" t="s">
        <v>678</v>
      </c>
      <c r="N30" s="12"/>
      <c r="O30" s="10" t="str">
        <f>IF(AND(C30=Mai_2018!$B$47,H30&lt;=Mai_2018!$D$47),"ISLA",IF((AND(C30=Mai_2018!$B$48,H30&lt;=Mai_2018!$D$48)),"ISLA",IF((AND(C30=Mai_2018!$B$49,H30&lt;=Mai_2018!$D$49)),"ISLA","OSLA")))</f>
        <v>ISLA</v>
      </c>
    </row>
    <row r="31" spans="1:15" x14ac:dyDescent="0.25">
      <c r="A31" s="12">
        <v>30</v>
      </c>
      <c r="B31" s="11" t="s">
        <v>100</v>
      </c>
      <c r="C31" s="10" t="s">
        <v>2</v>
      </c>
      <c r="D31" s="10" t="s">
        <v>702</v>
      </c>
      <c r="E31" s="10" t="s">
        <v>101</v>
      </c>
      <c r="F31" s="13">
        <v>43126.856249999997</v>
      </c>
      <c r="G31" s="20">
        <v>43126.972222222219</v>
      </c>
      <c r="H31" s="18">
        <v>167</v>
      </c>
      <c r="I31" s="10" t="s">
        <v>102</v>
      </c>
      <c r="J31" s="10" t="s">
        <v>20</v>
      </c>
      <c r="K31" s="10" t="s">
        <v>105</v>
      </c>
      <c r="L31" s="38" t="s">
        <v>703</v>
      </c>
      <c r="M31" s="10" t="s">
        <v>678</v>
      </c>
      <c r="N31" s="12"/>
      <c r="O31" s="10" t="str">
        <f>IF(AND(C31=Mai_2018!$B$47,H31&lt;=Mai_2018!$D$47),"ISLA",IF((AND(C31=Mai_2018!$B$48,H31&lt;=Mai_2018!$D$48)),"ISLA",IF((AND(C31=Mai_2018!$B$49,H31&lt;=Mai_2018!$D$49)),"ISLA","OSLA")))</f>
        <v>OSLA</v>
      </c>
    </row>
    <row r="32" spans="1:15" x14ac:dyDescent="0.25">
      <c r="A32" s="12">
        <v>31</v>
      </c>
      <c r="B32" s="11" t="s">
        <v>103</v>
      </c>
      <c r="C32" s="10" t="s">
        <v>2</v>
      </c>
      <c r="D32" s="10" t="s">
        <v>702</v>
      </c>
      <c r="E32" s="10" t="s">
        <v>101</v>
      </c>
      <c r="F32" s="13">
        <v>43129.555555555555</v>
      </c>
      <c r="G32" s="20">
        <v>43129.649305555555</v>
      </c>
      <c r="H32" s="18">
        <v>135</v>
      </c>
      <c r="I32" s="10" t="s">
        <v>102</v>
      </c>
      <c r="J32" s="10" t="s">
        <v>104</v>
      </c>
      <c r="K32" s="10" t="s">
        <v>105</v>
      </c>
      <c r="L32" s="38" t="s">
        <v>703</v>
      </c>
      <c r="M32" s="10" t="s">
        <v>678</v>
      </c>
      <c r="N32" s="12"/>
      <c r="O32" s="10" t="str">
        <f>IF(AND(C32=Mai_2018!$B$47,H32&lt;=Mai_2018!$D$47),"ISLA",IF((AND(C32=Mai_2018!$B$48,H32&lt;=Mai_2018!$D$48)),"ISLA",IF((AND(C32=Mai_2018!$B$49,H32&lt;=Mai_2018!$D$49)),"ISLA","OSLA")))</f>
        <v>OSLA</v>
      </c>
    </row>
    <row r="43" spans="2:4" ht="14.6" x14ac:dyDescent="0.4">
      <c r="B43"/>
      <c r="C43"/>
      <c r="D43"/>
    </row>
    <row r="47" spans="2:4" ht="14.6" x14ac:dyDescent="0.4">
      <c r="B47" s="73" t="s">
        <v>2</v>
      </c>
      <c r="C47" s="73" t="s">
        <v>776</v>
      </c>
      <c r="D47" s="73">
        <v>120</v>
      </c>
    </row>
    <row r="48" spans="2:4" ht="14.6" x14ac:dyDescent="0.4">
      <c r="B48" s="73" t="s">
        <v>14</v>
      </c>
      <c r="C48" s="73" t="s">
        <v>777</v>
      </c>
      <c r="D48" s="73">
        <v>240</v>
      </c>
    </row>
    <row r="49" spans="2:4" ht="14.6" x14ac:dyDescent="0.4">
      <c r="B49" s="73" t="s">
        <v>158</v>
      </c>
      <c r="C49" s="73" t="s">
        <v>778</v>
      </c>
      <c r="D49" s="73">
        <f>1440*2</f>
        <v>2880</v>
      </c>
    </row>
    <row r="50" spans="2:4" ht="14.6" x14ac:dyDescent="0.4">
      <c r="B50" s="73" t="s">
        <v>757</v>
      </c>
      <c r="C50" s="73" t="s">
        <v>779</v>
      </c>
      <c r="D50" s="73">
        <f>3*1440</f>
        <v>4320</v>
      </c>
    </row>
    <row r="51" spans="2:4" ht="14.6" x14ac:dyDescent="0.4">
      <c r="B51"/>
      <c r="C51"/>
      <c r="D51"/>
    </row>
    <row r="52" spans="2:4" ht="14.6" x14ac:dyDescent="0.4">
      <c r="B52"/>
      <c r="C52"/>
      <c r="D52"/>
    </row>
  </sheetData>
  <autoFilter ref="A1:O32" xr:uid="{00000000-0009-0000-0000-000004000000}"/>
  <conditionalFormatting sqref="G17">
    <cfRule type="cellIs" dxfId="108" priority="1" operator="equal">
      <formula>"NOK"</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2">
    <tabColor theme="4"/>
  </sheetPr>
  <dimension ref="A1:O50"/>
  <sheetViews>
    <sheetView topLeftCell="H1" workbookViewId="0">
      <selection activeCell="B16" sqref="B16"/>
    </sheetView>
  </sheetViews>
  <sheetFormatPr baseColWidth="10" defaultColWidth="11.4609375" defaultRowHeight="10.3" x14ac:dyDescent="0.25"/>
  <cols>
    <col min="1" max="1" width="3" style="1" bestFit="1" customWidth="1"/>
    <col min="2" max="2" width="10.53515625" style="1" bestFit="1" customWidth="1"/>
    <col min="3" max="3" width="6.84375" style="1" bestFit="1" customWidth="1"/>
    <col min="4" max="4" width="9.07421875" style="1" bestFit="1" customWidth="1"/>
    <col min="5" max="5" width="26.69140625" style="1" customWidth="1"/>
    <col min="6" max="6" width="19.69140625" style="1" bestFit="1" customWidth="1"/>
    <col min="7" max="7" width="17" style="1" bestFit="1" customWidth="1"/>
    <col min="8" max="8" width="10.07421875" style="1" bestFit="1" customWidth="1"/>
    <col min="9" max="9" width="37.53515625" style="1" customWidth="1"/>
    <col min="10" max="10" width="40.3046875" style="1" customWidth="1"/>
    <col min="11" max="11" width="31.3046875" style="1" customWidth="1"/>
    <col min="12" max="12" width="11.84375" style="1" bestFit="1" customWidth="1"/>
    <col min="13" max="16384" width="11.4609375" style="1"/>
  </cols>
  <sheetData>
    <row r="1" spans="1:15" ht="12.45" x14ac:dyDescent="0.25">
      <c r="A1" s="6" t="s">
        <v>0</v>
      </c>
      <c r="B1" s="6" t="s">
        <v>679</v>
      </c>
      <c r="C1" s="6" t="s">
        <v>680</v>
      </c>
      <c r="D1" s="6" t="s">
        <v>700</v>
      </c>
      <c r="E1" s="6" t="s">
        <v>696</v>
      </c>
      <c r="F1" s="6" t="s">
        <v>695</v>
      </c>
      <c r="G1" s="6" t="s">
        <v>694</v>
      </c>
      <c r="H1" s="6" t="s">
        <v>681</v>
      </c>
      <c r="I1" s="6" t="s">
        <v>395</v>
      </c>
      <c r="J1" s="6" t="s">
        <v>682</v>
      </c>
      <c r="K1" s="6" t="s">
        <v>683</v>
      </c>
      <c r="L1" s="7" t="s">
        <v>699</v>
      </c>
      <c r="M1" s="6" t="s">
        <v>684</v>
      </c>
      <c r="N1" s="6" t="s">
        <v>659</v>
      </c>
      <c r="O1" s="6" t="s">
        <v>888</v>
      </c>
    </row>
    <row r="2" spans="1:15" x14ac:dyDescent="0.25">
      <c r="A2" s="18">
        <v>1</v>
      </c>
      <c r="B2" s="18" t="s">
        <v>106</v>
      </c>
      <c r="C2" s="10" t="s">
        <v>2</v>
      </c>
      <c r="D2" s="37" t="s">
        <v>707</v>
      </c>
      <c r="E2" s="10" t="s">
        <v>107</v>
      </c>
      <c r="F2" s="13">
        <v>43132.504861111112</v>
      </c>
      <c r="G2" s="20">
        <v>43132.532638888886</v>
      </c>
      <c r="H2" s="18">
        <v>40</v>
      </c>
      <c r="I2" s="10" t="s">
        <v>108</v>
      </c>
      <c r="J2" s="10" t="s">
        <v>109</v>
      </c>
      <c r="K2" s="10" t="s">
        <v>110</v>
      </c>
      <c r="L2" s="37" t="s">
        <v>707</v>
      </c>
      <c r="M2" s="12" t="s">
        <v>678</v>
      </c>
      <c r="N2" s="12"/>
      <c r="O2" s="14" t="str">
        <f>IF(AND(C2=$B$47,H2&lt;=$D$47),"ISLA",IF((AND(C2=$B$48,H2&lt;=$D$48)),"ISLA",IF((AND(C2=$B$49,H2&lt;=$D$49)),"ISLA","OSLA")))</f>
        <v>ISLA</v>
      </c>
    </row>
    <row r="3" spans="1:15" x14ac:dyDescent="0.25">
      <c r="A3" s="18">
        <v>2</v>
      </c>
      <c r="B3" s="18" t="s">
        <v>111</v>
      </c>
      <c r="C3" s="10" t="s">
        <v>2</v>
      </c>
      <c r="D3" s="37" t="s">
        <v>704</v>
      </c>
      <c r="E3" s="10" t="s">
        <v>112</v>
      </c>
      <c r="F3" s="13">
        <v>43132.725694444445</v>
      </c>
      <c r="G3" s="13">
        <v>43133.427083333336</v>
      </c>
      <c r="H3" s="18">
        <v>1010</v>
      </c>
      <c r="I3" s="10" t="s">
        <v>113</v>
      </c>
      <c r="J3" s="10" t="s">
        <v>114</v>
      </c>
      <c r="K3" s="10" t="s">
        <v>115</v>
      </c>
      <c r="L3" s="37" t="s">
        <v>704</v>
      </c>
      <c r="M3" s="12" t="s">
        <v>678</v>
      </c>
      <c r="N3" s="12"/>
      <c r="O3" s="14" t="str">
        <f t="shared" ref="O3:O29" si="0">IF(AND(C3=$B$47,H3&lt;=$D$47),"ISLA",IF((AND(C3=$B$48,H3&lt;=$D$48)),"ISLA",IF((AND(C3=$B$49,H3&lt;=$D$49)),"ISLA","OSLA")))</f>
        <v>OSLA</v>
      </c>
    </row>
    <row r="4" spans="1:15" x14ac:dyDescent="0.25">
      <c r="A4" s="18">
        <v>3</v>
      </c>
      <c r="B4" s="10" t="s">
        <v>116</v>
      </c>
      <c r="C4" s="10" t="s">
        <v>14</v>
      </c>
      <c r="D4" s="10" t="s">
        <v>702</v>
      </c>
      <c r="E4" s="10" t="s">
        <v>117</v>
      </c>
      <c r="F4" s="13">
        <v>43135.911111111112</v>
      </c>
      <c r="G4" s="13">
        <v>43136.017361111109</v>
      </c>
      <c r="H4" s="10">
        <v>153</v>
      </c>
      <c r="I4" s="10" t="s">
        <v>118</v>
      </c>
      <c r="J4" s="10" t="s">
        <v>1275</v>
      </c>
      <c r="K4" s="10" t="s">
        <v>1276</v>
      </c>
      <c r="L4" s="37" t="s">
        <v>707</v>
      </c>
      <c r="M4" s="12" t="s">
        <v>678</v>
      </c>
      <c r="N4" s="17"/>
      <c r="O4" s="14" t="str">
        <f t="shared" si="0"/>
        <v>ISLA</v>
      </c>
    </row>
    <row r="5" spans="1:15" x14ac:dyDescent="0.25">
      <c r="A5" s="18">
        <v>4</v>
      </c>
      <c r="B5" s="18" t="s">
        <v>119</v>
      </c>
      <c r="C5" s="10" t="s">
        <v>2</v>
      </c>
      <c r="D5" s="38" t="s">
        <v>701</v>
      </c>
      <c r="E5" s="10" t="s">
        <v>18</v>
      </c>
      <c r="F5" s="13">
        <v>43137.038194444445</v>
      </c>
      <c r="G5" s="13">
        <v>43137.065972222219</v>
      </c>
      <c r="H5" s="18">
        <v>40</v>
      </c>
      <c r="I5" s="10" t="s">
        <v>120</v>
      </c>
      <c r="J5" s="10" t="s">
        <v>19</v>
      </c>
      <c r="K5" s="10" t="s">
        <v>88</v>
      </c>
      <c r="L5" s="38" t="s">
        <v>701</v>
      </c>
      <c r="M5" s="12" t="s">
        <v>678</v>
      </c>
      <c r="N5" s="12"/>
      <c r="O5" s="14" t="str">
        <f t="shared" si="0"/>
        <v>ISLA</v>
      </c>
    </row>
    <row r="6" spans="1:15" x14ac:dyDescent="0.25">
      <c r="A6" s="18">
        <v>5</v>
      </c>
      <c r="B6" s="18" t="s">
        <v>121</v>
      </c>
      <c r="C6" s="10" t="s">
        <v>2</v>
      </c>
      <c r="D6" s="37" t="s">
        <v>707</v>
      </c>
      <c r="E6" s="10" t="s">
        <v>122</v>
      </c>
      <c r="F6" s="13">
        <v>43137.272916666669</v>
      </c>
      <c r="G6" s="13">
        <v>43137.308333333334</v>
      </c>
      <c r="H6" s="18">
        <v>51</v>
      </c>
      <c r="I6" s="10" t="s">
        <v>123</v>
      </c>
      <c r="J6" s="10" t="s">
        <v>124</v>
      </c>
      <c r="K6" s="10" t="s">
        <v>125</v>
      </c>
      <c r="L6" s="37" t="s">
        <v>707</v>
      </c>
      <c r="M6" s="12" t="s">
        <v>678</v>
      </c>
      <c r="N6" s="12"/>
      <c r="O6" s="14" t="str">
        <f t="shared" si="0"/>
        <v>ISLA</v>
      </c>
    </row>
    <row r="7" spans="1:15" x14ac:dyDescent="0.25">
      <c r="A7" s="18">
        <v>6</v>
      </c>
      <c r="B7" s="18" t="s">
        <v>126</v>
      </c>
      <c r="C7" s="10" t="s">
        <v>14</v>
      </c>
      <c r="D7" s="37" t="s">
        <v>707</v>
      </c>
      <c r="E7" s="10" t="s">
        <v>127</v>
      </c>
      <c r="F7" s="13">
        <v>43137.378472222219</v>
      </c>
      <c r="G7" s="13">
        <v>43137.654166666667</v>
      </c>
      <c r="H7" s="18">
        <v>397</v>
      </c>
      <c r="I7" s="10" t="s">
        <v>128</v>
      </c>
      <c r="J7" s="10" t="s">
        <v>129</v>
      </c>
      <c r="K7" s="10" t="s">
        <v>130</v>
      </c>
      <c r="L7" s="37" t="s">
        <v>707</v>
      </c>
      <c r="M7" s="12" t="s">
        <v>678</v>
      </c>
      <c r="N7" s="12"/>
      <c r="O7" s="14" t="str">
        <f t="shared" si="0"/>
        <v>OSLA</v>
      </c>
    </row>
    <row r="8" spans="1:15" x14ac:dyDescent="0.25">
      <c r="A8" s="18">
        <v>7</v>
      </c>
      <c r="B8" s="18" t="s">
        <v>131</v>
      </c>
      <c r="C8" s="10" t="s">
        <v>2</v>
      </c>
      <c r="D8" s="10" t="s">
        <v>702</v>
      </c>
      <c r="E8" s="10" t="s">
        <v>132</v>
      </c>
      <c r="F8" s="13">
        <v>43138.45416666667</v>
      </c>
      <c r="G8" s="13">
        <v>43138.50277777778</v>
      </c>
      <c r="H8" s="18">
        <v>70</v>
      </c>
      <c r="I8" s="10" t="s">
        <v>133</v>
      </c>
      <c r="J8" s="10" t="s">
        <v>134</v>
      </c>
      <c r="K8" s="10" t="s">
        <v>135</v>
      </c>
      <c r="L8" s="37" t="s">
        <v>709</v>
      </c>
      <c r="M8" s="12" t="s">
        <v>678</v>
      </c>
      <c r="N8" s="12"/>
      <c r="O8" s="14" t="str">
        <f t="shared" si="0"/>
        <v>ISLA</v>
      </c>
    </row>
    <row r="9" spans="1:15" x14ac:dyDescent="0.25">
      <c r="A9" s="18">
        <v>8</v>
      </c>
      <c r="B9" s="18" t="s">
        <v>136</v>
      </c>
      <c r="C9" s="10" t="s">
        <v>2</v>
      </c>
      <c r="D9" s="38" t="s">
        <v>701</v>
      </c>
      <c r="E9" s="10" t="s">
        <v>18</v>
      </c>
      <c r="F9" s="13">
        <v>43139.773611111108</v>
      </c>
      <c r="G9" s="13">
        <v>43139.804166666669</v>
      </c>
      <c r="H9" s="18">
        <v>44</v>
      </c>
      <c r="I9" s="10" t="s">
        <v>120</v>
      </c>
      <c r="J9" s="10" t="s">
        <v>19</v>
      </c>
      <c r="K9" s="10" t="s">
        <v>88</v>
      </c>
      <c r="L9" s="38" t="s">
        <v>701</v>
      </c>
      <c r="M9" s="12" t="s">
        <v>678</v>
      </c>
      <c r="N9" s="12"/>
      <c r="O9" s="14" t="str">
        <f t="shared" si="0"/>
        <v>ISLA</v>
      </c>
    </row>
    <row r="10" spans="1:15" x14ac:dyDescent="0.25">
      <c r="A10" s="18">
        <v>9</v>
      </c>
      <c r="B10" s="18" t="s">
        <v>137</v>
      </c>
      <c r="C10" s="10" t="s">
        <v>2</v>
      </c>
      <c r="D10" s="10" t="s">
        <v>702</v>
      </c>
      <c r="E10" s="10" t="s">
        <v>138</v>
      </c>
      <c r="F10" s="13">
        <v>43140.85</v>
      </c>
      <c r="G10" s="13">
        <v>43140.936111111114</v>
      </c>
      <c r="H10" s="18">
        <v>124</v>
      </c>
      <c r="I10" s="10" t="s">
        <v>139</v>
      </c>
      <c r="J10" s="10" t="s">
        <v>140</v>
      </c>
      <c r="K10" s="10" t="s">
        <v>141</v>
      </c>
      <c r="L10" s="37" t="s">
        <v>704</v>
      </c>
      <c r="M10" s="12" t="s">
        <v>678</v>
      </c>
      <c r="N10" s="12"/>
      <c r="O10" s="14" t="str">
        <f t="shared" si="0"/>
        <v>OSLA</v>
      </c>
    </row>
    <row r="11" spans="1:15" x14ac:dyDescent="0.25">
      <c r="A11" s="18">
        <v>10</v>
      </c>
      <c r="B11" s="18" t="s">
        <v>142</v>
      </c>
      <c r="C11" s="10" t="s">
        <v>2</v>
      </c>
      <c r="D11" s="10" t="s">
        <v>702</v>
      </c>
      <c r="E11" s="10" t="s">
        <v>101</v>
      </c>
      <c r="F11" s="13">
        <v>43140.84375</v>
      </c>
      <c r="G11" s="13">
        <v>43140.916666666664</v>
      </c>
      <c r="H11" s="18">
        <v>105</v>
      </c>
      <c r="I11" s="10" t="s">
        <v>143</v>
      </c>
      <c r="J11" s="10" t="s">
        <v>156</v>
      </c>
      <c r="K11" s="10" t="s">
        <v>115</v>
      </c>
      <c r="L11" s="37" t="s">
        <v>703</v>
      </c>
      <c r="M11" s="12" t="s">
        <v>678</v>
      </c>
      <c r="N11" s="12"/>
      <c r="O11" s="14" t="str">
        <f t="shared" si="0"/>
        <v>ISLA</v>
      </c>
    </row>
    <row r="12" spans="1:15" ht="11.6" x14ac:dyDescent="0.25">
      <c r="A12" s="18">
        <v>11</v>
      </c>
      <c r="B12" s="18" t="s">
        <v>144</v>
      </c>
      <c r="C12" s="18" t="s">
        <v>2</v>
      </c>
      <c r="D12" s="10" t="s">
        <v>702</v>
      </c>
      <c r="E12" s="18" t="s">
        <v>40</v>
      </c>
      <c r="F12" s="13">
        <v>43145.475694444445</v>
      </c>
      <c r="G12" s="13">
        <v>43145.479166666664</v>
      </c>
      <c r="H12" s="18">
        <v>5</v>
      </c>
      <c r="I12" s="18" t="s">
        <v>145</v>
      </c>
      <c r="J12" s="18" t="s">
        <v>1277</v>
      </c>
      <c r="K12" s="18" t="s">
        <v>59</v>
      </c>
      <c r="L12" s="38" t="s">
        <v>701</v>
      </c>
      <c r="M12" s="12" t="s">
        <v>678</v>
      </c>
      <c r="N12" s="12"/>
      <c r="O12" s="14" t="str">
        <f t="shared" si="0"/>
        <v>ISLA</v>
      </c>
    </row>
    <row r="13" spans="1:15" x14ac:dyDescent="0.25">
      <c r="A13" s="18">
        <v>12</v>
      </c>
      <c r="B13" s="18" t="s">
        <v>146</v>
      </c>
      <c r="C13" s="10" t="s">
        <v>2</v>
      </c>
      <c r="D13" s="10" t="s">
        <v>702</v>
      </c>
      <c r="E13" s="10" t="s">
        <v>147</v>
      </c>
      <c r="F13" s="13">
        <v>43145.689583333333</v>
      </c>
      <c r="G13" s="13">
        <v>43145.868750000001</v>
      </c>
      <c r="H13" s="18">
        <v>258</v>
      </c>
      <c r="I13" s="10" t="s">
        <v>148</v>
      </c>
      <c r="J13" s="10" t="s">
        <v>1279</v>
      </c>
      <c r="K13" s="10" t="s">
        <v>1278</v>
      </c>
      <c r="L13" s="37" t="s">
        <v>707</v>
      </c>
      <c r="M13" s="12" t="s">
        <v>678</v>
      </c>
      <c r="N13" s="12"/>
      <c r="O13" s="14" t="str">
        <f t="shared" si="0"/>
        <v>OSLA</v>
      </c>
    </row>
    <row r="14" spans="1:15" x14ac:dyDescent="0.25">
      <c r="A14" s="18">
        <v>13</v>
      </c>
      <c r="B14" s="18" t="s">
        <v>149</v>
      </c>
      <c r="C14" s="10" t="s">
        <v>14</v>
      </c>
      <c r="D14" s="10" t="s">
        <v>702</v>
      </c>
      <c r="E14" s="10" t="s">
        <v>150</v>
      </c>
      <c r="F14" s="13">
        <v>43146.458333333336</v>
      </c>
      <c r="G14" s="13">
        <v>43147.369444444441</v>
      </c>
      <c r="H14" s="18">
        <v>1311.9999999913853</v>
      </c>
      <c r="I14" s="10" t="s">
        <v>151</v>
      </c>
      <c r="J14" s="10" t="s">
        <v>152</v>
      </c>
      <c r="K14" s="10" t="s">
        <v>153</v>
      </c>
      <c r="L14" s="37" t="s">
        <v>704</v>
      </c>
      <c r="M14" s="12" t="s">
        <v>678</v>
      </c>
      <c r="N14" s="12"/>
      <c r="O14" s="14" t="str">
        <f t="shared" si="0"/>
        <v>OSLA</v>
      </c>
    </row>
    <row r="15" spans="1:15" x14ac:dyDescent="0.25">
      <c r="A15" s="18">
        <v>14</v>
      </c>
      <c r="B15" s="18" t="s">
        <v>154</v>
      </c>
      <c r="C15" s="10" t="s">
        <v>2</v>
      </c>
      <c r="D15" s="38" t="s">
        <v>701</v>
      </c>
      <c r="E15" s="10" t="s">
        <v>18</v>
      </c>
      <c r="F15" s="13">
        <v>43146.414583333331</v>
      </c>
      <c r="G15" s="13">
        <v>43146.444444444445</v>
      </c>
      <c r="H15" s="18">
        <v>43</v>
      </c>
      <c r="I15" s="10" t="s">
        <v>120</v>
      </c>
      <c r="J15" s="10" t="s">
        <v>19</v>
      </c>
      <c r="K15" s="10" t="s">
        <v>88</v>
      </c>
      <c r="L15" s="38" t="s">
        <v>701</v>
      </c>
      <c r="M15" s="12" t="s">
        <v>678</v>
      </c>
      <c r="N15" s="12"/>
      <c r="O15" s="14" t="str">
        <f t="shared" si="0"/>
        <v>ISLA</v>
      </c>
    </row>
    <row r="16" spans="1:15" x14ac:dyDescent="0.25">
      <c r="A16" s="18">
        <v>15</v>
      </c>
      <c r="B16" s="105" t="s">
        <v>1280</v>
      </c>
      <c r="C16" s="10" t="s">
        <v>2</v>
      </c>
      <c r="D16" s="38" t="s">
        <v>701</v>
      </c>
      <c r="E16" s="10" t="s">
        <v>18</v>
      </c>
      <c r="F16" s="13">
        <v>43146.5625</v>
      </c>
      <c r="G16" s="13">
        <v>43146.599305555559</v>
      </c>
      <c r="H16" s="18">
        <v>53</v>
      </c>
      <c r="I16" s="10" t="s">
        <v>120</v>
      </c>
      <c r="J16" s="10" t="s">
        <v>19</v>
      </c>
      <c r="K16" s="10" t="s">
        <v>88</v>
      </c>
      <c r="L16" s="38" t="s">
        <v>701</v>
      </c>
      <c r="M16" s="12" t="s">
        <v>678</v>
      </c>
      <c r="N16" s="12"/>
      <c r="O16" s="14" t="str">
        <f t="shared" si="0"/>
        <v>ISLA</v>
      </c>
    </row>
    <row r="17" spans="1:15" x14ac:dyDescent="0.25">
      <c r="A17" s="18">
        <v>16</v>
      </c>
      <c r="B17" s="18" t="s">
        <v>155</v>
      </c>
      <c r="C17" s="10" t="s">
        <v>2</v>
      </c>
      <c r="D17" s="38" t="s">
        <v>701</v>
      </c>
      <c r="E17" s="10" t="s">
        <v>18</v>
      </c>
      <c r="F17" s="13">
        <v>43146.909722222219</v>
      </c>
      <c r="G17" s="13">
        <v>43146.940972222219</v>
      </c>
      <c r="H17" s="18">
        <v>45</v>
      </c>
      <c r="I17" s="10" t="s">
        <v>120</v>
      </c>
      <c r="J17" s="10" t="s">
        <v>19</v>
      </c>
      <c r="K17" s="10" t="s">
        <v>88</v>
      </c>
      <c r="L17" s="38" t="s">
        <v>701</v>
      </c>
      <c r="M17" s="12" t="s">
        <v>678</v>
      </c>
      <c r="N17" s="12"/>
      <c r="O17" s="14" t="str">
        <f t="shared" si="0"/>
        <v>ISLA</v>
      </c>
    </row>
    <row r="18" spans="1:15" x14ac:dyDescent="0.25">
      <c r="A18" s="10">
        <v>17</v>
      </c>
      <c r="B18" s="10" t="s">
        <v>157</v>
      </c>
      <c r="C18" s="10" t="s">
        <v>158</v>
      </c>
      <c r="D18" s="10" t="s">
        <v>702</v>
      </c>
      <c r="E18" s="10" t="s">
        <v>57</v>
      </c>
      <c r="F18" s="13">
        <v>43150.73333333333</v>
      </c>
      <c r="G18" s="13">
        <v>43164.732638888891</v>
      </c>
      <c r="H18" s="10">
        <v>20159.000000007218</v>
      </c>
      <c r="I18" s="10" t="s">
        <v>181</v>
      </c>
      <c r="J18" s="10" t="s">
        <v>1281</v>
      </c>
      <c r="K18" s="10" t="s">
        <v>1281</v>
      </c>
      <c r="L18" s="38" t="s">
        <v>1282</v>
      </c>
      <c r="M18" s="12" t="s">
        <v>678</v>
      </c>
      <c r="N18" s="12"/>
      <c r="O18" s="14" t="str">
        <f t="shared" si="0"/>
        <v>OSLA</v>
      </c>
    </row>
    <row r="19" spans="1:15" x14ac:dyDescent="0.25">
      <c r="A19" s="18">
        <v>18</v>
      </c>
      <c r="B19" s="18" t="s">
        <v>161</v>
      </c>
      <c r="C19" s="10" t="s">
        <v>2</v>
      </c>
      <c r="D19" s="10" t="s">
        <v>702</v>
      </c>
      <c r="E19" s="10" t="s">
        <v>162</v>
      </c>
      <c r="F19" s="13">
        <v>43151.0625</v>
      </c>
      <c r="G19" s="13">
        <v>43151.092361111114</v>
      </c>
      <c r="H19" s="18">
        <v>43</v>
      </c>
      <c r="I19" s="10" t="s">
        <v>163</v>
      </c>
      <c r="J19" s="10" t="s">
        <v>164</v>
      </c>
      <c r="K19" s="10" t="s">
        <v>165</v>
      </c>
      <c r="L19" s="37" t="s">
        <v>707</v>
      </c>
      <c r="M19" s="12" t="s">
        <v>678</v>
      </c>
      <c r="N19" s="12"/>
      <c r="O19" s="14" t="str">
        <f t="shared" si="0"/>
        <v>ISLA</v>
      </c>
    </row>
    <row r="20" spans="1:15" x14ac:dyDescent="0.25">
      <c r="A20" s="18">
        <v>19</v>
      </c>
      <c r="B20" s="18" t="s">
        <v>166</v>
      </c>
      <c r="C20" s="10" t="s">
        <v>2</v>
      </c>
      <c r="D20" s="10" t="s">
        <v>702</v>
      </c>
      <c r="E20" s="10" t="s">
        <v>81</v>
      </c>
      <c r="F20" s="13">
        <v>43151.59375</v>
      </c>
      <c r="G20" s="13">
        <v>43151.654861111114</v>
      </c>
      <c r="H20" s="18">
        <v>88</v>
      </c>
      <c r="I20" s="10" t="s">
        <v>167</v>
      </c>
      <c r="J20" s="10" t="s">
        <v>168</v>
      </c>
      <c r="K20" s="10" t="s">
        <v>169</v>
      </c>
      <c r="L20" s="37" t="s">
        <v>704</v>
      </c>
      <c r="M20" s="12" t="s">
        <v>678</v>
      </c>
      <c r="N20" s="12"/>
      <c r="O20" s="14" t="str">
        <f t="shared" si="0"/>
        <v>ISLA</v>
      </c>
    </row>
    <row r="21" spans="1:15" x14ac:dyDescent="0.25">
      <c r="A21" s="18">
        <v>20</v>
      </c>
      <c r="B21" s="18" t="s">
        <v>170</v>
      </c>
      <c r="C21" s="10" t="s">
        <v>2</v>
      </c>
      <c r="D21" s="37" t="s">
        <v>707</v>
      </c>
      <c r="E21" s="10" t="s">
        <v>171</v>
      </c>
      <c r="F21" s="13">
        <v>43152.754166666666</v>
      </c>
      <c r="G21" s="13">
        <v>43152.930555555555</v>
      </c>
      <c r="H21" s="18">
        <v>254</v>
      </c>
      <c r="I21" s="10" t="s">
        <v>172</v>
      </c>
      <c r="J21" s="10" t="s">
        <v>173</v>
      </c>
      <c r="K21" s="10" t="s">
        <v>174</v>
      </c>
      <c r="L21" s="37" t="s">
        <v>707</v>
      </c>
      <c r="M21" s="12" t="s">
        <v>678</v>
      </c>
      <c r="N21" s="12"/>
      <c r="O21" s="14" t="str">
        <f t="shared" si="0"/>
        <v>OSLA</v>
      </c>
    </row>
    <row r="22" spans="1:15" x14ac:dyDescent="0.25">
      <c r="A22" s="10">
        <v>21</v>
      </c>
      <c r="B22" s="10" t="s">
        <v>175</v>
      </c>
      <c r="C22" s="10" t="s">
        <v>14</v>
      </c>
      <c r="D22" s="10" t="s">
        <v>702</v>
      </c>
      <c r="E22" s="10" t="s">
        <v>27</v>
      </c>
      <c r="F22" s="13">
        <v>43153.107638888891</v>
      </c>
      <c r="G22" s="13">
        <v>43153.245138888888</v>
      </c>
      <c r="H22" s="10">
        <v>198</v>
      </c>
      <c r="I22" s="10" t="s">
        <v>27</v>
      </c>
      <c r="J22" s="10" t="s">
        <v>20</v>
      </c>
      <c r="K22" s="10" t="s">
        <v>105</v>
      </c>
      <c r="L22" s="37" t="s">
        <v>710</v>
      </c>
      <c r="M22" s="12" t="s">
        <v>678</v>
      </c>
      <c r="N22" s="12"/>
      <c r="O22" s="14" t="str">
        <f t="shared" si="0"/>
        <v>ISLA</v>
      </c>
    </row>
    <row r="23" spans="1:15" x14ac:dyDescent="0.25">
      <c r="A23" s="18">
        <v>22</v>
      </c>
      <c r="B23" s="18" t="s">
        <v>176</v>
      </c>
      <c r="C23" s="10" t="s">
        <v>2</v>
      </c>
      <c r="D23" s="10" t="s">
        <v>702</v>
      </c>
      <c r="E23" s="10" t="s">
        <v>177</v>
      </c>
      <c r="F23" s="13">
        <v>43152.115972222222</v>
      </c>
      <c r="G23" s="13">
        <v>43153.798611111109</v>
      </c>
      <c r="H23" s="18">
        <v>2423</v>
      </c>
      <c r="I23" s="10" t="s">
        <v>177</v>
      </c>
      <c r="J23" s="10" t="s">
        <v>178</v>
      </c>
      <c r="K23" s="10" t="s">
        <v>179</v>
      </c>
      <c r="L23" s="37" t="s">
        <v>708</v>
      </c>
      <c r="M23" s="12" t="s">
        <v>678</v>
      </c>
      <c r="N23" s="12"/>
      <c r="O23" s="14" t="str">
        <f t="shared" si="0"/>
        <v>OSLA</v>
      </c>
    </row>
    <row r="24" spans="1:15" s="3" customFormat="1" x14ac:dyDescent="0.25">
      <c r="A24" s="2">
        <v>23</v>
      </c>
      <c r="B24" s="2" t="s">
        <v>675</v>
      </c>
      <c r="C24" s="2" t="s">
        <v>2</v>
      </c>
      <c r="D24" s="10" t="s">
        <v>702</v>
      </c>
      <c r="E24" s="2" t="s">
        <v>44</v>
      </c>
      <c r="F24" s="33">
        <v>43153.643055555556</v>
      </c>
      <c r="G24" s="33">
        <v>43155.618750000001</v>
      </c>
      <c r="H24" s="2">
        <v>2845.0000000011642</v>
      </c>
      <c r="I24" s="2" t="s">
        <v>180</v>
      </c>
      <c r="J24" s="2" t="s">
        <v>68</v>
      </c>
      <c r="K24" s="2" t="s">
        <v>160</v>
      </c>
      <c r="L24" s="37" t="s">
        <v>707</v>
      </c>
      <c r="M24" s="12" t="s">
        <v>678</v>
      </c>
      <c r="N24" s="12"/>
      <c r="O24" s="14" t="str">
        <f t="shared" si="0"/>
        <v>OSLA</v>
      </c>
    </row>
    <row r="25" spans="1:15" x14ac:dyDescent="0.25">
      <c r="A25" s="18">
        <v>24</v>
      </c>
      <c r="B25" s="18" t="s">
        <v>182</v>
      </c>
      <c r="C25" s="10" t="s">
        <v>2</v>
      </c>
      <c r="D25" s="38" t="s">
        <v>701</v>
      </c>
      <c r="E25" s="10" t="s">
        <v>18</v>
      </c>
      <c r="F25" s="13">
        <v>43150.75277777778</v>
      </c>
      <c r="G25" s="13">
        <v>43154.479166666664</v>
      </c>
      <c r="H25" s="18">
        <v>4248.0833333285409</v>
      </c>
      <c r="I25" s="10" t="s">
        <v>120</v>
      </c>
      <c r="J25" s="10" t="s">
        <v>19</v>
      </c>
      <c r="K25" s="10" t="s">
        <v>88</v>
      </c>
      <c r="L25" s="38" t="s">
        <v>701</v>
      </c>
      <c r="M25" s="12" t="s">
        <v>678</v>
      </c>
      <c r="N25" s="12"/>
      <c r="O25" s="14" t="str">
        <f t="shared" si="0"/>
        <v>OSLA</v>
      </c>
    </row>
    <row r="26" spans="1:15" x14ac:dyDescent="0.25">
      <c r="A26" s="18">
        <v>25</v>
      </c>
      <c r="B26" s="18" t="s">
        <v>183</v>
      </c>
      <c r="C26" s="10" t="s">
        <v>14</v>
      </c>
      <c r="D26" s="10" t="s">
        <v>702</v>
      </c>
      <c r="E26" s="10" t="s">
        <v>184</v>
      </c>
      <c r="F26" s="13">
        <v>43155.383333333331</v>
      </c>
      <c r="G26" s="13">
        <v>43155.716666666667</v>
      </c>
      <c r="H26" s="18">
        <v>480</v>
      </c>
      <c r="I26" s="10" t="s">
        <v>185</v>
      </c>
      <c r="J26" s="10" t="s">
        <v>186</v>
      </c>
      <c r="K26" s="10" t="s">
        <v>187</v>
      </c>
      <c r="L26" s="38" t="s">
        <v>703</v>
      </c>
      <c r="M26" s="12" t="s">
        <v>678</v>
      </c>
      <c r="N26" s="12"/>
      <c r="O26" s="14" t="str">
        <f t="shared" si="0"/>
        <v>OSLA</v>
      </c>
    </row>
    <row r="27" spans="1:15" s="3" customFormat="1" ht="12.75" customHeight="1" x14ac:dyDescent="0.25">
      <c r="A27" s="2">
        <v>26</v>
      </c>
      <c r="B27" s="2" t="s">
        <v>188</v>
      </c>
      <c r="C27" s="2" t="s">
        <v>14</v>
      </c>
      <c r="D27" s="38" t="s">
        <v>701</v>
      </c>
      <c r="E27" s="2" t="s">
        <v>189</v>
      </c>
      <c r="F27" s="33">
        <v>43157.116666666669</v>
      </c>
      <c r="G27" s="33">
        <v>43157.132638888892</v>
      </c>
      <c r="H27" s="2">
        <v>23</v>
      </c>
      <c r="I27" s="2" t="s">
        <v>190</v>
      </c>
      <c r="J27" s="2" t="s">
        <v>191</v>
      </c>
      <c r="K27" s="2" t="s">
        <v>192</v>
      </c>
      <c r="L27" s="38" t="s">
        <v>701</v>
      </c>
      <c r="M27" s="12" t="s">
        <v>678</v>
      </c>
      <c r="N27" s="12"/>
      <c r="O27" s="14" t="str">
        <f t="shared" si="0"/>
        <v>ISLA</v>
      </c>
    </row>
    <row r="28" spans="1:15" s="3" customFormat="1" x14ac:dyDescent="0.25">
      <c r="A28" s="2">
        <v>27</v>
      </c>
      <c r="B28" s="2" t="s">
        <v>193</v>
      </c>
      <c r="C28" s="2" t="s">
        <v>14</v>
      </c>
      <c r="D28" s="10" t="s">
        <v>702</v>
      </c>
      <c r="E28" s="2" t="s">
        <v>44</v>
      </c>
      <c r="F28" s="33">
        <v>43158.544444444444</v>
      </c>
      <c r="G28" s="33">
        <v>43159.558333333334</v>
      </c>
      <c r="H28" s="2">
        <v>1460.0000000023283</v>
      </c>
      <c r="I28" s="2" t="s">
        <v>194</v>
      </c>
      <c r="J28" s="2" t="s">
        <v>191</v>
      </c>
      <c r="K28" s="2" t="s">
        <v>192</v>
      </c>
      <c r="L28" s="37" t="s">
        <v>707</v>
      </c>
      <c r="M28" s="12" t="s">
        <v>678</v>
      </c>
      <c r="N28" s="12"/>
      <c r="O28" s="14" t="str">
        <f t="shared" si="0"/>
        <v>OSLA</v>
      </c>
    </row>
    <row r="29" spans="1:15" x14ac:dyDescent="0.25">
      <c r="A29" s="18">
        <v>28</v>
      </c>
      <c r="B29" s="18" t="s">
        <v>58</v>
      </c>
      <c r="C29" s="10" t="s">
        <v>2</v>
      </c>
      <c r="D29" s="38" t="s">
        <v>713</v>
      </c>
      <c r="E29" s="10" t="s">
        <v>195</v>
      </c>
      <c r="F29" s="13">
        <v>43159.418749999997</v>
      </c>
      <c r="G29" s="13">
        <v>43159.634027777778</v>
      </c>
      <c r="H29" s="18">
        <v>310</v>
      </c>
      <c r="I29" s="10" t="s">
        <v>196</v>
      </c>
      <c r="J29" s="10" t="s">
        <v>197</v>
      </c>
      <c r="K29" s="10" t="s">
        <v>198</v>
      </c>
      <c r="L29" s="38" t="s">
        <v>713</v>
      </c>
      <c r="M29" s="12" t="s">
        <v>678</v>
      </c>
      <c r="N29" s="12"/>
      <c r="O29" s="14" t="str">
        <f t="shared" si="0"/>
        <v>OSLA</v>
      </c>
    </row>
    <row r="30" spans="1:15" x14ac:dyDescent="0.25">
      <c r="N30" s="5"/>
    </row>
    <row r="31" spans="1:15" x14ac:dyDescent="0.25">
      <c r="N31" s="4"/>
    </row>
    <row r="32" spans="1:15" x14ac:dyDescent="0.25">
      <c r="N32" s="5"/>
    </row>
    <row r="33" spans="2:14" x14ac:dyDescent="0.25">
      <c r="N33" s="5"/>
    </row>
    <row r="34" spans="2:14" x14ac:dyDescent="0.25">
      <c r="N34" s="5"/>
    </row>
    <row r="35" spans="2:14" x14ac:dyDescent="0.25">
      <c r="N35" s="5"/>
    </row>
    <row r="36" spans="2:14" x14ac:dyDescent="0.25">
      <c r="N36" s="5"/>
    </row>
    <row r="37" spans="2:14" ht="14.6" x14ac:dyDescent="0.4">
      <c r="B37"/>
      <c r="C37"/>
      <c r="D37"/>
    </row>
    <row r="38" spans="2:14" ht="14.6" x14ac:dyDescent="0.4">
      <c r="B38"/>
      <c r="C38"/>
      <c r="D38"/>
    </row>
    <row r="39" spans="2:14" ht="14.6" x14ac:dyDescent="0.4">
      <c r="B39"/>
      <c r="C39"/>
      <c r="D39"/>
    </row>
    <row r="40" spans="2:14" ht="14.6" x14ac:dyDescent="0.4">
      <c r="B40"/>
      <c r="C40"/>
      <c r="D40"/>
    </row>
    <row r="47" spans="2:14" ht="14.6" x14ac:dyDescent="0.4">
      <c r="B47" s="73" t="s">
        <v>2</v>
      </c>
      <c r="C47" s="73" t="s">
        <v>776</v>
      </c>
      <c r="D47" s="73">
        <v>120</v>
      </c>
    </row>
    <row r="48" spans="2:14" ht="14.6" x14ac:dyDescent="0.4">
      <c r="B48" s="73" t="s">
        <v>14</v>
      </c>
      <c r="C48" s="73" t="s">
        <v>777</v>
      </c>
      <c r="D48" s="73">
        <v>240</v>
      </c>
    </row>
    <row r="49" spans="2:4" ht="14.6" x14ac:dyDescent="0.4">
      <c r="B49" s="73" t="s">
        <v>158</v>
      </c>
      <c r="C49" s="73" t="s">
        <v>778</v>
      </c>
      <c r="D49" s="73">
        <f>1440*2</f>
        <v>2880</v>
      </c>
    </row>
    <row r="50" spans="2:4" ht="14.6" x14ac:dyDescent="0.4">
      <c r="B50" s="73" t="s">
        <v>757</v>
      </c>
      <c r="C50" s="73" t="s">
        <v>779</v>
      </c>
      <c r="D50" s="73">
        <f>3*1440</f>
        <v>4320</v>
      </c>
    </row>
  </sheetData>
  <autoFilter ref="A1:N29" xr:uid="{00000000-0009-0000-0000-000005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3">
    <tabColor theme="5"/>
  </sheetPr>
  <dimension ref="A1:O50"/>
  <sheetViews>
    <sheetView workbookViewId="0">
      <selection activeCell="I16" sqref="I16:L16"/>
    </sheetView>
  </sheetViews>
  <sheetFormatPr baseColWidth="10" defaultColWidth="11.4609375" defaultRowHeight="10.3" x14ac:dyDescent="0.25"/>
  <cols>
    <col min="1" max="1" width="3" style="1" bestFit="1" customWidth="1"/>
    <col min="2" max="2" width="9.84375" style="1" bestFit="1" customWidth="1"/>
    <col min="3" max="3" width="6.84375" style="1" bestFit="1" customWidth="1"/>
    <col min="4" max="4" width="9.07421875" style="1" bestFit="1" customWidth="1"/>
    <col min="5" max="5" width="29.4609375" style="1" customWidth="1"/>
    <col min="6" max="6" width="20.3046875" style="1" bestFit="1" customWidth="1"/>
    <col min="7" max="7" width="17" style="1" bestFit="1" customWidth="1"/>
    <col min="8" max="8" width="10.07421875" style="46" bestFit="1" customWidth="1"/>
    <col min="9" max="9" width="40" style="1" customWidth="1"/>
    <col min="10" max="10" width="40.3046875" style="1" customWidth="1"/>
    <col min="11" max="11" width="27.69140625" style="1" bestFit="1" customWidth="1"/>
    <col min="12" max="12" width="9.4609375" style="1" bestFit="1" customWidth="1"/>
    <col min="13" max="13" width="11.4609375" style="1"/>
    <col min="14" max="14" width="9.69140625" style="1" customWidth="1"/>
    <col min="15" max="16384" width="11.4609375" style="1"/>
  </cols>
  <sheetData>
    <row r="1" spans="1:15" ht="12.45" x14ac:dyDescent="0.25">
      <c r="A1" s="6" t="s">
        <v>0</v>
      </c>
      <c r="B1" s="6" t="s">
        <v>679</v>
      </c>
      <c r="C1" s="6" t="s">
        <v>680</v>
      </c>
      <c r="D1" s="6" t="s">
        <v>700</v>
      </c>
      <c r="E1" s="6" t="s">
        <v>696</v>
      </c>
      <c r="F1" s="6" t="s">
        <v>695</v>
      </c>
      <c r="G1" s="6" t="s">
        <v>694</v>
      </c>
      <c r="H1" s="7" t="s">
        <v>681</v>
      </c>
      <c r="I1" s="6" t="s">
        <v>395</v>
      </c>
      <c r="J1" s="6" t="s">
        <v>682</v>
      </c>
      <c r="K1" s="6" t="s">
        <v>683</v>
      </c>
      <c r="L1" s="7" t="s">
        <v>699</v>
      </c>
      <c r="M1" s="6" t="s">
        <v>684</v>
      </c>
      <c r="N1" s="6" t="s">
        <v>659</v>
      </c>
      <c r="O1" s="6" t="s">
        <v>888</v>
      </c>
    </row>
    <row r="2" spans="1:15" x14ac:dyDescent="0.25">
      <c r="A2" s="18">
        <v>1</v>
      </c>
      <c r="B2" s="18" t="s">
        <v>199</v>
      </c>
      <c r="C2" s="10" t="s">
        <v>2</v>
      </c>
      <c r="D2" s="10" t="s">
        <v>702</v>
      </c>
      <c r="E2" s="10" t="s">
        <v>147</v>
      </c>
      <c r="F2" s="13">
        <v>43160.21597222222</v>
      </c>
      <c r="G2" s="20">
        <v>43160.373611111114</v>
      </c>
      <c r="H2" s="39">
        <v>227</v>
      </c>
      <c r="I2" s="10" t="s">
        <v>200</v>
      </c>
      <c r="J2" s="10" t="s">
        <v>201</v>
      </c>
      <c r="K2" s="10" t="s">
        <v>202</v>
      </c>
      <c r="L2" s="37" t="s">
        <v>707</v>
      </c>
      <c r="M2" s="12" t="s">
        <v>678</v>
      </c>
      <c r="N2" s="12"/>
      <c r="O2" s="14" t="str">
        <f>IF(AND(C2=$B$47,H2&lt;=$D$47),"ISLA",IF((AND(C2=$B$48,H2&lt;=$D$48)),"ISLA",IF((AND(C2=$B$49,H2&lt;=$D$49)),"ISLA","OSLA")))</f>
        <v>OSLA</v>
      </c>
    </row>
    <row r="3" spans="1:15" x14ac:dyDescent="0.25">
      <c r="A3" s="18">
        <v>2</v>
      </c>
      <c r="B3" s="18" t="s">
        <v>203</v>
      </c>
      <c r="C3" s="10" t="s">
        <v>14</v>
      </c>
      <c r="D3" s="10" t="s">
        <v>702</v>
      </c>
      <c r="E3" s="10" t="s">
        <v>204</v>
      </c>
      <c r="F3" s="13">
        <v>43160.376388888886</v>
      </c>
      <c r="G3" s="20">
        <v>43160.67083333333</v>
      </c>
      <c r="H3" s="39">
        <v>424</v>
      </c>
      <c r="I3" s="10" t="s">
        <v>205</v>
      </c>
      <c r="J3" s="10" t="s">
        <v>197</v>
      </c>
      <c r="K3" s="10" t="s">
        <v>198</v>
      </c>
      <c r="L3" s="38" t="s">
        <v>713</v>
      </c>
      <c r="M3" s="12" t="s">
        <v>678</v>
      </c>
      <c r="N3" s="12"/>
      <c r="O3" s="14" t="str">
        <f t="shared" ref="O3:O41" si="0">IF(AND(C3=$B$47,H3&lt;=$D$47),"ISLA",IF((AND(C3=$B$48,H3&lt;=$D$48)),"ISLA",IF((AND(C3=$B$49,H3&lt;=$D$49)),"ISLA","OSLA")))</f>
        <v>OSLA</v>
      </c>
    </row>
    <row r="4" spans="1:15" x14ac:dyDescent="0.25">
      <c r="A4" s="2">
        <v>3</v>
      </c>
      <c r="B4" s="2" t="s">
        <v>206</v>
      </c>
      <c r="C4" s="2" t="s">
        <v>2</v>
      </c>
      <c r="D4" s="10" t="s">
        <v>702</v>
      </c>
      <c r="E4" s="2" t="s">
        <v>207</v>
      </c>
      <c r="F4" s="33">
        <v>43160.576388888891</v>
      </c>
      <c r="G4" s="33">
        <v>43161.379166666666</v>
      </c>
      <c r="H4" s="44">
        <v>1155.9999999962747</v>
      </c>
      <c r="I4" s="2" t="s">
        <v>667</v>
      </c>
      <c r="J4" s="2" t="s">
        <v>20</v>
      </c>
      <c r="K4" s="2" t="s">
        <v>105</v>
      </c>
      <c r="L4" s="38" t="s">
        <v>712</v>
      </c>
      <c r="M4" s="12" t="s">
        <v>678</v>
      </c>
      <c r="N4" s="17"/>
      <c r="O4" s="14" t="str">
        <f t="shared" si="0"/>
        <v>OSLA</v>
      </c>
    </row>
    <row r="5" spans="1:15" x14ac:dyDescent="0.25">
      <c r="A5" s="18">
        <v>4</v>
      </c>
      <c r="B5" s="18" t="s">
        <v>208</v>
      </c>
      <c r="C5" s="10" t="s">
        <v>2</v>
      </c>
      <c r="D5" s="38" t="s">
        <v>701</v>
      </c>
      <c r="E5" s="10" t="s">
        <v>18</v>
      </c>
      <c r="F5" s="13">
        <v>43160.802083333336</v>
      </c>
      <c r="G5" s="20">
        <v>43160.914583333331</v>
      </c>
      <c r="H5" s="39">
        <v>162</v>
      </c>
      <c r="I5" s="10" t="s">
        <v>211</v>
      </c>
      <c r="J5" s="10" t="s">
        <v>19</v>
      </c>
      <c r="K5" s="10" t="s">
        <v>209</v>
      </c>
      <c r="L5" s="38" t="s">
        <v>701</v>
      </c>
      <c r="M5" s="12" t="s">
        <v>678</v>
      </c>
      <c r="N5" s="37"/>
      <c r="O5" s="14" t="str">
        <f t="shared" si="0"/>
        <v>OSLA</v>
      </c>
    </row>
    <row r="6" spans="1:15" x14ac:dyDescent="0.25">
      <c r="A6" s="18">
        <v>5</v>
      </c>
      <c r="B6" s="18" t="s">
        <v>210</v>
      </c>
      <c r="C6" s="10" t="s">
        <v>2</v>
      </c>
      <c r="D6" s="38" t="s">
        <v>701</v>
      </c>
      <c r="E6" s="10" t="s">
        <v>18</v>
      </c>
      <c r="F6" s="13">
        <v>43161.305555555555</v>
      </c>
      <c r="G6" s="20">
        <v>43161.356944444444</v>
      </c>
      <c r="H6" s="39">
        <v>74</v>
      </c>
      <c r="I6" s="10" t="s">
        <v>211</v>
      </c>
      <c r="J6" s="10" t="s">
        <v>19</v>
      </c>
      <c r="K6" s="10" t="s">
        <v>212</v>
      </c>
      <c r="L6" s="38" t="s">
        <v>701</v>
      </c>
      <c r="M6" s="12" t="s">
        <v>678</v>
      </c>
      <c r="N6" s="37"/>
      <c r="O6" s="14" t="str">
        <f t="shared" si="0"/>
        <v>ISLA</v>
      </c>
    </row>
    <row r="7" spans="1:15" ht="30.9" x14ac:dyDescent="0.25">
      <c r="A7" s="18">
        <v>6</v>
      </c>
      <c r="B7" s="18" t="s">
        <v>213</v>
      </c>
      <c r="C7" s="10" t="s">
        <v>2</v>
      </c>
      <c r="D7" s="10" t="s">
        <v>702</v>
      </c>
      <c r="E7" s="10" t="s">
        <v>138</v>
      </c>
      <c r="F7" s="13">
        <v>43162.673611111109</v>
      </c>
      <c r="G7" s="20">
        <v>43162.777777777781</v>
      </c>
      <c r="H7" s="39">
        <v>150</v>
      </c>
      <c r="I7" s="10" t="s">
        <v>214</v>
      </c>
      <c r="J7" s="106" t="s">
        <v>215</v>
      </c>
      <c r="K7" s="10" t="s">
        <v>216</v>
      </c>
      <c r="L7" s="38" t="s">
        <v>701</v>
      </c>
      <c r="M7" s="12" t="s">
        <v>678</v>
      </c>
      <c r="N7" s="12"/>
      <c r="O7" s="14" t="str">
        <f t="shared" si="0"/>
        <v>OSLA</v>
      </c>
    </row>
    <row r="8" spans="1:15" x14ac:dyDescent="0.25">
      <c r="A8" s="18">
        <v>7</v>
      </c>
      <c r="B8" s="18" t="s">
        <v>217</v>
      </c>
      <c r="C8" s="10" t="s">
        <v>2</v>
      </c>
      <c r="D8" s="10" t="s">
        <v>702</v>
      </c>
      <c r="E8" s="10" t="s">
        <v>101</v>
      </c>
      <c r="F8" s="13">
        <v>43162.67291666667</v>
      </c>
      <c r="G8" s="20">
        <v>43162.743055555555</v>
      </c>
      <c r="H8" s="39">
        <v>101</v>
      </c>
      <c r="I8" s="10" t="s">
        <v>218</v>
      </c>
      <c r="J8" s="10" t="s">
        <v>156</v>
      </c>
      <c r="K8" s="10" t="s">
        <v>219</v>
      </c>
      <c r="L8" s="38" t="s">
        <v>703</v>
      </c>
      <c r="M8" s="12" t="s">
        <v>678</v>
      </c>
      <c r="N8" s="12"/>
      <c r="O8" s="14" t="str">
        <f t="shared" si="0"/>
        <v>ISLA</v>
      </c>
    </row>
    <row r="9" spans="1:15" x14ac:dyDescent="0.25">
      <c r="A9" s="18">
        <v>8</v>
      </c>
      <c r="B9" s="18" t="s">
        <v>220</v>
      </c>
      <c r="C9" s="10" t="s">
        <v>14</v>
      </c>
      <c r="D9" s="38" t="s">
        <v>701</v>
      </c>
      <c r="E9" s="10" t="s">
        <v>221</v>
      </c>
      <c r="F9" s="13">
        <v>43162.732638888891</v>
      </c>
      <c r="G9" s="20">
        <v>43162.76666666667</v>
      </c>
      <c r="H9" s="39">
        <v>49</v>
      </c>
      <c r="I9" s="10" t="s">
        <v>222</v>
      </c>
      <c r="J9" s="10" t="s">
        <v>223</v>
      </c>
      <c r="K9" s="10" t="s">
        <v>216</v>
      </c>
      <c r="L9" s="38" t="s">
        <v>701</v>
      </c>
      <c r="M9" s="12" t="s">
        <v>678</v>
      </c>
      <c r="N9" s="12"/>
      <c r="O9" s="14" t="str">
        <f t="shared" si="0"/>
        <v>ISLA</v>
      </c>
    </row>
    <row r="10" spans="1:15" x14ac:dyDescent="0.25">
      <c r="A10" s="18">
        <v>9</v>
      </c>
      <c r="B10" s="18" t="s">
        <v>224</v>
      </c>
      <c r="C10" s="10" t="s">
        <v>2</v>
      </c>
      <c r="D10" s="38" t="s">
        <v>701</v>
      </c>
      <c r="E10" s="10" t="s">
        <v>236</v>
      </c>
      <c r="F10" s="13">
        <v>43163.443055555559</v>
      </c>
      <c r="G10" s="20">
        <v>43164.012499999997</v>
      </c>
      <c r="H10" s="39">
        <v>820</v>
      </c>
      <c r="I10" s="10" t="s">
        <v>237</v>
      </c>
      <c r="J10" s="10" t="s">
        <v>225</v>
      </c>
      <c r="K10" s="10" t="s">
        <v>226</v>
      </c>
      <c r="L10" s="38" t="s">
        <v>701</v>
      </c>
      <c r="M10" s="12" t="s">
        <v>678</v>
      </c>
      <c r="N10" s="37"/>
      <c r="O10" s="14" t="str">
        <f t="shared" si="0"/>
        <v>OSLA</v>
      </c>
    </row>
    <row r="11" spans="1:15" x14ac:dyDescent="0.25">
      <c r="A11" s="18">
        <v>10</v>
      </c>
      <c r="B11" s="18" t="s">
        <v>227</v>
      </c>
      <c r="C11" s="10" t="s">
        <v>2</v>
      </c>
      <c r="D11" s="10" t="s">
        <v>702</v>
      </c>
      <c r="E11" s="10" t="s">
        <v>228</v>
      </c>
      <c r="F11" s="13">
        <v>43164.5</v>
      </c>
      <c r="G11" s="20">
        <v>43164.575694444444</v>
      </c>
      <c r="H11" s="39">
        <v>109</v>
      </c>
      <c r="I11" s="10" t="s">
        <v>229</v>
      </c>
      <c r="J11" s="10" t="s">
        <v>230</v>
      </c>
      <c r="K11" s="10" t="s">
        <v>105</v>
      </c>
      <c r="L11" s="37" t="s">
        <v>707</v>
      </c>
      <c r="M11" s="12" t="s">
        <v>678</v>
      </c>
      <c r="N11" s="12"/>
      <c r="O11" s="14" t="str">
        <f t="shared" si="0"/>
        <v>ISLA</v>
      </c>
    </row>
    <row r="12" spans="1:15" x14ac:dyDescent="0.25">
      <c r="A12" s="18">
        <v>11</v>
      </c>
      <c r="B12" s="18" t="s">
        <v>231</v>
      </c>
      <c r="C12" s="10" t="s">
        <v>14</v>
      </c>
      <c r="D12" s="10" t="s">
        <v>702</v>
      </c>
      <c r="E12" s="10" t="s">
        <v>44</v>
      </c>
      <c r="F12" s="13">
        <v>43164.615972222222</v>
      </c>
      <c r="G12" s="20">
        <v>43164.695833333331</v>
      </c>
      <c r="H12" s="39">
        <v>115</v>
      </c>
      <c r="I12" s="10" t="s">
        <v>232</v>
      </c>
      <c r="J12" s="10" t="s">
        <v>233</v>
      </c>
      <c r="K12" s="10" t="s">
        <v>257</v>
      </c>
      <c r="L12" s="37" t="s">
        <v>707</v>
      </c>
      <c r="M12" s="12" t="s">
        <v>678</v>
      </c>
      <c r="N12" s="12"/>
      <c r="O12" s="14" t="str">
        <f t="shared" si="0"/>
        <v>ISLA</v>
      </c>
    </row>
    <row r="13" spans="1:15" x14ac:dyDescent="0.25">
      <c r="A13" s="18">
        <v>12</v>
      </c>
      <c r="B13" s="18" t="s">
        <v>234</v>
      </c>
      <c r="C13" s="10" t="s">
        <v>2</v>
      </c>
      <c r="D13" s="38" t="s">
        <v>701</v>
      </c>
      <c r="E13" s="10" t="s">
        <v>18</v>
      </c>
      <c r="F13" s="13">
        <v>43164.722222222219</v>
      </c>
      <c r="G13" s="20">
        <v>43164.760416666664</v>
      </c>
      <c r="H13" s="39">
        <v>55</v>
      </c>
      <c r="I13" s="10" t="s">
        <v>211</v>
      </c>
      <c r="J13" s="10" t="s">
        <v>19</v>
      </c>
      <c r="K13" s="10" t="s">
        <v>212</v>
      </c>
      <c r="L13" s="38" t="s">
        <v>701</v>
      </c>
      <c r="M13" s="12" t="s">
        <v>678</v>
      </c>
      <c r="N13" s="37"/>
      <c r="O13" s="14" t="str">
        <f t="shared" si="0"/>
        <v>ISLA</v>
      </c>
    </row>
    <row r="14" spans="1:15" x14ac:dyDescent="0.25">
      <c r="A14" s="18">
        <v>13</v>
      </c>
      <c r="B14" s="18" t="s">
        <v>235</v>
      </c>
      <c r="C14" s="10" t="s">
        <v>2</v>
      </c>
      <c r="D14" s="38" t="s">
        <v>701</v>
      </c>
      <c r="E14" s="10" t="s">
        <v>236</v>
      </c>
      <c r="F14" s="13">
        <v>43165.379861111112</v>
      </c>
      <c r="G14" s="20">
        <v>43165.484722222223</v>
      </c>
      <c r="H14" s="39">
        <v>151</v>
      </c>
      <c r="I14" s="10" t="s">
        <v>237</v>
      </c>
      <c r="J14" s="10" t="s">
        <v>238</v>
      </c>
      <c r="K14" s="10" t="s">
        <v>239</v>
      </c>
      <c r="L14" s="38" t="s">
        <v>701</v>
      </c>
      <c r="M14" s="12" t="s">
        <v>678</v>
      </c>
      <c r="N14" s="37"/>
      <c r="O14" s="14" t="str">
        <f t="shared" si="0"/>
        <v>OSLA</v>
      </c>
    </row>
    <row r="15" spans="1:15" x14ac:dyDescent="0.25">
      <c r="A15" s="18">
        <v>14</v>
      </c>
      <c r="B15" s="18" t="s">
        <v>240</v>
      </c>
      <c r="C15" s="10" t="s">
        <v>2</v>
      </c>
      <c r="D15" s="10" t="s">
        <v>702</v>
      </c>
      <c r="E15" s="10" t="s">
        <v>241</v>
      </c>
      <c r="F15" s="13">
        <v>43165.311111111114</v>
      </c>
      <c r="G15" s="20">
        <v>43165.484722222223</v>
      </c>
      <c r="H15" s="39">
        <v>250</v>
      </c>
      <c r="I15" s="10" t="s">
        <v>242</v>
      </c>
      <c r="J15" s="10" t="s">
        <v>243</v>
      </c>
      <c r="K15" s="10" t="s">
        <v>244</v>
      </c>
      <c r="L15" s="38" t="s">
        <v>704</v>
      </c>
      <c r="M15" s="12" t="s">
        <v>678</v>
      </c>
      <c r="N15" s="12"/>
      <c r="O15" s="14" t="str">
        <f t="shared" si="0"/>
        <v>OSLA</v>
      </c>
    </row>
    <row r="16" spans="1:15" x14ac:dyDescent="0.25">
      <c r="A16" s="18">
        <v>15</v>
      </c>
      <c r="B16" s="18" t="s">
        <v>245</v>
      </c>
      <c r="C16" s="10" t="s">
        <v>2</v>
      </c>
      <c r="D16" s="38" t="s">
        <v>701</v>
      </c>
      <c r="E16" s="10" t="s">
        <v>236</v>
      </c>
      <c r="F16" s="13">
        <v>43166.309027777781</v>
      </c>
      <c r="G16" s="20">
        <v>43166.340277777781</v>
      </c>
      <c r="H16" s="39">
        <v>45</v>
      </c>
      <c r="I16" s="10" t="s">
        <v>237</v>
      </c>
      <c r="J16" s="10" t="s">
        <v>1283</v>
      </c>
      <c r="K16" s="10" t="s">
        <v>20</v>
      </c>
      <c r="L16" s="38" t="s">
        <v>701</v>
      </c>
      <c r="M16" s="12" t="s">
        <v>678</v>
      </c>
      <c r="N16" s="37"/>
      <c r="O16" s="14" t="str">
        <f t="shared" si="0"/>
        <v>ISLA</v>
      </c>
    </row>
    <row r="17" spans="1:15" x14ac:dyDescent="0.25">
      <c r="A17" s="18">
        <v>16</v>
      </c>
      <c r="B17" s="18" t="s">
        <v>246</v>
      </c>
      <c r="C17" s="10" t="s">
        <v>14</v>
      </c>
      <c r="D17" s="10" t="s">
        <v>702</v>
      </c>
      <c r="E17" s="10" t="s">
        <v>247</v>
      </c>
      <c r="F17" s="13">
        <v>43166.417361111111</v>
      </c>
      <c r="G17" s="20">
        <v>43166.511111111111</v>
      </c>
      <c r="H17" s="39">
        <v>135</v>
      </c>
      <c r="I17" s="10" t="s">
        <v>248</v>
      </c>
      <c r="J17" s="10" t="s">
        <v>249</v>
      </c>
      <c r="K17" s="10" t="s">
        <v>250</v>
      </c>
      <c r="L17" s="38" t="s">
        <v>713</v>
      </c>
      <c r="M17" s="12" t="s">
        <v>678</v>
      </c>
      <c r="N17" s="12"/>
      <c r="O17" s="14" t="str">
        <f t="shared" si="0"/>
        <v>ISLA</v>
      </c>
    </row>
    <row r="18" spans="1:15" x14ac:dyDescent="0.25">
      <c r="A18" s="18">
        <v>17</v>
      </c>
      <c r="B18" s="18" t="s">
        <v>251</v>
      </c>
      <c r="C18" s="10" t="s">
        <v>2</v>
      </c>
      <c r="D18" s="38" t="s">
        <v>701</v>
      </c>
      <c r="E18" s="10" t="s">
        <v>252</v>
      </c>
      <c r="F18" s="13">
        <v>43166.59375</v>
      </c>
      <c r="G18" s="20">
        <v>43166.614583333336</v>
      </c>
      <c r="H18" s="39">
        <v>30</v>
      </c>
      <c r="I18" s="10" t="s">
        <v>252</v>
      </c>
      <c r="J18" s="10" t="s">
        <v>253</v>
      </c>
      <c r="K18" s="10" t="s">
        <v>254</v>
      </c>
      <c r="L18" s="38" t="s">
        <v>701</v>
      </c>
      <c r="M18" s="12" t="s">
        <v>678</v>
      </c>
      <c r="N18" s="17"/>
      <c r="O18" s="14" t="str">
        <f t="shared" si="0"/>
        <v>ISLA</v>
      </c>
    </row>
    <row r="19" spans="1:15" x14ac:dyDescent="0.25">
      <c r="A19" s="10">
        <v>18</v>
      </c>
      <c r="B19" s="10" t="s">
        <v>255</v>
      </c>
      <c r="C19" s="10" t="s">
        <v>2</v>
      </c>
      <c r="D19" s="10" t="s">
        <v>702</v>
      </c>
      <c r="E19" s="10" t="s">
        <v>57</v>
      </c>
      <c r="F19" s="20">
        <v>43167.431250000001</v>
      </c>
      <c r="G19" s="20">
        <v>43167.443749999999</v>
      </c>
      <c r="H19" s="38">
        <v>18</v>
      </c>
      <c r="I19" s="10" t="s">
        <v>256</v>
      </c>
      <c r="J19" s="10" t="s">
        <v>668</v>
      </c>
      <c r="K19" s="10" t="s">
        <v>669</v>
      </c>
      <c r="L19" s="38" t="s">
        <v>57</v>
      </c>
      <c r="M19" s="12" t="s">
        <v>678</v>
      </c>
      <c r="N19" s="12"/>
      <c r="O19" s="14" t="str">
        <f t="shared" si="0"/>
        <v>ISLA</v>
      </c>
    </row>
    <row r="20" spans="1:15" x14ac:dyDescent="0.25">
      <c r="A20" s="10">
        <v>19</v>
      </c>
      <c r="B20" s="34" t="s">
        <v>258</v>
      </c>
      <c r="C20" s="10" t="s">
        <v>158</v>
      </c>
      <c r="D20" s="10" t="s">
        <v>702</v>
      </c>
      <c r="E20" s="10" t="s">
        <v>40</v>
      </c>
      <c r="F20" s="20">
        <v>43168.826388888891</v>
      </c>
      <c r="G20" s="20">
        <v>43168.984722222223</v>
      </c>
      <c r="H20" s="38">
        <v>228</v>
      </c>
      <c r="I20" s="10" t="s">
        <v>259</v>
      </c>
      <c r="J20" s="10" t="s">
        <v>670</v>
      </c>
      <c r="K20" s="10" t="s">
        <v>670</v>
      </c>
      <c r="L20" s="38" t="s">
        <v>701</v>
      </c>
      <c r="M20" s="12" t="s">
        <v>678</v>
      </c>
      <c r="N20" s="12"/>
      <c r="O20" s="14" t="str">
        <f t="shared" si="0"/>
        <v>ISLA</v>
      </c>
    </row>
    <row r="21" spans="1:15" x14ac:dyDescent="0.25">
      <c r="A21" s="18">
        <v>20</v>
      </c>
      <c r="B21" s="18" t="s">
        <v>260</v>
      </c>
      <c r="C21" s="10" t="s">
        <v>2</v>
      </c>
      <c r="D21" s="10" t="s">
        <v>702</v>
      </c>
      <c r="E21" s="10" t="s">
        <v>261</v>
      </c>
      <c r="F21" s="13">
        <v>43167.261805555558</v>
      </c>
      <c r="G21" s="20">
        <v>43170.297222222223</v>
      </c>
      <c r="H21" s="39">
        <v>4371</v>
      </c>
      <c r="I21" s="10" t="s">
        <v>1284</v>
      </c>
      <c r="J21" s="10" t="s">
        <v>1285</v>
      </c>
      <c r="K21" s="10" t="s">
        <v>262</v>
      </c>
      <c r="L21" s="37" t="s">
        <v>704</v>
      </c>
      <c r="M21" s="12" t="s">
        <v>678</v>
      </c>
      <c r="N21" s="12"/>
      <c r="O21" s="14" t="str">
        <f t="shared" si="0"/>
        <v>OSLA</v>
      </c>
    </row>
    <row r="22" spans="1:15" x14ac:dyDescent="0.25">
      <c r="A22" s="18">
        <v>21</v>
      </c>
      <c r="B22" s="18" t="s">
        <v>263</v>
      </c>
      <c r="C22" s="10" t="s">
        <v>2</v>
      </c>
      <c r="D22" s="38" t="s">
        <v>701</v>
      </c>
      <c r="E22" s="10" t="s">
        <v>18</v>
      </c>
      <c r="F22" s="13">
        <v>43170.29583333333</v>
      </c>
      <c r="G22" s="20">
        <v>43170.347222222219</v>
      </c>
      <c r="H22" s="39">
        <v>74</v>
      </c>
      <c r="I22" s="10" t="s">
        <v>264</v>
      </c>
      <c r="J22" s="10" t="s">
        <v>19</v>
      </c>
      <c r="K22" s="10" t="s">
        <v>212</v>
      </c>
      <c r="L22" s="38" t="s">
        <v>701</v>
      </c>
      <c r="M22" s="12" t="s">
        <v>678</v>
      </c>
      <c r="N22" s="37"/>
      <c r="O22" s="14" t="str">
        <f t="shared" si="0"/>
        <v>ISLA</v>
      </c>
    </row>
    <row r="23" spans="1:15" x14ac:dyDescent="0.25">
      <c r="A23" s="18">
        <v>22</v>
      </c>
      <c r="B23" s="18" t="s">
        <v>265</v>
      </c>
      <c r="C23" s="10" t="s">
        <v>158</v>
      </c>
      <c r="D23" s="10" t="s">
        <v>702</v>
      </c>
      <c r="E23" s="10" t="s">
        <v>40</v>
      </c>
      <c r="F23" s="13">
        <v>43172.402777777781</v>
      </c>
      <c r="G23" s="20">
        <v>43172.510416666664</v>
      </c>
      <c r="H23" s="39">
        <v>75</v>
      </c>
      <c r="I23" s="10" t="s">
        <v>266</v>
      </c>
      <c r="J23" s="10" t="s">
        <v>267</v>
      </c>
      <c r="K23" s="10" t="s">
        <v>268</v>
      </c>
      <c r="L23" s="38" t="s">
        <v>703</v>
      </c>
      <c r="M23" s="12" t="s">
        <v>678</v>
      </c>
      <c r="N23" s="12"/>
      <c r="O23" s="14" t="str">
        <f t="shared" si="0"/>
        <v>ISLA</v>
      </c>
    </row>
    <row r="24" spans="1:15" x14ac:dyDescent="0.25">
      <c r="A24" s="18">
        <v>23</v>
      </c>
      <c r="B24" s="18" t="s">
        <v>269</v>
      </c>
      <c r="C24" s="10" t="s">
        <v>158</v>
      </c>
      <c r="D24" s="10" t="s">
        <v>702</v>
      </c>
      <c r="E24" s="10" t="s">
        <v>40</v>
      </c>
      <c r="F24" s="13">
        <v>43173.920138888891</v>
      </c>
      <c r="G24" s="20">
        <v>43173.997916666667</v>
      </c>
      <c r="H24" s="39">
        <v>112</v>
      </c>
      <c r="I24" s="10" t="s">
        <v>270</v>
      </c>
      <c r="J24" s="10" t="s">
        <v>271</v>
      </c>
      <c r="K24" s="10" t="s">
        <v>42</v>
      </c>
      <c r="L24" s="37" t="s">
        <v>704</v>
      </c>
      <c r="M24" s="12" t="s">
        <v>678</v>
      </c>
      <c r="N24" s="12"/>
      <c r="O24" s="14" t="str">
        <f t="shared" si="0"/>
        <v>ISLA</v>
      </c>
    </row>
    <row r="25" spans="1:15" x14ac:dyDescent="0.25">
      <c r="A25" s="10">
        <v>24</v>
      </c>
      <c r="B25" s="10" t="s">
        <v>272</v>
      </c>
      <c r="C25" s="10" t="s">
        <v>2</v>
      </c>
      <c r="D25" s="10" t="s">
        <v>702</v>
      </c>
      <c r="E25" s="10" t="s">
        <v>273</v>
      </c>
      <c r="F25" s="13">
        <v>43174.546527777777</v>
      </c>
      <c r="G25" s="13">
        <v>43174.588194444441</v>
      </c>
      <c r="H25" s="38">
        <v>59.99999999650754</v>
      </c>
      <c r="I25" s="10" t="s">
        <v>274</v>
      </c>
      <c r="J25" s="10" t="s">
        <v>275</v>
      </c>
      <c r="K25" s="10" t="s">
        <v>276</v>
      </c>
      <c r="L25" s="38" t="s">
        <v>714</v>
      </c>
      <c r="M25" s="12" t="s">
        <v>678</v>
      </c>
      <c r="N25" s="12"/>
      <c r="O25" s="14" t="str">
        <f t="shared" si="0"/>
        <v>ISLA</v>
      </c>
    </row>
    <row r="26" spans="1:15" x14ac:dyDescent="0.25">
      <c r="A26" s="18">
        <v>25</v>
      </c>
      <c r="B26" s="18" t="s">
        <v>277</v>
      </c>
      <c r="C26" s="10" t="s">
        <v>14</v>
      </c>
      <c r="D26" s="38" t="s">
        <v>713</v>
      </c>
      <c r="E26" s="10" t="s">
        <v>278</v>
      </c>
      <c r="F26" s="13">
        <v>43174.64166666667</v>
      </c>
      <c r="G26" s="20">
        <v>43174.742361111108</v>
      </c>
      <c r="H26" s="39">
        <v>145</v>
      </c>
      <c r="I26" s="10" t="s">
        <v>279</v>
      </c>
      <c r="J26" s="10" t="s">
        <v>280</v>
      </c>
      <c r="K26" s="10" t="s">
        <v>281</v>
      </c>
      <c r="L26" s="38" t="s">
        <v>713</v>
      </c>
      <c r="M26" s="12" t="s">
        <v>678</v>
      </c>
      <c r="N26" s="12"/>
      <c r="O26" s="14" t="str">
        <f t="shared" si="0"/>
        <v>ISLA</v>
      </c>
    </row>
    <row r="27" spans="1:15" x14ac:dyDescent="0.25">
      <c r="A27" s="10">
        <v>26</v>
      </c>
      <c r="B27" s="10" t="s">
        <v>282</v>
      </c>
      <c r="C27" s="10" t="s">
        <v>2</v>
      </c>
      <c r="D27" s="38" t="s">
        <v>701</v>
      </c>
      <c r="E27" s="10" t="s">
        <v>236</v>
      </c>
      <c r="F27" s="13">
        <v>43175.067361111112</v>
      </c>
      <c r="G27" s="13">
        <v>43175.29583333333</v>
      </c>
      <c r="H27" s="38">
        <v>329</v>
      </c>
      <c r="I27" s="10" t="s">
        <v>237</v>
      </c>
      <c r="J27" s="10" t="s">
        <v>283</v>
      </c>
      <c r="K27" s="10" t="s">
        <v>42</v>
      </c>
      <c r="L27" s="38" t="s">
        <v>701</v>
      </c>
      <c r="M27" s="12" t="s">
        <v>678</v>
      </c>
      <c r="N27" s="37"/>
      <c r="O27" s="14" t="str">
        <f t="shared" si="0"/>
        <v>OSLA</v>
      </c>
    </row>
    <row r="28" spans="1:15" x14ac:dyDescent="0.25">
      <c r="A28" s="18">
        <v>27</v>
      </c>
      <c r="B28" s="18" t="s">
        <v>284</v>
      </c>
      <c r="C28" s="10" t="s">
        <v>2</v>
      </c>
      <c r="D28" s="38" t="s">
        <v>701</v>
      </c>
      <c r="E28" s="10" t="s">
        <v>18</v>
      </c>
      <c r="F28" s="13">
        <v>43175.469444444447</v>
      </c>
      <c r="G28" s="20">
        <v>43175.506249999999</v>
      </c>
      <c r="H28" s="39">
        <v>53</v>
      </c>
      <c r="I28" s="10" t="s">
        <v>211</v>
      </c>
      <c r="J28" s="10" t="s">
        <v>19</v>
      </c>
      <c r="K28" s="10" t="s">
        <v>212</v>
      </c>
      <c r="L28" s="38" t="s">
        <v>701</v>
      </c>
      <c r="M28" s="12" t="s">
        <v>678</v>
      </c>
      <c r="N28" s="37"/>
      <c r="O28" s="14" t="str">
        <f t="shared" si="0"/>
        <v>ISLA</v>
      </c>
    </row>
    <row r="29" spans="1:15" x14ac:dyDescent="0.25">
      <c r="A29" s="18">
        <v>28</v>
      </c>
      <c r="B29" s="18" t="s">
        <v>285</v>
      </c>
      <c r="C29" s="10" t="s">
        <v>2</v>
      </c>
      <c r="D29" s="38" t="s">
        <v>701</v>
      </c>
      <c r="E29" s="10" t="s">
        <v>236</v>
      </c>
      <c r="F29" s="13">
        <v>43175.854166666664</v>
      </c>
      <c r="G29" s="20">
        <v>43175.950694444444</v>
      </c>
      <c r="H29" s="39">
        <v>139</v>
      </c>
      <c r="I29" s="10" t="s">
        <v>237</v>
      </c>
      <c r="J29" s="10" t="s">
        <v>286</v>
      </c>
      <c r="K29" s="10" t="s">
        <v>287</v>
      </c>
      <c r="L29" s="38" t="s">
        <v>701</v>
      </c>
      <c r="M29" s="12" t="s">
        <v>678</v>
      </c>
      <c r="N29" s="37"/>
      <c r="O29" s="14" t="str">
        <f t="shared" si="0"/>
        <v>OSLA</v>
      </c>
    </row>
    <row r="30" spans="1:15" x14ac:dyDescent="0.25">
      <c r="A30" s="18">
        <v>29</v>
      </c>
      <c r="B30" s="18" t="s">
        <v>288</v>
      </c>
      <c r="C30" s="10" t="s">
        <v>2</v>
      </c>
      <c r="D30" s="38" t="s">
        <v>701</v>
      </c>
      <c r="E30" s="10" t="s">
        <v>18</v>
      </c>
      <c r="F30" s="13">
        <v>43177.395833333336</v>
      </c>
      <c r="G30" s="20">
        <v>43177.4375</v>
      </c>
      <c r="H30" s="39">
        <v>60</v>
      </c>
      <c r="I30" s="10" t="s">
        <v>211</v>
      </c>
      <c r="J30" s="10" t="s">
        <v>19</v>
      </c>
      <c r="K30" s="10" t="s">
        <v>212</v>
      </c>
      <c r="L30" s="38" t="s">
        <v>701</v>
      </c>
      <c r="M30" s="12" t="s">
        <v>678</v>
      </c>
      <c r="N30" s="37"/>
      <c r="O30" s="14" t="str">
        <f t="shared" si="0"/>
        <v>ISLA</v>
      </c>
    </row>
    <row r="31" spans="1:15" x14ac:dyDescent="0.25">
      <c r="A31" s="18">
        <v>30</v>
      </c>
      <c r="B31" s="18" t="s">
        <v>258</v>
      </c>
      <c r="C31" s="10" t="s">
        <v>158</v>
      </c>
      <c r="D31" s="10" t="s">
        <v>702</v>
      </c>
      <c r="E31" s="10" t="s">
        <v>40</v>
      </c>
      <c r="F31" s="13">
        <v>43178.464583333334</v>
      </c>
      <c r="G31" s="20">
        <v>43178.468055555553</v>
      </c>
      <c r="H31" s="39">
        <v>5</v>
      </c>
      <c r="I31" s="10" t="s">
        <v>289</v>
      </c>
      <c r="J31" s="10" t="s">
        <v>290</v>
      </c>
      <c r="K31" s="10" t="s">
        <v>42</v>
      </c>
      <c r="L31" s="38" t="s">
        <v>1286</v>
      </c>
      <c r="M31" s="12" t="s">
        <v>678</v>
      </c>
      <c r="N31" s="17"/>
      <c r="O31" s="14" t="str">
        <f t="shared" si="0"/>
        <v>ISLA</v>
      </c>
    </row>
    <row r="32" spans="1:15" x14ac:dyDescent="0.25">
      <c r="A32" s="18">
        <v>31</v>
      </c>
      <c r="B32" s="18" t="s">
        <v>258</v>
      </c>
      <c r="C32" s="10" t="s">
        <v>158</v>
      </c>
      <c r="D32" s="10" t="s">
        <v>702</v>
      </c>
      <c r="E32" s="10" t="s">
        <v>40</v>
      </c>
      <c r="F32" s="13">
        <v>43179.354861111111</v>
      </c>
      <c r="G32" s="20">
        <v>43179.357638888891</v>
      </c>
      <c r="H32" s="39">
        <v>4</v>
      </c>
      <c r="I32" s="10" t="s">
        <v>289</v>
      </c>
      <c r="J32" s="10" t="s">
        <v>20</v>
      </c>
      <c r="K32" s="10" t="s">
        <v>42</v>
      </c>
      <c r="L32" s="38" t="s">
        <v>1286</v>
      </c>
      <c r="M32" s="12" t="s">
        <v>678</v>
      </c>
      <c r="N32" s="12"/>
      <c r="O32" s="14" t="str">
        <f t="shared" si="0"/>
        <v>ISLA</v>
      </c>
    </row>
    <row r="33" spans="1:15" x14ac:dyDescent="0.25">
      <c r="A33" s="10">
        <v>32</v>
      </c>
      <c r="B33" s="10" t="s">
        <v>291</v>
      </c>
      <c r="C33" s="10" t="s">
        <v>14</v>
      </c>
      <c r="D33" s="10" t="s">
        <v>702</v>
      </c>
      <c r="E33" s="10" t="s">
        <v>44</v>
      </c>
      <c r="F33" s="13">
        <v>43180.333333333336</v>
      </c>
      <c r="G33" s="13">
        <v>43187.48541666667</v>
      </c>
      <c r="H33" s="38">
        <v>10299.000000001397</v>
      </c>
      <c r="I33" s="10" t="s">
        <v>292</v>
      </c>
      <c r="J33" s="10" t="s">
        <v>653</v>
      </c>
      <c r="K33" s="10" t="s">
        <v>20</v>
      </c>
      <c r="L33" s="37" t="s">
        <v>707</v>
      </c>
      <c r="M33" s="12" t="s">
        <v>678</v>
      </c>
      <c r="N33" s="12"/>
      <c r="O33" s="14" t="str">
        <f t="shared" si="0"/>
        <v>OSLA</v>
      </c>
    </row>
    <row r="34" spans="1:15" x14ac:dyDescent="0.25">
      <c r="A34" s="18">
        <v>33</v>
      </c>
      <c r="B34" s="18" t="s">
        <v>293</v>
      </c>
      <c r="C34" s="10" t="s">
        <v>14</v>
      </c>
      <c r="D34" s="10" t="s">
        <v>702</v>
      </c>
      <c r="E34" s="10" t="s">
        <v>294</v>
      </c>
      <c r="F34" s="13">
        <v>43183.824999999997</v>
      </c>
      <c r="G34" s="20">
        <v>43183.893750000003</v>
      </c>
      <c r="H34" s="45">
        <v>99.000000008381903</v>
      </c>
      <c r="I34" s="10" t="s">
        <v>295</v>
      </c>
      <c r="J34" s="10" t="s">
        <v>296</v>
      </c>
      <c r="K34" s="10" t="s">
        <v>297</v>
      </c>
      <c r="L34" s="37" t="s">
        <v>704</v>
      </c>
      <c r="M34" s="12" t="s">
        <v>678</v>
      </c>
      <c r="N34" s="12"/>
      <c r="O34" s="14" t="str">
        <f t="shared" si="0"/>
        <v>ISLA</v>
      </c>
    </row>
    <row r="35" spans="1:15" x14ac:dyDescent="0.25">
      <c r="A35" s="18">
        <v>34</v>
      </c>
      <c r="B35" s="18" t="s">
        <v>298</v>
      </c>
      <c r="C35" s="10" t="s">
        <v>2</v>
      </c>
      <c r="D35" s="10" t="s">
        <v>702</v>
      </c>
      <c r="E35" s="10" t="s">
        <v>299</v>
      </c>
      <c r="F35" s="13">
        <v>43185.756944444445</v>
      </c>
      <c r="G35" s="20">
        <v>43185.794444444444</v>
      </c>
      <c r="H35" s="39">
        <v>54</v>
      </c>
      <c r="I35" s="10" t="s">
        <v>300</v>
      </c>
      <c r="J35" s="10" t="s">
        <v>301</v>
      </c>
      <c r="K35" s="10" t="s">
        <v>115</v>
      </c>
      <c r="L35" s="38" t="s">
        <v>703</v>
      </c>
      <c r="M35" s="12" t="s">
        <v>678</v>
      </c>
      <c r="N35" s="12"/>
      <c r="O35" s="14" t="str">
        <f t="shared" si="0"/>
        <v>ISLA</v>
      </c>
    </row>
    <row r="36" spans="1:15" x14ac:dyDescent="0.25">
      <c r="A36" s="18">
        <v>35</v>
      </c>
      <c r="B36" s="18" t="s">
        <v>302</v>
      </c>
      <c r="C36" s="10" t="s">
        <v>2</v>
      </c>
      <c r="D36" s="38" t="s">
        <v>701</v>
      </c>
      <c r="E36" s="10" t="s">
        <v>138</v>
      </c>
      <c r="F36" s="13">
        <v>43186.211805555555</v>
      </c>
      <c r="G36" s="20">
        <v>43186.28125</v>
      </c>
      <c r="H36" s="39">
        <v>100</v>
      </c>
      <c r="I36" s="10" t="s">
        <v>303</v>
      </c>
      <c r="J36" s="10" t="s">
        <v>304</v>
      </c>
      <c r="K36" s="10" t="s">
        <v>305</v>
      </c>
      <c r="L36" s="38" t="s">
        <v>701</v>
      </c>
      <c r="M36" s="12" t="s">
        <v>678</v>
      </c>
      <c r="N36" s="12"/>
      <c r="O36" s="14" t="str">
        <f t="shared" si="0"/>
        <v>ISLA</v>
      </c>
    </row>
    <row r="37" spans="1:15" x14ac:dyDescent="0.25">
      <c r="A37" s="18">
        <v>36</v>
      </c>
      <c r="B37" s="18" t="s">
        <v>306</v>
      </c>
      <c r="C37" s="10" t="s">
        <v>2</v>
      </c>
      <c r="D37" s="10" t="s">
        <v>702</v>
      </c>
      <c r="E37" s="10" t="s">
        <v>299</v>
      </c>
      <c r="F37" s="13">
        <v>43186.418055555558</v>
      </c>
      <c r="G37" s="20">
        <v>43186.57708333333</v>
      </c>
      <c r="H37" s="39">
        <v>229</v>
      </c>
      <c r="I37" s="10" t="s">
        <v>300</v>
      </c>
      <c r="J37" s="10" t="s">
        <v>301</v>
      </c>
      <c r="K37" s="10" t="s">
        <v>115</v>
      </c>
      <c r="L37" s="38" t="s">
        <v>703</v>
      </c>
      <c r="M37" s="12" t="s">
        <v>678</v>
      </c>
      <c r="N37" s="12"/>
      <c r="O37" s="14" t="str">
        <f t="shared" si="0"/>
        <v>OSLA</v>
      </c>
    </row>
    <row r="38" spans="1:15" x14ac:dyDescent="0.25">
      <c r="A38" s="18">
        <v>37</v>
      </c>
      <c r="B38" s="18" t="s">
        <v>307</v>
      </c>
      <c r="C38" s="10" t="s">
        <v>2</v>
      </c>
      <c r="D38" s="10" t="s">
        <v>702</v>
      </c>
      <c r="E38" s="10" t="s">
        <v>308</v>
      </c>
      <c r="F38" s="13">
        <v>43186.605555555558</v>
      </c>
      <c r="G38" s="20">
        <v>43186.685416666667</v>
      </c>
      <c r="H38" s="39">
        <v>115</v>
      </c>
      <c r="I38" s="10" t="s">
        <v>309</v>
      </c>
      <c r="J38" s="10" t="s">
        <v>310</v>
      </c>
      <c r="K38" s="10" t="s">
        <v>311</v>
      </c>
      <c r="L38" s="38" t="s">
        <v>709</v>
      </c>
      <c r="M38" s="12" t="s">
        <v>678</v>
      </c>
      <c r="N38" s="12"/>
      <c r="O38" s="14" t="str">
        <f t="shared" si="0"/>
        <v>ISLA</v>
      </c>
    </row>
    <row r="39" spans="1:15" x14ac:dyDescent="0.25">
      <c r="A39" s="18">
        <v>38</v>
      </c>
      <c r="B39" s="18" t="s">
        <v>312</v>
      </c>
      <c r="C39" s="10" t="s">
        <v>2</v>
      </c>
      <c r="D39" s="38" t="s">
        <v>701</v>
      </c>
      <c r="E39" s="10" t="s">
        <v>18</v>
      </c>
      <c r="F39" s="13">
        <v>43188.417361111111</v>
      </c>
      <c r="G39" s="20">
        <v>43188.45416666667</v>
      </c>
      <c r="H39" s="39">
        <v>53</v>
      </c>
      <c r="I39" s="10" t="s">
        <v>313</v>
      </c>
      <c r="J39" s="10" t="s">
        <v>19</v>
      </c>
      <c r="K39" s="10" t="s">
        <v>88</v>
      </c>
      <c r="L39" s="38" t="s">
        <v>701</v>
      </c>
      <c r="M39" s="12" t="s">
        <v>678</v>
      </c>
      <c r="N39" s="37"/>
      <c r="O39" s="14" t="str">
        <f t="shared" si="0"/>
        <v>ISLA</v>
      </c>
    </row>
    <row r="40" spans="1:15" x14ac:dyDescent="0.25">
      <c r="A40" s="18">
        <v>39</v>
      </c>
      <c r="B40" s="18" t="s">
        <v>314</v>
      </c>
      <c r="C40" s="10" t="s">
        <v>2</v>
      </c>
      <c r="D40" s="10" t="s">
        <v>702</v>
      </c>
      <c r="E40" s="10" t="s">
        <v>81</v>
      </c>
      <c r="F40" s="13">
        <v>43188.833333333336</v>
      </c>
      <c r="G40" s="20">
        <v>43192.805555555555</v>
      </c>
      <c r="H40" s="39">
        <v>5719.9999999953434</v>
      </c>
      <c r="I40" s="10" t="s">
        <v>315</v>
      </c>
      <c r="J40" s="10" t="s">
        <v>316</v>
      </c>
      <c r="K40" s="10" t="s">
        <v>317</v>
      </c>
      <c r="L40" s="37" t="s">
        <v>704</v>
      </c>
      <c r="M40" s="12" t="s">
        <v>678</v>
      </c>
      <c r="N40" s="12"/>
      <c r="O40" s="14" t="str">
        <f t="shared" si="0"/>
        <v>OSLA</v>
      </c>
    </row>
    <row r="41" spans="1:15" x14ac:dyDescent="0.25">
      <c r="A41" s="10">
        <v>40</v>
      </c>
      <c r="B41" s="34" t="s">
        <v>318</v>
      </c>
      <c r="C41" s="10" t="s">
        <v>14</v>
      </c>
      <c r="D41" s="10" t="s">
        <v>702</v>
      </c>
      <c r="E41" s="10" t="s">
        <v>81</v>
      </c>
      <c r="F41" s="20">
        <v>43190.840277777781</v>
      </c>
      <c r="G41" s="20">
        <v>43190.881944444445</v>
      </c>
      <c r="H41" s="38">
        <v>60</v>
      </c>
      <c r="I41" s="10" t="s">
        <v>319</v>
      </c>
      <c r="J41" s="10" t="s">
        <v>20</v>
      </c>
      <c r="K41" s="10" t="s">
        <v>105</v>
      </c>
      <c r="L41" s="37" t="s">
        <v>704</v>
      </c>
      <c r="M41" s="12" t="s">
        <v>678</v>
      </c>
      <c r="N41" s="12"/>
      <c r="O41" s="14" t="str">
        <f t="shared" si="0"/>
        <v>ISLA</v>
      </c>
    </row>
    <row r="42" spans="1:15" x14ac:dyDescent="0.25">
      <c r="N42" s="4"/>
    </row>
    <row r="43" spans="1:15" x14ac:dyDescent="0.25">
      <c r="N43" s="4"/>
    </row>
    <row r="44" spans="1:15" x14ac:dyDescent="0.25">
      <c r="N44" s="4"/>
    </row>
    <row r="45" spans="1:15" x14ac:dyDescent="0.25">
      <c r="N45" s="4"/>
    </row>
    <row r="47" spans="1:15" ht="14.6" x14ac:dyDescent="0.4">
      <c r="B47" s="73" t="s">
        <v>2</v>
      </c>
      <c r="C47" s="73" t="s">
        <v>776</v>
      </c>
      <c r="D47" s="73">
        <v>120</v>
      </c>
    </row>
    <row r="48" spans="1:15" ht="14.6" x14ac:dyDescent="0.4">
      <c r="B48" s="73" t="s">
        <v>14</v>
      </c>
      <c r="C48" s="73" t="s">
        <v>777</v>
      </c>
      <c r="D48" s="73">
        <v>240</v>
      </c>
    </row>
    <row r="49" spans="2:4" ht="14.6" x14ac:dyDescent="0.4">
      <c r="B49" s="73" t="s">
        <v>158</v>
      </c>
      <c r="C49" s="73" t="s">
        <v>778</v>
      </c>
      <c r="D49" s="73">
        <f>1440*2</f>
        <v>2880</v>
      </c>
    </row>
    <row r="50" spans="2:4" ht="14.6" x14ac:dyDescent="0.4">
      <c r="B50" s="73" t="s">
        <v>757</v>
      </c>
      <c r="C50" s="73" t="s">
        <v>779</v>
      </c>
      <c r="D50" s="73">
        <f>3*1440</f>
        <v>4320</v>
      </c>
    </row>
  </sheetData>
  <autoFilter ref="A1:N41" xr:uid="{00000000-0009-0000-0000-000006000000}"/>
  <dataValidations count="1">
    <dataValidation type="list" allowBlank="1" showInputMessage="1" showErrorMessage="1" promptTitle="Priorité" prompt="La Priorité de l'Incident" sqref="C41" xr:uid="{00000000-0002-0000-0600-000000000000}">
      <formula1>prio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4">
    <tabColor theme="6"/>
  </sheetPr>
  <dimension ref="A1:O50"/>
  <sheetViews>
    <sheetView workbookViewId="0">
      <pane xSplit="7" topLeftCell="L1" activePane="topRight" state="frozen"/>
      <selection pane="topRight"/>
    </sheetView>
  </sheetViews>
  <sheetFormatPr baseColWidth="10" defaultColWidth="11.4609375" defaultRowHeight="10.3" x14ac:dyDescent="0.25"/>
  <cols>
    <col min="1" max="1" width="3" style="1" bestFit="1" customWidth="1"/>
    <col min="2" max="2" width="13.3046875" style="1" customWidth="1"/>
    <col min="3" max="3" width="6.84375" style="1" bestFit="1" customWidth="1"/>
    <col min="4" max="4" width="9.07421875" style="1" bestFit="1" customWidth="1"/>
    <col min="5" max="5" width="33.53515625" style="1" customWidth="1"/>
    <col min="6" max="6" width="20.3046875" style="1" bestFit="1" customWidth="1"/>
    <col min="7" max="7" width="16.53515625" style="1" customWidth="1"/>
    <col min="8" max="8" width="10.07421875" style="1" bestFit="1" customWidth="1"/>
    <col min="9" max="9" width="28.53515625" style="1" customWidth="1"/>
    <col min="10" max="10" width="33.4609375" style="1" customWidth="1"/>
    <col min="11" max="11" width="65.07421875" style="1" customWidth="1"/>
    <col min="12" max="12" width="9.4609375" style="1" bestFit="1" customWidth="1"/>
    <col min="13" max="13" width="8.3046875" style="1" bestFit="1" customWidth="1"/>
    <col min="14" max="14" width="13" style="1" bestFit="1" customWidth="1"/>
    <col min="15" max="15" width="5.84375" style="3" customWidth="1"/>
    <col min="16" max="16384" width="11.4609375" style="3"/>
  </cols>
  <sheetData>
    <row r="1" spans="1:15" s="1" customFormat="1" ht="12.45" x14ac:dyDescent="0.25">
      <c r="A1" s="6" t="s">
        <v>0</v>
      </c>
      <c r="B1" s="6" t="s">
        <v>679</v>
      </c>
      <c r="C1" s="6" t="s">
        <v>680</v>
      </c>
      <c r="D1" s="6" t="s">
        <v>700</v>
      </c>
      <c r="E1" s="6" t="s">
        <v>696</v>
      </c>
      <c r="F1" s="6" t="s">
        <v>695</v>
      </c>
      <c r="G1" s="6" t="s">
        <v>694</v>
      </c>
      <c r="H1" s="6" t="s">
        <v>681</v>
      </c>
      <c r="I1" s="6" t="s">
        <v>395</v>
      </c>
      <c r="J1" s="6" t="s">
        <v>682</v>
      </c>
      <c r="K1" s="6" t="s">
        <v>683</v>
      </c>
      <c r="L1" s="7" t="s">
        <v>699</v>
      </c>
      <c r="M1" s="6" t="s">
        <v>684</v>
      </c>
      <c r="N1" s="6" t="s">
        <v>659</v>
      </c>
      <c r="O1" s="6" t="s">
        <v>888</v>
      </c>
    </row>
    <row r="2" spans="1:15" s="1" customFormat="1" ht="20.6" x14ac:dyDescent="0.25">
      <c r="A2" s="18">
        <v>1</v>
      </c>
      <c r="B2" s="18" t="s">
        <v>320</v>
      </c>
      <c r="C2" s="10" t="s">
        <v>14</v>
      </c>
      <c r="D2" s="38" t="s">
        <v>701</v>
      </c>
      <c r="E2" s="10" t="s">
        <v>138</v>
      </c>
      <c r="F2" s="13">
        <v>43193.859722222223</v>
      </c>
      <c r="G2" s="20">
        <v>43193.923611111109</v>
      </c>
      <c r="H2" s="18">
        <v>91.999999996041879</v>
      </c>
      <c r="I2" s="10" t="s">
        <v>321</v>
      </c>
      <c r="J2" s="10" t="s">
        <v>322</v>
      </c>
      <c r="K2" s="106" t="s">
        <v>323</v>
      </c>
      <c r="L2" s="38" t="s">
        <v>704</v>
      </c>
      <c r="M2" s="12" t="s">
        <v>678</v>
      </c>
      <c r="N2" s="12"/>
      <c r="O2" s="14" t="str">
        <f>IF(AND(C2=$B$47,H2&lt;=$D$47),"ISLA",IF((AND(C2=$B$48,H2&lt;=$D$48)),"ISLA",IF((AND(C2=$B$49,H2&lt;=$D$49)),"ISLA","OSLA")))</f>
        <v>ISLA</v>
      </c>
    </row>
    <row r="3" spans="1:15" s="1" customFormat="1" x14ac:dyDescent="0.25">
      <c r="A3" s="18">
        <v>2</v>
      </c>
      <c r="B3" s="18" t="s">
        <v>324</v>
      </c>
      <c r="C3" s="10" t="s">
        <v>2</v>
      </c>
      <c r="D3" s="38" t="s">
        <v>701</v>
      </c>
      <c r="E3" s="10" t="s">
        <v>18</v>
      </c>
      <c r="F3" s="13">
        <v>43194.573611111111</v>
      </c>
      <c r="G3" s="20">
        <v>43194.613888888889</v>
      </c>
      <c r="H3" s="18">
        <v>58.000000000465661</v>
      </c>
      <c r="I3" s="10" t="s">
        <v>313</v>
      </c>
      <c r="J3" s="10" t="s">
        <v>19</v>
      </c>
      <c r="K3" s="106" t="s">
        <v>351</v>
      </c>
      <c r="L3" s="38" t="s">
        <v>701</v>
      </c>
      <c r="M3" s="12" t="s">
        <v>678</v>
      </c>
      <c r="N3" s="12"/>
      <c r="O3" s="14" t="str">
        <f t="shared" ref="O3:O44" si="0">IF(AND(C3=$B$47,H3&lt;=$D$47),"ISLA",IF((AND(C3=$B$48,H3&lt;=$D$48)),"ISLA",IF((AND(C3=$B$49,H3&lt;=$D$49)),"ISLA","OSLA")))</f>
        <v>ISLA</v>
      </c>
    </row>
    <row r="4" spans="1:15" s="1" customFormat="1" x14ac:dyDescent="0.25">
      <c r="A4" s="18">
        <v>3</v>
      </c>
      <c r="B4" s="18" t="s">
        <v>325</v>
      </c>
      <c r="C4" s="10" t="s">
        <v>158</v>
      </c>
      <c r="D4" s="10" t="s">
        <v>702</v>
      </c>
      <c r="E4" s="10" t="s">
        <v>326</v>
      </c>
      <c r="F4" s="13">
        <v>43194.822916666664</v>
      </c>
      <c r="G4" s="20">
        <v>43194.9375</v>
      </c>
      <c r="H4" s="18">
        <v>165</v>
      </c>
      <c r="I4" s="10" t="s">
        <v>289</v>
      </c>
      <c r="J4" s="10" t="s">
        <v>327</v>
      </c>
      <c r="K4" s="106" t="s">
        <v>105</v>
      </c>
      <c r="L4" s="38" t="s">
        <v>704</v>
      </c>
      <c r="M4" s="12" t="s">
        <v>678</v>
      </c>
      <c r="N4" s="12"/>
      <c r="O4" s="14" t="str">
        <f t="shared" si="0"/>
        <v>ISLA</v>
      </c>
    </row>
    <row r="5" spans="1:15" s="1" customFormat="1" x14ac:dyDescent="0.25">
      <c r="A5" s="18">
        <v>4</v>
      </c>
      <c r="B5" s="18" t="s">
        <v>328</v>
      </c>
      <c r="C5" s="10" t="s">
        <v>2</v>
      </c>
      <c r="D5" s="10" t="s">
        <v>702</v>
      </c>
      <c r="E5" s="10" t="s">
        <v>132</v>
      </c>
      <c r="F5" s="13">
        <v>43195.500694444447</v>
      </c>
      <c r="G5" s="20">
        <v>43195.536111111112</v>
      </c>
      <c r="H5" s="18">
        <v>50.999999998603016</v>
      </c>
      <c r="I5" s="10" t="s">
        <v>309</v>
      </c>
      <c r="J5" s="10" t="s">
        <v>329</v>
      </c>
      <c r="K5" s="106" t="s">
        <v>105</v>
      </c>
      <c r="L5" s="38" t="s">
        <v>709</v>
      </c>
      <c r="M5" s="12" t="s">
        <v>678</v>
      </c>
      <c r="N5" s="12"/>
      <c r="O5" s="14" t="str">
        <f t="shared" si="0"/>
        <v>ISLA</v>
      </c>
    </row>
    <row r="6" spans="1:15" s="1" customFormat="1" ht="20.6" x14ac:dyDescent="0.25">
      <c r="A6" s="18">
        <v>5</v>
      </c>
      <c r="B6" s="18" t="s">
        <v>330</v>
      </c>
      <c r="C6" s="10" t="s">
        <v>2</v>
      </c>
      <c r="D6" s="10" t="s">
        <v>702</v>
      </c>
      <c r="E6" s="10" t="s">
        <v>326</v>
      </c>
      <c r="F6" s="13">
        <v>43195.670138888891</v>
      </c>
      <c r="G6" s="20">
        <v>43195.701388888891</v>
      </c>
      <c r="H6" s="18">
        <v>45</v>
      </c>
      <c r="I6" s="10" t="s">
        <v>343</v>
      </c>
      <c r="J6" s="10" t="s">
        <v>331</v>
      </c>
      <c r="K6" s="106" t="s">
        <v>332</v>
      </c>
      <c r="L6" s="38" t="s">
        <v>1287</v>
      </c>
      <c r="M6" s="12" t="s">
        <v>678</v>
      </c>
      <c r="N6" s="12"/>
      <c r="O6" s="14" t="str">
        <f t="shared" si="0"/>
        <v>ISLA</v>
      </c>
    </row>
    <row r="7" spans="1:15" s="1" customFormat="1" x14ac:dyDescent="0.25">
      <c r="A7" s="18">
        <v>6</v>
      </c>
      <c r="B7" s="18" t="s">
        <v>333</v>
      </c>
      <c r="C7" s="10" t="s">
        <v>14</v>
      </c>
      <c r="D7" s="38" t="s">
        <v>701</v>
      </c>
      <c r="E7" s="10" t="s">
        <v>138</v>
      </c>
      <c r="F7" s="13">
        <v>43197.333333333336</v>
      </c>
      <c r="G7" s="20">
        <v>43197.480555555558</v>
      </c>
      <c r="H7" s="18">
        <v>211.99999999953434</v>
      </c>
      <c r="I7" s="10" t="s">
        <v>334</v>
      </c>
      <c r="J7" s="10" t="s">
        <v>335</v>
      </c>
      <c r="K7" s="106" t="s">
        <v>336</v>
      </c>
      <c r="L7" s="38" t="s">
        <v>715</v>
      </c>
      <c r="M7" s="12" t="s">
        <v>678</v>
      </c>
      <c r="N7" s="12"/>
      <c r="O7" s="14" t="str">
        <f t="shared" si="0"/>
        <v>ISLA</v>
      </c>
    </row>
    <row r="8" spans="1:15" s="1" customFormat="1" x14ac:dyDescent="0.25">
      <c r="A8" s="18">
        <v>7</v>
      </c>
      <c r="B8" s="2" t="s">
        <v>337</v>
      </c>
      <c r="C8" s="18" t="s">
        <v>2</v>
      </c>
      <c r="D8" s="10" t="s">
        <v>702</v>
      </c>
      <c r="E8" s="18" t="s">
        <v>338</v>
      </c>
      <c r="F8" s="20">
        <v>43199.515277777777</v>
      </c>
      <c r="G8" s="20">
        <v>43199.565972222219</v>
      </c>
      <c r="H8" s="18">
        <v>72.999999996973202</v>
      </c>
      <c r="I8" s="18" t="s">
        <v>339</v>
      </c>
      <c r="J8" s="10" t="s">
        <v>20</v>
      </c>
      <c r="K8" s="107" t="s">
        <v>105</v>
      </c>
      <c r="L8" s="38" t="s">
        <v>707</v>
      </c>
      <c r="M8" s="18" t="s">
        <v>678</v>
      </c>
      <c r="N8" s="12"/>
      <c r="O8" s="14" t="str">
        <f t="shared" si="0"/>
        <v>ISLA</v>
      </c>
    </row>
    <row r="9" spans="1:15" s="1" customFormat="1" x14ac:dyDescent="0.25">
      <c r="A9" s="18">
        <v>8</v>
      </c>
      <c r="B9" s="18" t="s">
        <v>340</v>
      </c>
      <c r="C9" s="10" t="s">
        <v>2</v>
      </c>
      <c r="D9" s="10" t="s">
        <v>702</v>
      </c>
      <c r="E9" s="10" t="s">
        <v>44</v>
      </c>
      <c r="F9" s="13">
        <v>43199.729166666664</v>
      </c>
      <c r="G9" s="20">
        <v>43200.614583333336</v>
      </c>
      <c r="H9" s="18">
        <v>1275.0000000069849</v>
      </c>
      <c r="I9" s="10" t="s">
        <v>341</v>
      </c>
      <c r="J9" s="10" t="s">
        <v>20</v>
      </c>
      <c r="K9" s="106" t="s">
        <v>105</v>
      </c>
      <c r="L9" s="38" t="s">
        <v>707</v>
      </c>
      <c r="M9" s="18" t="s">
        <v>678</v>
      </c>
      <c r="N9" s="12"/>
      <c r="O9" s="14" t="str">
        <f t="shared" si="0"/>
        <v>OSLA</v>
      </c>
    </row>
    <row r="10" spans="1:15" s="1" customFormat="1" x14ac:dyDescent="0.25">
      <c r="A10" s="18">
        <v>9</v>
      </c>
      <c r="B10" s="18" t="s">
        <v>342</v>
      </c>
      <c r="C10" s="10" t="s">
        <v>14</v>
      </c>
      <c r="D10" s="10" t="s">
        <v>702</v>
      </c>
      <c r="E10" s="10" t="s">
        <v>40</v>
      </c>
      <c r="F10" s="13">
        <v>43200.507638888892</v>
      </c>
      <c r="G10" s="20">
        <v>43200.511111111111</v>
      </c>
      <c r="H10" s="32">
        <v>4.9999999953433871</v>
      </c>
      <c r="I10" s="10" t="s">
        <v>343</v>
      </c>
      <c r="J10" s="10" t="s">
        <v>344</v>
      </c>
      <c r="K10" s="106" t="s">
        <v>105</v>
      </c>
      <c r="L10" s="38" t="s">
        <v>701</v>
      </c>
      <c r="M10" s="12" t="s">
        <v>678</v>
      </c>
      <c r="N10" s="12"/>
      <c r="O10" s="14" t="str">
        <f t="shared" si="0"/>
        <v>ISLA</v>
      </c>
    </row>
    <row r="11" spans="1:15" s="1" customFormat="1" x14ac:dyDescent="0.25">
      <c r="A11" s="18">
        <v>10</v>
      </c>
      <c r="B11" s="18" t="s">
        <v>345</v>
      </c>
      <c r="C11" s="10" t="s">
        <v>14</v>
      </c>
      <c r="D11" s="10" t="s">
        <v>713</v>
      </c>
      <c r="E11" s="10" t="s">
        <v>346</v>
      </c>
      <c r="F11" s="13">
        <v>43200.416666666664</v>
      </c>
      <c r="G11" s="20">
        <v>43200.458333333336</v>
      </c>
      <c r="H11" s="32">
        <v>60.000000006984919</v>
      </c>
      <c r="I11" s="10" t="s">
        <v>347</v>
      </c>
      <c r="J11" s="10" t="s">
        <v>348</v>
      </c>
      <c r="K11" s="106" t="s">
        <v>349</v>
      </c>
      <c r="L11" s="10" t="s">
        <v>713</v>
      </c>
      <c r="M11" s="12" t="s">
        <v>678</v>
      </c>
      <c r="N11" s="12"/>
      <c r="O11" s="14" t="str">
        <f t="shared" si="0"/>
        <v>ISLA</v>
      </c>
    </row>
    <row r="12" spans="1:15" s="1" customFormat="1" x14ac:dyDescent="0.25">
      <c r="A12" s="18">
        <v>11</v>
      </c>
      <c r="B12" s="18" t="s">
        <v>350</v>
      </c>
      <c r="C12" s="10" t="s">
        <v>2</v>
      </c>
      <c r="D12" s="38" t="s">
        <v>701</v>
      </c>
      <c r="E12" s="10" t="s">
        <v>18</v>
      </c>
      <c r="F12" s="13">
        <v>43201.018055555556</v>
      </c>
      <c r="G12" s="20">
        <v>43201.058333333334</v>
      </c>
      <c r="H12" s="18">
        <v>58.000000000465661</v>
      </c>
      <c r="I12" s="10" t="s">
        <v>313</v>
      </c>
      <c r="J12" s="10" t="s">
        <v>19</v>
      </c>
      <c r="K12" s="106" t="s">
        <v>351</v>
      </c>
      <c r="L12" s="38" t="s">
        <v>701</v>
      </c>
      <c r="M12" s="12" t="s">
        <v>678</v>
      </c>
      <c r="N12" s="12"/>
      <c r="O12" s="14" t="str">
        <f t="shared" si="0"/>
        <v>ISLA</v>
      </c>
    </row>
    <row r="13" spans="1:15" s="1" customFormat="1" x14ac:dyDescent="0.25">
      <c r="A13" s="18">
        <v>12</v>
      </c>
      <c r="B13" s="18" t="s">
        <v>352</v>
      </c>
      <c r="C13" s="10" t="s">
        <v>2</v>
      </c>
      <c r="D13" s="10" t="s">
        <v>702</v>
      </c>
      <c r="E13" s="10" t="s">
        <v>353</v>
      </c>
      <c r="F13" s="13">
        <v>43201.815972222219</v>
      </c>
      <c r="G13" s="20">
        <v>43202.546527777777</v>
      </c>
      <c r="H13" s="18">
        <v>1052.0000000030268</v>
      </c>
      <c r="I13" s="10" t="s">
        <v>354</v>
      </c>
      <c r="J13" s="10" t="s">
        <v>355</v>
      </c>
      <c r="K13" s="106" t="s">
        <v>356</v>
      </c>
      <c r="L13" s="38" t="s">
        <v>704</v>
      </c>
      <c r="M13" s="12" t="s">
        <v>678</v>
      </c>
      <c r="N13" s="12"/>
      <c r="O13" s="14" t="str">
        <f t="shared" si="0"/>
        <v>OSLA</v>
      </c>
    </row>
    <row r="14" spans="1:15" s="1" customFormat="1" x14ac:dyDescent="0.25">
      <c r="A14" s="18">
        <v>13</v>
      </c>
      <c r="B14" s="18" t="s">
        <v>357</v>
      </c>
      <c r="C14" s="10" t="s">
        <v>2</v>
      </c>
      <c r="D14" s="38" t="s">
        <v>707</v>
      </c>
      <c r="E14" s="10" t="s">
        <v>358</v>
      </c>
      <c r="F14" s="13">
        <v>43202.3125</v>
      </c>
      <c r="G14" s="20">
        <v>43202.746527777781</v>
      </c>
      <c r="H14" s="18">
        <v>625.00000000465661</v>
      </c>
      <c r="I14" s="10" t="s">
        <v>359</v>
      </c>
      <c r="J14" s="10" t="s">
        <v>360</v>
      </c>
      <c r="K14" s="106" t="s">
        <v>361</v>
      </c>
      <c r="L14" s="38" t="s">
        <v>707</v>
      </c>
      <c r="M14" s="12" t="s">
        <v>678</v>
      </c>
      <c r="N14" s="12"/>
      <c r="O14" s="14" t="str">
        <f t="shared" si="0"/>
        <v>OSLA</v>
      </c>
    </row>
    <row r="15" spans="1:15" s="1" customFormat="1" x14ac:dyDescent="0.25">
      <c r="A15" s="18">
        <v>14</v>
      </c>
      <c r="B15" s="18" t="s">
        <v>362</v>
      </c>
      <c r="C15" s="10" t="s">
        <v>2</v>
      </c>
      <c r="D15" s="10" t="s">
        <v>702</v>
      </c>
      <c r="E15" s="10" t="s">
        <v>326</v>
      </c>
      <c r="F15" s="13">
        <v>43203.461805555555</v>
      </c>
      <c r="G15" s="20">
        <v>43203.505555555559</v>
      </c>
      <c r="H15" s="32">
        <v>63.000000006286427</v>
      </c>
      <c r="I15" s="10" t="s">
        <v>363</v>
      </c>
      <c r="J15" s="10" t="s">
        <v>364</v>
      </c>
      <c r="K15" s="106" t="s">
        <v>365</v>
      </c>
      <c r="L15" s="38" t="s">
        <v>701</v>
      </c>
      <c r="M15" s="12" t="s">
        <v>678</v>
      </c>
      <c r="N15" s="12"/>
      <c r="O15" s="14" t="str">
        <f t="shared" si="0"/>
        <v>ISLA</v>
      </c>
    </row>
    <row r="16" spans="1:15" s="1" customFormat="1" x14ac:dyDescent="0.25">
      <c r="A16" s="18">
        <v>15</v>
      </c>
      <c r="B16" s="18" t="s">
        <v>366</v>
      </c>
      <c r="C16" s="10" t="s">
        <v>2</v>
      </c>
      <c r="D16" s="38" t="s">
        <v>701</v>
      </c>
      <c r="E16" s="10" t="s">
        <v>367</v>
      </c>
      <c r="F16" s="13">
        <v>43203.489583333336</v>
      </c>
      <c r="G16" s="20">
        <v>43203.517361111109</v>
      </c>
      <c r="H16" s="32">
        <v>39.999999994179234</v>
      </c>
      <c r="I16" s="10" t="s">
        <v>368</v>
      </c>
      <c r="J16" s="10" t="s">
        <v>364</v>
      </c>
      <c r="K16" s="106" t="s">
        <v>365</v>
      </c>
      <c r="L16" s="38" t="s">
        <v>703</v>
      </c>
      <c r="M16" s="12" t="s">
        <v>678</v>
      </c>
      <c r="N16" s="12"/>
      <c r="O16" s="14" t="str">
        <f t="shared" si="0"/>
        <v>ISLA</v>
      </c>
    </row>
    <row r="17" spans="1:15" s="1" customFormat="1" x14ac:dyDescent="0.25">
      <c r="A17" s="18">
        <v>16</v>
      </c>
      <c r="B17" s="18" t="s">
        <v>369</v>
      </c>
      <c r="C17" s="10" t="s">
        <v>2</v>
      </c>
      <c r="D17" s="10" t="s">
        <v>702</v>
      </c>
      <c r="E17" s="10" t="s">
        <v>326</v>
      </c>
      <c r="F17" s="20">
        <v>43203.645833333336</v>
      </c>
      <c r="G17" s="20">
        <v>43203.690972222219</v>
      </c>
      <c r="H17" s="32">
        <v>64.999999991850927</v>
      </c>
      <c r="I17" s="10" t="s">
        <v>363</v>
      </c>
      <c r="J17" s="10" t="s">
        <v>370</v>
      </c>
      <c r="K17" s="106" t="s">
        <v>95</v>
      </c>
      <c r="L17" s="38" t="s">
        <v>701</v>
      </c>
      <c r="M17" s="12" t="s">
        <v>678</v>
      </c>
      <c r="N17" s="12"/>
      <c r="O17" s="14" t="str">
        <f t="shared" si="0"/>
        <v>ISLA</v>
      </c>
    </row>
    <row r="18" spans="1:15" s="1" customFormat="1" x14ac:dyDescent="0.25">
      <c r="A18" s="10">
        <v>17</v>
      </c>
      <c r="B18" s="10" t="s">
        <v>371</v>
      </c>
      <c r="C18" s="10" t="s">
        <v>2</v>
      </c>
      <c r="D18" s="10" t="s">
        <v>702</v>
      </c>
      <c r="E18" s="10" t="s">
        <v>372</v>
      </c>
      <c r="F18" s="20">
        <v>43204.645833333336</v>
      </c>
      <c r="G18" s="20">
        <v>43204.75</v>
      </c>
      <c r="H18" s="10">
        <v>149.99999999650754</v>
      </c>
      <c r="I18" s="10" t="s">
        <v>373</v>
      </c>
      <c r="J18" s="10" t="s">
        <v>671</v>
      </c>
      <c r="K18" s="106" t="s">
        <v>672</v>
      </c>
      <c r="L18" s="38" t="s">
        <v>703</v>
      </c>
      <c r="M18" s="10" t="s">
        <v>678</v>
      </c>
      <c r="N18" s="17"/>
      <c r="O18" s="14" t="str">
        <f t="shared" si="0"/>
        <v>OSLA</v>
      </c>
    </row>
    <row r="19" spans="1:15" x14ac:dyDescent="0.25">
      <c r="A19" s="18">
        <v>18</v>
      </c>
      <c r="B19" s="18" t="s">
        <v>374</v>
      </c>
      <c r="C19" s="10" t="s">
        <v>2</v>
      </c>
      <c r="D19" s="38" t="s">
        <v>701</v>
      </c>
      <c r="E19" s="10" t="s">
        <v>18</v>
      </c>
      <c r="F19" s="13">
        <v>43206.376388888886</v>
      </c>
      <c r="G19" s="20">
        <v>43206.415972222225</v>
      </c>
      <c r="H19" s="18">
        <v>57</v>
      </c>
      <c r="I19" s="10" t="s">
        <v>313</v>
      </c>
      <c r="J19" s="10" t="s">
        <v>19</v>
      </c>
      <c r="K19" s="106" t="s">
        <v>351</v>
      </c>
      <c r="L19" s="38" t="s">
        <v>701</v>
      </c>
      <c r="M19" s="12" t="s">
        <v>678</v>
      </c>
      <c r="N19" s="12"/>
      <c r="O19" s="14" t="str">
        <f t="shared" si="0"/>
        <v>ISLA</v>
      </c>
    </row>
    <row r="20" spans="1:15" x14ac:dyDescent="0.25">
      <c r="A20" s="18">
        <v>19</v>
      </c>
      <c r="B20" s="18" t="s">
        <v>375</v>
      </c>
      <c r="C20" s="10" t="s">
        <v>2</v>
      </c>
      <c r="D20" s="10" t="s">
        <v>702</v>
      </c>
      <c r="E20" s="10" t="s">
        <v>101</v>
      </c>
      <c r="F20" s="13">
        <v>43206.484722222223</v>
      </c>
      <c r="G20" s="20">
        <v>43206.524305555555</v>
      </c>
      <c r="H20" s="18">
        <v>57</v>
      </c>
      <c r="I20" s="10" t="s">
        <v>376</v>
      </c>
      <c r="J20" s="10" t="s">
        <v>377</v>
      </c>
      <c r="K20" s="106" t="s">
        <v>378</v>
      </c>
      <c r="L20" s="38" t="s">
        <v>703</v>
      </c>
      <c r="M20" s="12" t="s">
        <v>678</v>
      </c>
      <c r="N20" s="12"/>
      <c r="O20" s="14" t="str">
        <f t="shared" si="0"/>
        <v>ISLA</v>
      </c>
    </row>
    <row r="21" spans="1:15" x14ac:dyDescent="0.25">
      <c r="A21" s="18">
        <v>20</v>
      </c>
      <c r="B21" s="18" t="s">
        <v>621</v>
      </c>
      <c r="C21" s="10" t="s">
        <v>2</v>
      </c>
      <c r="D21" s="10" t="s">
        <v>702</v>
      </c>
      <c r="E21" s="10" t="s">
        <v>379</v>
      </c>
      <c r="F21" s="13">
        <v>43206.484722222223</v>
      </c>
      <c r="G21" s="20">
        <v>43206.524305555555</v>
      </c>
      <c r="H21" s="18">
        <v>57</v>
      </c>
      <c r="I21" s="10" t="s">
        <v>300</v>
      </c>
      <c r="J21" s="10" t="s">
        <v>380</v>
      </c>
      <c r="K21" s="106" t="s">
        <v>381</v>
      </c>
      <c r="L21" s="38" t="s">
        <v>703</v>
      </c>
      <c r="M21" s="12" t="s">
        <v>678</v>
      </c>
      <c r="N21" s="12"/>
      <c r="O21" s="14" t="str">
        <f t="shared" si="0"/>
        <v>ISLA</v>
      </c>
    </row>
    <row r="22" spans="1:15" x14ac:dyDescent="0.25">
      <c r="A22" s="18">
        <v>21</v>
      </c>
      <c r="B22" s="18" t="s">
        <v>382</v>
      </c>
      <c r="C22" s="10" t="s">
        <v>2</v>
      </c>
      <c r="D22" s="10" t="s">
        <v>702</v>
      </c>
      <c r="E22" s="10" t="s">
        <v>44</v>
      </c>
      <c r="F22" s="13">
        <v>43206.418055555558</v>
      </c>
      <c r="G22" s="20">
        <v>43206.469444444447</v>
      </c>
      <c r="H22" s="18">
        <v>74</v>
      </c>
      <c r="I22" s="10" t="s">
        <v>383</v>
      </c>
      <c r="J22" s="10" t="s">
        <v>384</v>
      </c>
      <c r="K22" s="106" t="s">
        <v>385</v>
      </c>
      <c r="L22" s="38" t="s">
        <v>707</v>
      </c>
      <c r="M22" s="12" t="s">
        <v>678</v>
      </c>
      <c r="N22" s="12"/>
      <c r="O22" s="14" t="str">
        <f t="shared" si="0"/>
        <v>ISLA</v>
      </c>
    </row>
    <row r="23" spans="1:15" x14ac:dyDescent="0.25">
      <c r="A23" s="18">
        <v>22</v>
      </c>
      <c r="B23" s="18" t="s">
        <v>386</v>
      </c>
      <c r="C23" s="10" t="s">
        <v>2</v>
      </c>
      <c r="D23" s="10" t="s">
        <v>702</v>
      </c>
      <c r="E23" s="10" t="s">
        <v>101</v>
      </c>
      <c r="F23" s="13">
        <v>43207.3125</v>
      </c>
      <c r="G23" s="20">
        <v>43207.35833333333</v>
      </c>
      <c r="H23" s="18">
        <v>66</v>
      </c>
      <c r="I23" s="10" t="s">
        <v>387</v>
      </c>
      <c r="J23" s="10" t="s">
        <v>388</v>
      </c>
      <c r="K23" s="106" t="s">
        <v>389</v>
      </c>
      <c r="L23" s="38" t="s">
        <v>703</v>
      </c>
      <c r="M23" s="12" t="s">
        <v>678</v>
      </c>
      <c r="N23" s="12"/>
      <c r="O23" s="14" t="str">
        <f t="shared" si="0"/>
        <v>ISLA</v>
      </c>
    </row>
    <row r="24" spans="1:15" x14ac:dyDescent="0.25">
      <c r="A24" s="18">
        <v>23</v>
      </c>
      <c r="B24" s="18" t="s">
        <v>390</v>
      </c>
      <c r="C24" s="10" t="s">
        <v>2</v>
      </c>
      <c r="D24" s="10" t="s">
        <v>702</v>
      </c>
      <c r="E24" s="10" t="s">
        <v>391</v>
      </c>
      <c r="F24" s="13">
        <v>43207.492361111108</v>
      </c>
      <c r="G24" s="20">
        <v>43207.604166666664</v>
      </c>
      <c r="H24" s="18">
        <v>161</v>
      </c>
      <c r="I24" s="10" t="s">
        <v>392</v>
      </c>
      <c r="J24" s="10" t="s">
        <v>393</v>
      </c>
      <c r="K24" s="106" t="s">
        <v>105</v>
      </c>
      <c r="L24" s="38" t="s">
        <v>709</v>
      </c>
      <c r="M24" s="12" t="s">
        <v>678</v>
      </c>
      <c r="N24" s="12"/>
      <c r="O24" s="14" t="str">
        <f t="shared" si="0"/>
        <v>OSLA</v>
      </c>
    </row>
    <row r="25" spans="1:15" x14ac:dyDescent="0.25">
      <c r="A25" s="18">
        <v>24</v>
      </c>
      <c r="B25" s="18" t="s">
        <v>394</v>
      </c>
      <c r="C25" s="10" t="s">
        <v>2</v>
      </c>
      <c r="D25" s="10" t="s">
        <v>702</v>
      </c>
      <c r="E25" s="10" t="s">
        <v>379</v>
      </c>
      <c r="F25" s="13">
        <v>43209.495833333334</v>
      </c>
      <c r="G25" s="20">
        <v>43209.524305555555</v>
      </c>
      <c r="H25" s="18">
        <v>41</v>
      </c>
      <c r="I25" s="10" t="s">
        <v>300</v>
      </c>
      <c r="J25" s="10" t="s">
        <v>380</v>
      </c>
      <c r="K25" s="106" t="s">
        <v>381</v>
      </c>
      <c r="L25" s="38" t="s">
        <v>703</v>
      </c>
      <c r="M25" s="12" t="s">
        <v>678</v>
      </c>
      <c r="N25" s="12"/>
      <c r="O25" s="14" t="str">
        <f t="shared" si="0"/>
        <v>ISLA</v>
      </c>
    </row>
    <row r="26" spans="1:15" x14ac:dyDescent="0.25">
      <c r="A26" s="18">
        <v>25</v>
      </c>
      <c r="B26" s="18" t="s">
        <v>621</v>
      </c>
      <c r="C26" s="10" t="s">
        <v>2</v>
      </c>
      <c r="D26" s="10" t="s">
        <v>702</v>
      </c>
      <c r="E26" s="10" t="s">
        <v>379</v>
      </c>
      <c r="F26" s="13">
        <v>43213.479166666664</v>
      </c>
      <c r="G26" s="20">
        <v>43213.511111111111</v>
      </c>
      <c r="H26" s="18">
        <v>46</v>
      </c>
      <c r="I26" s="10" t="s">
        <v>300</v>
      </c>
      <c r="J26" s="10" t="s">
        <v>622</v>
      </c>
      <c r="K26" s="106" t="s">
        <v>623</v>
      </c>
      <c r="L26" s="38" t="s">
        <v>703</v>
      </c>
      <c r="M26" s="12" t="s">
        <v>678</v>
      </c>
      <c r="N26" s="12"/>
      <c r="O26" s="14" t="str">
        <f t="shared" si="0"/>
        <v>ISLA</v>
      </c>
    </row>
    <row r="27" spans="1:15" x14ac:dyDescent="0.25">
      <c r="A27" s="18">
        <v>26</v>
      </c>
      <c r="B27" s="18" t="s">
        <v>624</v>
      </c>
      <c r="C27" s="10" t="s">
        <v>2</v>
      </c>
      <c r="D27" s="38" t="s">
        <v>701</v>
      </c>
      <c r="E27" s="10" t="s">
        <v>625</v>
      </c>
      <c r="F27" s="13">
        <v>43213.620138888888</v>
      </c>
      <c r="G27" s="20">
        <v>43213.663888888892</v>
      </c>
      <c r="H27" s="18">
        <v>63</v>
      </c>
      <c r="I27" s="10" t="s">
        <v>626</v>
      </c>
      <c r="J27" s="10" t="s">
        <v>627</v>
      </c>
      <c r="K27" s="106" t="s">
        <v>627</v>
      </c>
      <c r="L27" s="38" t="s">
        <v>701</v>
      </c>
      <c r="M27" s="12" t="s">
        <v>678</v>
      </c>
      <c r="N27" s="12"/>
      <c r="O27" s="14" t="str">
        <f t="shared" si="0"/>
        <v>ISLA</v>
      </c>
    </row>
    <row r="28" spans="1:15" x14ac:dyDescent="0.25">
      <c r="A28" s="18">
        <v>27</v>
      </c>
      <c r="B28" s="18" t="s">
        <v>628</v>
      </c>
      <c r="C28" s="10" t="s">
        <v>2</v>
      </c>
      <c r="D28" s="10" t="s">
        <v>702</v>
      </c>
      <c r="E28" s="10" t="s">
        <v>150</v>
      </c>
      <c r="F28" s="13">
        <v>43213.920138888891</v>
      </c>
      <c r="G28" s="20">
        <v>43213.9375</v>
      </c>
      <c r="H28" s="18">
        <v>25</v>
      </c>
      <c r="I28" s="10" t="s">
        <v>629</v>
      </c>
      <c r="J28" s="10" t="s">
        <v>630</v>
      </c>
      <c r="K28" s="106" t="s">
        <v>105</v>
      </c>
      <c r="L28" s="38" t="s">
        <v>704</v>
      </c>
      <c r="M28" s="12" t="s">
        <v>678</v>
      </c>
      <c r="N28" s="12"/>
      <c r="O28" s="14" t="str">
        <f t="shared" si="0"/>
        <v>ISLA</v>
      </c>
    </row>
    <row r="29" spans="1:15" x14ac:dyDescent="0.25">
      <c r="A29" s="18">
        <v>28</v>
      </c>
      <c r="B29" s="18" t="s">
        <v>631</v>
      </c>
      <c r="C29" s="10" t="s">
        <v>2</v>
      </c>
      <c r="D29" s="38" t="s">
        <v>701</v>
      </c>
      <c r="E29" s="10" t="s">
        <v>18</v>
      </c>
      <c r="F29" s="13">
        <v>43214.611805555556</v>
      </c>
      <c r="G29" s="20">
        <v>43214.648611111108</v>
      </c>
      <c r="H29" s="18">
        <v>53</v>
      </c>
      <c r="I29" s="10" t="s">
        <v>313</v>
      </c>
      <c r="J29" s="10" t="s">
        <v>19</v>
      </c>
      <c r="K29" s="106" t="s">
        <v>351</v>
      </c>
      <c r="L29" s="38" t="s">
        <v>701</v>
      </c>
      <c r="M29" s="12" t="s">
        <v>678</v>
      </c>
      <c r="N29" s="12"/>
      <c r="O29" s="14" t="str">
        <f t="shared" si="0"/>
        <v>ISLA</v>
      </c>
    </row>
    <row r="30" spans="1:15" x14ac:dyDescent="0.25">
      <c r="A30" s="18">
        <v>29</v>
      </c>
      <c r="B30" s="18" t="s">
        <v>632</v>
      </c>
      <c r="C30" s="10" t="s">
        <v>2</v>
      </c>
      <c r="D30" s="38" t="s">
        <v>701</v>
      </c>
      <c r="E30" s="10" t="s">
        <v>18</v>
      </c>
      <c r="F30" s="13">
        <v>43216.981249999997</v>
      </c>
      <c r="G30" s="20">
        <v>43217.027777777781</v>
      </c>
      <c r="H30" s="18">
        <v>67</v>
      </c>
      <c r="I30" s="10" t="s">
        <v>313</v>
      </c>
      <c r="J30" s="10" t="s">
        <v>19</v>
      </c>
      <c r="K30" s="106" t="s">
        <v>351</v>
      </c>
      <c r="L30" s="38" t="s">
        <v>701</v>
      </c>
      <c r="M30" s="12" t="s">
        <v>678</v>
      </c>
      <c r="N30" s="12"/>
      <c r="O30" s="14" t="str">
        <f t="shared" si="0"/>
        <v>ISLA</v>
      </c>
    </row>
    <row r="31" spans="1:15" x14ac:dyDescent="0.25">
      <c r="A31" s="18">
        <v>30</v>
      </c>
      <c r="B31" s="18" t="s">
        <v>633</v>
      </c>
      <c r="C31" s="10" t="s">
        <v>14</v>
      </c>
      <c r="D31" s="38" t="s">
        <v>701</v>
      </c>
      <c r="E31" s="10" t="s">
        <v>18</v>
      </c>
      <c r="F31" s="13">
        <v>43217.251388888886</v>
      </c>
      <c r="G31" s="20">
        <v>43217.287499999999</v>
      </c>
      <c r="H31" s="18">
        <v>52.000000001862645</v>
      </c>
      <c r="I31" s="10" t="s">
        <v>313</v>
      </c>
      <c r="J31" s="10" t="s">
        <v>19</v>
      </c>
      <c r="K31" s="106" t="s">
        <v>351</v>
      </c>
      <c r="L31" s="38" t="s">
        <v>701</v>
      </c>
      <c r="M31" s="12" t="s">
        <v>678</v>
      </c>
      <c r="N31" s="17"/>
      <c r="O31" s="14" t="str">
        <f t="shared" si="0"/>
        <v>ISLA</v>
      </c>
    </row>
    <row r="32" spans="1:15" x14ac:dyDescent="0.25">
      <c r="A32" s="18">
        <v>31</v>
      </c>
      <c r="B32" s="18" t="s">
        <v>634</v>
      </c>
      <c r="C32" s="10" t="s">
        <v>2</v>
      </c>
      <c r="D32" s="10" t="s">
        <v>702</v>
      </c>
      <c r="E32" s="10" t="s">
        <v>379</v>
      </c>
      <c r="F32" s="13">
        <v>43217.298611111109</v>
      </c>
      <c r="G32" s="20">
        <v>43217.348611111112</v>
      </c>
      <c r="H32" s="18">
        <v>72.000000004190952</v>
      </c>
      <c r="I32" s="10" t="s">
        <v>300</v>
      </c>
      <c r="J32" s="10" t="s">
        <v>622</v>
      </c>
      <c r="K32" s="106" t="s">
        <v>623</v>
      </c>
      <c r="L32" s="38" t="s">
        <v>703</v>
      </c>
      <c r="M32" s="12" t="s">
        <v>678</v>
      </c>
      <c r="N32" s="12"/>
      <c r="O32" s="14" t="str">
        <f t="shared" si="0"/>
        <v>ISLA</v>
      </c>
    </row>
    <row r="33" spans="1:15" x14ac:dyDescent="0.25">
      <c r="A33" s="18">
        <v>32</v>
      </c>
      <c r="B33" s="18" t="s">
        <v>635</v>
      </c>
      <c r="C33" s="10" t="s">
        <v>2</v>
      </c>
      <c r="D33" s="38" t="s">
        <v>701</v>
      </c>
      <c r="E33" s="10" t="s">
        <v>18</v>
      </c>
      <c r="F33" s="13">
        <v>43217.425694444442</v>
      </c>
      <c r="G33" s="20">
        <v>43217.48541666667</v>
      </c>
      <c r="H33" s="32">
        <v>86.000000007916242</v>
      </c>
      <c r="I33" s="10" t="s">
        <v>313</v>
      </c>
      <c r="J33" s="10" t="s">
        <v>19</v>
      </c>
      <c r="K33" s="106" t="s">
        <v>351</v>
      </c>
      <c r="L33" s="38" t="s">
        <v>701</v>
      </c>
      <c r="M33" s="12" t="s">
        <v>678</v>
      </c>
      <c r="N33" s="12"/>
      <c r="O33" s="14" t="str">
        <f t="shared" si="0"/>
        <v>ISLA</v>
      </c>
    </row>
    <row r="34" spans="1:15" x14ac:dyDescent="0.25">
      <c r="A34" s="18">
        <v>33</v>
      </c>
      <c r="B34" s="18" t="s">
        <v>636</v>
      </c>
      <c r="C34" s="10" t="s">
        <v>2</v>
      </c>
      <c r="D34" s="38" t="s">
        <v>701</v>
      </c>
      <c r="E34" s="10" t="s">
        <v>18</v>
      </c>
      <c r="F34" s="13">
        <v>43218.010416666664</v>
      </c>
      <c r="G34" s="20">
        <v>43218.054861111108</v>
      </c>
      <c r="H34" s="18">
        <v>63.999999999068677</v>
      </c>
      <c r="I34" s="10" t="s">
        <v>313</v>
      </c>
      <c r="J34" s="10" t="s">
        <v>19</v>
      </c>
      <c r="K34" s="106" t="s">
        <v>351</v>
      </c>
      <c r="L34" s="38" t="s">
        <v>701</v>
      </c>
      <c r="M34" s="12" t="s">
        <v>678</v>
      </c>
      <c r="N34" s="12"/>
      <c r="O34" s="14" t="str">
        <f t="shared" si="0"/>
        <v>ISLA</v>
      </c>
    </row>
    <row r="35" spans="1:15" x14ac:dyDescent="0.25">
      <c r="A35" s="18">
        <v>34</v>
      </c>
      <c r="B35" s="18" t="s">
        <v>637</v>
      </c>
      <c r="C35" s="10" t="s">
        <v>2</v>
      </c>
      <c r="D35" s="38" t="s">
        <v>701</v>
      </c>
      <c r="E35" s="10" t="s">
        <v>18</v>
      </c>
      <c r="F35" s="13">
        <v>43218.27847222222</v>
      </c>
      <c r="G35" s="20">
        <v>43218.318749999999</v>
      </c>
      <c r="H35" s="18">
        <v>58.000000000465661</v>
      </c>
      <c r="I35" s="10" t="s">
        <v>313</v>
      </c>
      <c r="J35" s="10" t="s">
        <v>19</v>
      </c>
      <c r="K35" s="106" t="s">
        <v>351</v>
      </c>
      <c r="L35" s="38" t="s">
        <v>701</v>
      </c>
      <c r="M35" s="12" t="s">
        <v>678</v>
      </c>
      <c r="N35" s="12"/>
      <c r="O35" s="14" t="str">
        <f t="shared" si="0"/>
        <v>ISLA</v>
      </c>
    </row>
    <row r="36" spans="1:15" x14ac:dyDescent="0.25">
      <c r="A36" s="18">
        <v>35</v>
      </c>
      <c r="B36" s="18" t="s">
        <v>638</v>
      </c>
      <c r="C36" s="10" t="s">
        <v>2</v>
      </c>
      <c r="D36" s="38" t="s">
        <v>701</v>
      </c>
      <c r="E36" s="10" t="s">
        <v>18</v>
      </c>
      <c r="F36" s="13">
        <v>43218.500694444447</v>
      </c>
      <c r="G36" s="20">
        <v>43218.539583333331</v>
      </c>
      <c r="H36" s="32">
        <v>55.999999993946403</v>
      </c>
      <c r="I36" s="10" t="s">
        <v>313</v>
      </c>
      <c r="J36" s="10" t="s">
        <v>19</v>
      </c>
      <c r="K36" s="106" t="s">
        <v>351</v>
      </c>
      <c r="L36" s="38" t="s">
        <v>701</v>
      </c>
      <c r="M36" s="12" t="s">
        <v>678</v>
      </c>
      <c r="N36" s="12"/>
      <c r="O36" s="14" t="str">
        <f t="shared" si="0"/>
        <v>ISLA</v>
      </c>
    </row>
    <row r="37" spans="1:15" ht="12" x14ac:dyDescent="0.25">
      <c r="A37" s="18">
        <v>36</v>
      </c>
      <c r="B37" s="18" t="s">
        <v>639</v>
      </c>
      <c r="C37" s="10" t="s">
        <v>2</v>
      </c>
      <c r="D37" s="10" t="s">
        <v>702</v>
      </c>
      <c r="E37" s="10" t="s">
        <v>138</v>
      </c>
      <c r="F37" s="13">
        <v>43218.506944444445</v>
      </c>
      <c r="G37" s="20">
        <v>43218.632638888892</v>
      </c>
      <c r="H37" s="18">
        <v>181.00000000325963</v>
      </c>
      <c r="I37" s="10" t="s">
        <v>321</v>
      </c>
      <c r="J37" s="10" t="s">
        <v>697</v>
      </c>
      <c r="K37" s="106" t="s">
        <v>698</v>
      </c>
      <c r="L37" s="38" t="s">
        <v>715</v>
      </c>
      <c r="M37" s="12" t="s">
        <v>678</v>
      </c>
      <c r="N37" s="12"/>
      <c r="O37" s="14" t="str">
        <f t="shared" si="0"/>
        <v>OSLA</v>
      </c>
    </row>
    <row r="38" spans="1:15" ht="12" x14ac:dyDescent="0.25">
      <c r="A38" s="18">
        <v>37</v>
      </c>
      <c r="B38" s="18" t="s">
        <v>1312</v>
      </c>
      <c r="C38" s="10" t="s">
        <v>2</v>
      </c>
      <c r="D38" s="10" t="s">
        <v>702</v>
      </c>
      <c r="E38" s="10" t="s">
        <v>40</v>
      </c>
      <c r="F38" s="13">
        <v>43218.520833333336</v>
      </c>
      <c r="G38" s="20">
        <v>43218.559027777781</v>
      </c>
      <c r="H38" s="18">
        <v>55.000000001164153</v>
      </c>
      <c r="I38" s="10" t="s">
        <v>640</v>
      </c>
      <c r="J38" s="10" t="s">
        <v>697</v>
      </c>
      <c r="K38" s="106" t="s">
        <v>698</v>
      </c>
      <c r="L38" s="38" t="s">
        <v>715</v>
      </c>
      <c r="M38" s="12" t="s">
        <v>678</v>
      </c>
      <c r="N38" s="12"/>
      <c r="O38" s="14" t="str">
        <f t="shared" si="0"/>
        <v>ISLA</v>
      </c>
    </row>
    <row r="39" spans="1:15" x14ac:dyDescent="0.25">
      <c r="A39" s="18">
        <v>38</v>
      </c>
      <c r="B39" s="18" t="s">
        <v>639</v>
      </c>
      <c r="C39" s="10" t="s">
        <v>2</v>
      </c>
      <c r="D39" s="38" t="s">
        <v>701</v>
      </c>
      <c r="E39" s="10" t="s">
        <v>138</v>
      </c>
      <c r="F39" s="13">
        <v>43218.786805555559</v>
      </c>
      <c r="G39" s="20">
        <v>43218.90347222222</v>
      </c>
      <c r="H39" s="18">
        <v>167.99999999231659</v>
      </c>
      <c r="I39" s="10" t="s">
        <v>641</v>
      </c>
      <c r="J39" s="10" t="s">
        <v>642</v>
      </c>
      <c r="K39" s="106" t="s">
        <v>643</v>
      </c>
      <c r="L39" s="38" t="s">
        <v>701</v>
      </c>
      <c r="M39" s="12" t="s">
        <v>678</v>
      </c>
      <c r="N39" s="12"/>
      <c r="O39" s="14" t="str">
        <f t="shared" si="0"/>
        <v>OSLA</v>
      </c>
    </row>
    <row r="40" spans="1:15" x14ac:dyDescent="0.25">
      <c r="A40" s="18">
        <v>40</v>
      </c>
      <c r="B40" s="18" t="s">
        <v>644</v>
      </c>
      <c r="C40" s="10" t="s">
        <v>2</v>
      </c>
      <c r="D40" s="38" t="s">
        <v>701</v>
      </c>
      <c r="E40" s="10" t="s">
        <v>18</v>
      </c>
      <c r="F40" s="13">
        <v>43218.979166666664</v>
      </c>
      <c r="G40" s="20">
        <v>43219.01666666667</v>
      </c>
      <c r="H40" s="32">
        <v>54.000000008381903</v>
      </c>
      <c r="I40" s="10" t="s">
        <v>313</v>
      </c>
      <c r="J40" s="10" t="s">
        <v>19</v>
      </c>
      <c r="K40" s="106" t="s">
        <v>351</v>
      </c>
      <c r="L40" s="38" t="s">
        <v>701</v>
      </c>
      <c r="M40" s="12" t="s">
        <v>678</v>
      </c>
      <c r="N40" s="12"/>
      <c r="O40" s="14" t="str">
        <f t="shared" si="0"/>
        <v>ISLA</v>
      </c>
    </row>
    <row r="41" spans="1:15" x14ac:dyDescent="0.25">
      <c r="A41" s="18">
        <v>41</v>
      </c>
      <c r="B41" s="18" t="s">
        <v>645</v>
      </c>
      <c r="C41" s="10" t="s">
        <v>2</v>
      </c>
      <c r="D41" s="38" t="s">
        <v>701</v>
      </c>
      <c r="E41" s="10" t="s">
        <v>18</v>
      </c>
      <c r="F41" s="13">
        <v>43219.209027777775</v>
      </c>
      <c r="G41" s="20">
        <v>43219.245833333334</v>
      </c>
      <c r="H41" s="32">
        <v>53.000000005122274</v>
      </c>
      <c r="I41" s="10" t="s">
        <v>313</v>
      </c>
      <c r="J41" s="10" t="s">
        <v>19</v>
      </c>
      <c r="K41" s="106" t="s">
        <v>351</v>
      </c>
      <c r="L41" s="38" t="s">
        <v>701</v>
      </c>
      <c r="M41" s="12" t="s">
        <v>678</v>
      </c>
      <c r="N41" s="12"/>
      <c r="O41" s="14" t="str">
        <f t="shared" si="0"/>
        <v>ISLA</v>
      </c>
    </row>
    <row r="42" spans="1:15" x14ac:dyDescent="0.25">
      <c r="A42" s="18">
        <v>42</v>
      </c>
      <c r="B42" s="18" t="s">
        <v>646</v>
      </c>
      <c r="C42" s="10" t="s">
        <v>2</v>
      </c>
      <c r="D42" s="38" t="s">
        <v>701</v>
      </c>
      <c r="E42" s="10" t="s">
        <v>18</v>
      </c>
      <c r="F42" s="13">
        <v>43220.129166666666</v>
      </c>
      <c r="G42" s="20">
        <v>43220.22152777778</v>
      </c>
      <c r="H42" s="18">
        <v>133</v>
      </c>
      <c r="I42" s="10" t="s">
        <v>313</v>
      </c>
      <c r="J42" s="10" t="s">
        <v>19</v>
      </c>
      <c r="K42" s="106" t="s">
        <v>351</v>
      </c>
      <c r="L42" s="38" t="s">
        <v>701</v>
      </c>
      <c r="M42" s="12" t="s">
        <v>678</v>
      </c>
      <c r="N42" s="12"/>
      <c r="O42" s="14" t="str">
        <f t="shared" si="0"/>
        <v>OSLA</v>
      </c>
    </row>
    <row r="43" spans="1:15" ht="41.15" x14ac:dyDescent="0.25">
      <c r="A43" s="18">
        <v>43</v>
      </c>
      <c r="B43" s="18" t="s">
        <v>647</v>
      </c>
      <c r="C43" s="10" t="s">
        <v>2</v>
      </c>
      <c r="D43" s="38" t="s">
        <v>707</v>
      </c>
      <c r="E43" s="10" t="s">
        <v>648</v>
      </c>
      <c r="F43" s="13">
        <v>43220.282638888886</v>
      </c>
      <c r="G43" s="20">
        <v>43223.504166666666</v>
      </c>
      <c r="H43" s="18">
        <v>4639</v>
      </c>
      <c r="I43" s="10" t="s">
        <v>649</v>
      </c>
      <c r="J43" s="10" t="s">
        <v>650</v>
      </c>
      <c r="K43" s="106" t="s">
        <v>651</v>
      </c>
      <c r="L43" s="38" t="s">
        <v>707</v>
      </c>
      <c r="M43" s="12" t="s">
        <v>678</v>
      </c>
      <c r="N43" s="12"/>
      <c r="O43" s="14" t="str">
        <f t="shared" si="0"/>
        <v>OSLA</v>
      </c>
    </row>
    <row r="44" spans="1:15" x14ac:dyDescent="0.25">
      <c r="A44" s="18">
        <v>44</v>
      </c>
      <c r="B44" s="11" t="s">
        <v>652</v>
      </c>
      <c r="C44" s="12" t="s">
        <v>2</v>
      </c>
      <c r="D44" s="38" t="s">
        <v>701</v>
      </c>
      <c r="E44" s="10" t="s">
        <v>18</v>
      </c>
      <c r="F44" s="13">
        <v>43220.604861111111</v>
      </c>
      <c r="G44" s="20">
        <v>43220.645833333336</v>
      </c>
      <c r="H44" s="12">
        <v>59</v>
      </c>
      <c r="I44" s="11" t="s">
        <v>313</v>
      </c>
      <c r="J44" s="10" t="s">
        <v>19</v>
      </c>
      <c r="K44" s="106" t="s">
        <v>351</v>
      </c>
      <c r="L44" s="38" t="s">
        <v>701</v>
      </c>
      <c r="M44" s="12" t="s">
        <v>678</v>
      </c>
      <c r="N44" s="12"/>
      <c r="O44" s="14" t="str">
        <f t="shared" si="0"/>
        <v>ISLA</v>
      </c>
    </row>
    <row r="47" spans="1:15" ht="14.6" x14ac:dyDescent="0.4">
      <c r="B47" s="73" t="s">
        <v>2</v>
      </c>
      <c r="C47" s="73" t="s">
        <v>776</v>
      </c>
      <c r="D47" s="73">
        <v>120</v>
      </c>
    </row>
    <row r="48" spans="1:15" ht="14.6" x14ac:dyDescent="0.4">
      <c r="B48" s="73" t="s">
        <v>14</v>
      </c>
      <c r="C48" s="73" t="s">
        <v>777</v>
      </c>
      <c r="D48" s="73">
        <v>240</v>
      </c>
    </row>
    <row r="49" spans="2:4" ht="14.6" x14ac:dyDescent="0.4">
      <c r="B49" s="73" t="s">
        <v>158</v>
      </c>
      <c r="C49" s="73" t="s">
        <v>778</v>
      </c>
      <c r="D49" s="73">
        <f>1440*2</f>
        <v>2880</v>
      </c>
    </row>
    <row r="50" spans="2:4" ht="14.6" x14ac:dyDescent="0.4">
      <c r="B50" s="73" t="s">
        <v>757</v>
      </c>
      <c r="C50" s="73" t="s">
        <v>779</v>
      </c>
      <c r="D50" s="73">
        <f>3*1440</f>
        <v>4320</v>
      </c>
    </row>
  </sheetData>
  <autoFilter ref="A1:N44" xr:uid="{00000000-0009-0000-0000-000007000000}"/>
  <conditionalFormatting sqref="A2:A17 I5:J5 F9:H16 H17 A19:A44">
    <cfRule type="cellIs" dxfId="107" priority="103" operator="equal">
      <formula>"NOK"</formula>
    </cfRule>
  </conditionalFormatting>
  <conditionalFormatting sqref="A18:C18 E18 H18:I18">
    <cfRule type="cellIs" dxfId="106" priority="42" operator="equal">
      <formula>"NOK"</formula>
    </cfRule>
  </conditionalFormatting>
  <conditionalFormatting sqref="B6">
    <cfRule type="cellIs" dxfId="105" priority="106" operator="equal">
      <formula>"NOK"</formula>
    </cfRule>
  </conditionalFormatting>
  <conditionalFormatting sqref="B2:E2 B3:D3">
    <cfRule type="cellIs" dxfId="104" priority="117" operator="equal">
      <formula>"NOK"</formula>
    </cfRule>
  </conditionalFormatting>
  <conditionalFormatting sqref="D7">
    <cfRule type="cellIs" dxfId="103" priority="32" operator="equal">
      <formula>"NOK"</formula>
    </cfRule>
  </conditionalFormatting>
  <conditionalFormatting sqref="D12 D19 D29:D31 D33:D36">
    <cfRule type="cellIs" dxfId="102" priority="27" operator="equal">
      <formula>"NOK"</formula>
    </cfRule>
  </conditionalFormatting>
  <conditionalFormatting sqref="D14">
    <cfRule type="cellIs" dxfId="101" priority="26" operator="equal">
      <formula>"NOK"</formula>
    </cfRule>
  </conditionalFormatting>
  <conditionalFormatting sqref="D16">
    <cfRule type="cellIs" dxfId="100" priority="23" operator="equal">
      <formula>"NOK"</formula>
    </cfRule>
  </conditionalFormatting>
  <conditionalFormatting sqref="D27">
    <cfRule type="cellIs" dxfId="99" priority="12" operator="equal">
      <formula>"NOK"</formula>
    </cfRule>
  </conditionalFormatting>
  <conditionalFormatting sqref="D39:D44">
    <cfRule type="cellIs" dxfId="98" priority="5" operator="equal">
      <formula>"NOK"</formula>
    </cfRule>
  </conditionalFormatting>
  <conditionalFormatting sqref="E8:I8">
    <cfRule type="cellIs" dxfId="97" priority="39" operator="equal">
      <formula>"NOK"</formula>
    </cfRule>
  </conditionalFormatting>
  <conditionalFormatting sqref="F17:G18">
    <cfRule type="cellIs" dxfId="96" priority="38" operator="equal">
      <formula>"NOK"</formula>
    </cfRule>
  </conditionalFormatting>
  <conditionalFormatting sqref="F2:H7">
    <cfRule type="cellIs" dxfId="95" priority="97" operator="equal">
      <formula>"NOK"</formula>
    </cfRule>
  </conditionalFormatting>
  <conditionalFormatting sqref="F19:H43">
    <cfRule type="cellIs" dxfId="94" priority="48" operator="equal">
      <formula>"NOK"</formula>
    </cfRule>
  </conditionalFormatting>
  <conditionalFormatting sqref="J6:J8">
    <cfRule type="cellIs" dxfId="93" priority="40" operator="equal">
      <formula>"NOK"</formula>
    </cfRule>
  </conditionalFormatting>
  <conditionalFormatting sqref="J9:K44">
    <cfRule type="cellIs" dxfId="92" priority="1" operator="equal">
      <formula>"NOK"</formula>
    </cfRule>
  </conditionalFormatting>
  <conditionalFormatting sqref="K3">
    <cfRule type="cellIs" dxfId="91" priority="36" operator="equal">
      <formula>"NOK"</formula>
    </cfRule>
  </conditionalFormatting>
  <conditionalFormatting sqref="K7:K8 B8:C8 M8:M9">
    <cfRule type="cellIs" dxfId="90" priority="45" operator="equal">
      <formula>"NOK"</formula>
    </cfRule>
  </conditionalFormatting>
  <conditionalFormatting sqref="L2:L3">
    <cfRule type="cellIs" dxfId="89" priority="34" operator="equal">
      <formula>"NOK"</formula>
    </cfRule>
  </conditionalFormatting>
  <conditionalFormatting sqref="L6:L10">
    <cfRule type="cellIs" dxfId="88" priority="29" operator="equal">
      <formula>"NOK"</formula>
    </cfRule>
  </conditionalFormatting>
  <conditionalFormatting sqref="L12">
    <cfRule type="cellIs" dxfId="87" priority="37" operator="equal">
      <formula>"NOK"</formula>
    </cfRule>
  </conditionalFormatting>
  <conditionalFormatting sqref="L14:L44">
    <cfRule type="cellIs" dxfId="86" priority="4" operator="equal">
      <formula>"NOK"</formula>
    </cfRule>
  </conditionalFormatting>
  <conditionalFormatting sqref="M18">
    <cfRule type="cellIs" dxfId="85" priority="41" operator="equal">
      <formula>"NOK"</formula>
    </cfRule>
  </conditionalFormatting>
  <dataValidations xWindow="214" yWindow="428" count="3">
    <dataValidation type="list" allowBlank="1" showInputMessage="1" showErrorMessage="1" promptTitle="Priorité" prompt="La Priorité de l'Incident" sqref="L44 D19 D33:D36 L27 D7 L2:L3 L12 L19 L29:L31 L33:L42 C2:C6 D2:D3 L6 C8:C18 L10 D12 L14 D14 D16 C31:C36 C41:D41 D42 D44 D27 D29:D31 C38 D39:D40" xr:uid="{00000000-0002-0000-0700-000000000000}">
      <formula1>prio</formula1>
    </dataValidation>
    <dataValidation type="list" allowBlank="1" showInputMessage="1" showErrorMessage="1" promptTitle="Statut" prompt="L'Etat du Service" sqref="M8:M18" xr:uid="{00000000-0002-0000-0700-000001000000}">
      <formula1>stat</formula1>
    </dataValidation>
    <dataValidation type="list" allowBlank="1" showInputMessage="1" showErrorMessage="1" sqref="D11 L11" xr:uid="{00000000-0002-0000-0700-000002000000}">
      <formula1>ORIGINE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5">
    <tabColor theme="7"/>
  </sheetPr>
  <dimension ref="A1:O50"/>
  <sheetViews>
    <sheetView workbookViewId="0">
      <pane xSplit="7" topLeftCell="H1" activePane="topRight" state="frozen"/>
      <selection pane="topRight" activeCell="B26" sqref="B26"/>
    </sheetView>
  </sheetViews>
  <sheetFormatPr baseColWidth="10" defaultColWidth="11.4609375" defaultRowHeight="10.3" x14ac:dyDescent="0.25"/>
  <cols>
    <col min="1" max="1" width="3" style="1" bestFit="1" customWidth="1"/>
    <col min="2" max="2" width="12.69140625" style="1" customWidth="1"/>
    <col min="3" max="3" width="6.84375" style="1" bestFit="1" customWidth="1"/>
    <col min="4" max="4" width="9.07421875" style="1" bestFit="1" customWidth="1"/>
    <col min="5" max="5" width="35.53515625" style="1" customWidth="1"/>
    <col min="6" max="6" width="19.69140625" style="1" bestFit="1" customWidth="1"/>
    <col min="7" max="7" width="17" style="1" bestFit="1" customWidth="1"/>
    <col min="8" max="8" width="10.07421875" style="1" bestFit="1" customWidth="1"/>
    <col min="9" max="9" width="31" style="1" customWidth="1"/>
    <col min="10" max="10" width="43.69140625" style="1" customWidth="1"/>
    <col min="11" max="11" width="36.53515625" style="1" customWidth="1"/>
    <col min="12" max="12" width="9.3046875" style="1" customWidth="1"/>
    <col min="13" max="16384" width="11.4609375" style="1"/>
  </cols>
  <sheetData>
    <row r="1" spans="1:15" ht="12.45" x14ac:dyDescent="0.25">
      <c r="A1" s="6" t="s">
        <v>0</v>
      </c>
      <c r="B1" s="6" t="s">
        <v>679</v>
      </c>
      <c r="C1" s="6" t="s">
        <v>680</v>
      </c>
      <c r="D1" s="6" t="s">
        <v>700</v>
      </c>
      <c r="E1" s="7" t="s">
        <v>696</v>
      </c>
      <c r="F1" s="6" t="s">
        <v>695</v>
      </c>
      <c r="G1" s="6" t="s">
        <v>694</v>
      </c>
      <c r="H1" s="6" t="s">
        <v>681</v>
      </c>
      <c r="I1" s="6" t="s">
        <v>395</v>
      </c>
      <c r="J1" s="6" t="s">
        <v>682</v>
      </c>
      <c r="K1" s="6" t="s">
        <v>683</v>
      </c>
      <c r="L1" s="7" t="s">
        <v>699</v>
      </c>
      <c r="M1" s="6" t="s">
        <v>684</v>
      </c>
      <c r="N1" s="6" t="s">
        <v>659</v>
      </c>
      <c r="O1" s="6" t="s">
        <v>888</v>
      </c>
    </row>
    <row r="2" spans="1:15" x14ac:dyDescent="0.25">
      <c r="A2" s="11">
        <v>1</v>
      </c>
      <c r="B2" s="12" t="s">
        <v>1313</v>
      </c>
      <c r="C2" s="12" t="s">
        <v>2</v>
      </c>
      <c r="D2" s="10" t="s">
        <v>702</v>
      </c>
      <c r="E2" s="12" t="s">
        <v>138</v>
      </c>
      <c r="F2" s="13">
        <v>43222.447222222225</v>
      </c>
      <c r="G2" s="20">
        <v>43222.5</v>
      </c>
      <c r="H2" s="12">
        <v>76</v>
      </c>
      <c r="I2" s="12" t="s">
        <v>396</v>
      </c>
      <c r="J2" s="12" t="s">
        <v>20</v>
      </c>
      <c r="K2" s="12" t="s">
        <v>105</v>
      </c>
      <c r="L2" s="12" t="s">
        <v>704</v>
      </c>
      <c r="M2" s="12" t="s">
        <v>678</v>
      </c>
      <c r="N2" s="12"/>
      <c r="O2" s="14" t="str">
        <f t="shared" ref="O2:O30" si="0">IF(AND(C2=$B$47,H2&lt;=$D$47),"ISLA",IF((AND(C2=$B$48,H2&lt;=$D$48)),"ISLA",IF((AND(C2=$B$49,H2&lt;=$D$49)),"ISLA","OSLA")))</f>
        <v>ISLA</v>
      </c>
    </row>
    <row r="3" spans="1:15" x14ac:dyDescent="0.25">
      <c r="A3" s="11">
        <v>2</v>
      </c>
      <c r="B3" s="12" t="s">
        <v>399</v>
      </c>
      <c r="C3" s="12" t="s">
        <v>2</v>
      </c>
      <c r="D3" s="12" t="s">
        <v>701</v>
      </c>
      <c r="E3" s="12" t="s">
        <v>416</v>
      </c>
      <c r="F3" s="13">
        <v>43222.690972222219</v>
      </c>
      <c r="G3" s="20">
        <v>43222.71875</v>
      </c>
      <c r="H3" s="12">
        <v>40</v>
      </c>
      <c r="I3" s="12" t="s">
        <v>313</v>
      </c>
      <c r="J3" s="12" t="s">
        <v>19</v>
      </c>
      <c r="K3" s="11" t="s">
        <v>209</v>
      </c>
      <c r="L3" s="12" t="s">
        <v>701</v>
      </c>
      <c r="M3" s="12" t="s">
        <v>678</v>
      </c>
      <c r="N3" s="12"/>
      <c r="O3" s="14" t="str">
        <f t="shared" si="0"/>
        <v>ISLA</v>
      </c>
    </row>
    <row r="4" spans="1:15" x14ac:dyDescent="0.25">
      <c r="A4" s="11">
        <v>3</v>
      </c>
      <c r="B4" s="12" t="s">
        <v>400</v>
      </c>
      <c r="C4" s="12" t="s">
        <v>2</v>
      </c>
      <c r="D4" s="12" t="s">
        <v>701</v>
      </c>
      <c r="E4" s="12" t="s">
        <v>416</v>
      </c>
      <c r="F4" s="13">
        <v>43223.945138888892</v>
      </c>
      <c r="G4" s="20">
        <v>43223.978472222225</v>
      </c>
      <c r="H4" s="12">
        <v>48</v>
      </c>
      <c r="I4" s="12" t="s">
        <v>313</v>
      </c>
      <c r="J4" s="12" t="s">
        <v>19</v>
      </c>
      <c r="K4" s="12" t="s">
        <v>209</v>
      </c>
      <c r="L4" s="12" t="s">
        <v>701</v>
      </c>
      <c r="M4" s="12" t="s">
        <v>678</v>
      </c>
      <c r="N4" s="12"/>
      <c r="O4" s="14" t="str">
        <f t="shared" si="0"/>
        <v>ISLA</v>
      </c>
    </row>
    <row r="5" spans="1:15" x14ac:dyDescent="0.25">
      <c r="A5" s="11">
        <v>4</v>
      </c>
      <c r="B5" s="12" t="s">
        <v>401</v>
      </c>
      <c r="C5" s="12" t="s">
        <v>2</v>
      </c>
      <c r="D5" s="10" t="s">
        <v>702</v>
      </c>
      <c r="E5" s="12" t="s">
        <v>402</v>
      </c>
      <c r="F5" s="20">
        <v>43224.354861111111</v>
      </c>
      <c r="G5" s="20">
        <v>43224.475694444445</v>
      </c>
      <c r="H5" s="11">
        <v>174.00000000139599</v>
      </c>
      <c r="I5" s="11" t="s">
        <v>403</v>
      </c>
      <c r="J5" s="11" t="s">
        <v>404</v>
      </c>
      <c r="K5" s="11" t="s">
        <v>405</v>
      </c>
      <c r="L5" s="12" t="s">
        <v>713</v>
      </c>
      <c r="M5" s="11" t="s">
        <v>678</v>
      </c>
      <c r="N5" s="12"/>
      <c r="O5" s="14" t="str">
        <f t="shared" si="0"/>
        <v>OSLA</v>
      </c>
    </row>
    <row r="6" spans="1:15" x14ac:dyDescent="0.25">
      <c r="A6" s="11">
        <v>5</v>
      </c>
      <c r="B6" s="11" t="s">
        <v>406</v>
      </c>
      <c r="C6" s="11" t="s">
        <v>2</v>
      </c>
      <c r="D6" s="10" t="s">
        <v>702</v>
      </c>
      <c r="E6" s="11" t="s">
        <v>407</v>
      </c>
      <c r="F6" s="20">
        <v>43224.386111111111</v>
      </c>
      <c r="G6" s="20">
        <v>43224.993055555555</v>
      </c>
      <c r="H6" s="11">
        <v>873.99999999906868</v>
      </c>
      <c r="I6" s="11" t="s">
        <v>408</v>
      </c>
      <c r="J6" s="11" t="s">
        <v>409</v>
      </c>
      <c r="K6" s="11" t="s">
        <v>398</v>
      </c>
      <c r="L6" s="12" t="s">
        <v>713</v>
      </c>
      <c r="M6" s="11" t="s">
        <v>678</v>
      </c>
      <c r="N6" s="12"/>
      <c r="O6" s="14" t="str">
        <f t="shared" si="0"/>
        <v>OSLA</v>
      </c>
    </row>
    <row r="7" spans="1:15" x14ac:dyDescent="0.25">
      <c r="A7" s="11">
        <v>6</v>
      </c>
      <c r="B7" s="11" t="s">
        <v>410</v>
      </c>
      <c r="C7" s="11" t="s">
        <v>2</v>
      </c>
      <c r="D7" s="10" t="s">
        <v>702</v>
      </c>
      <c r="E7" s="11" t="s">
        <v>138</v>
      </c>
      <c r="F7" s="20">
        <v>43224.815972222219</v>
      </c>
      <c r="G7" s="20">
        <v>43224.881944444445</v>
      </c>
      <c r="H7" s="21">
        <v>95.000000005820766</v>
      </c>
      <c r="I7" s="11" t="s">
        <v>411</v>
      </c>
      <c r="J7" s="11" t="s">
        <v>397</v>
      </c>
      <c r="K7" s="12" t="s">
        <v>398</v>
      </c>
      <c r="L7" s="12" t="s">
        <v>704</v>
      </c>
      <c r="M7" s="11" t="s">
        <v>678</v>
      </c>
      <c r="N7" s="12"/>
      <c r="O7" s="14" t="str">
        <f t="shared" si="0"/>
        <v>ISLA</v>
      </c>
    </row>
    <row r="8" spans="1:15" x14ac:dyDescent="0.25">
      <c r="A8" s="11">
        <v>7</v>
      </c>
      <c r="B8" s="11" t="s">
        <v>412</v>
      </c>
      <c r="C8" s="11" t="s">
        <v>14</v>
      </c>
      <c r="D8" s="12" t="s">
        <v>701</v>
      </c>
      <c r="E8" s="11" t="s">
        <v>138</v>
      </c>
      <c r="F8" s="20">
        <v>43224.829861111109</v>
      </c>
      <c r="G8" s="20">
        <v>43225.597222222219</v>
      </c>
      <c r="H8" s="11">
        <v>1104.9999999976717</v>
      </c>
      <c r="I8" s="11" t="s">
        <v>413</v>
      </c>
      <c r="J8" s="11" t="s">
        <v>335</v>
      </c>
      <c r="K8" s="11" t="s">
        <v>414</v>
      </c>
      <c r="L8" s="12" t="s">
        <v>701</v>
      </c>
      <c r="M8" s="11" t="s">
        <v>678</v>
      </c>
      <c r="N8" s="12"/>
      <c r="O8" s="14" t="str">
        <f t="shared" si="0"/>
        <v>OSLA</v>
      </c>
    </row>
    <row r="9" spans="1:15" x14ac:dyDescent="0.25">
      <c r="A9" s="11">
        <v>8</v>
      </c>
      <c r="B9" s="11" t="s">
        <v>415</v>
      </c>
      <c r="C9" s="11" t="s">
        <v>2</v>
      </c>
      <c r="D9" s="12" t="s">
        <v>701</v>
      </c>
      <c r="E9" s="11" t="s">
        <v>416</v>
      </c>
      <c r="F9" s="20">
        <v>43227.379166666666</v>
      </c>
      <c r="G9" s="20">
        <v>43227.415972222225</v>
      </c>
      <c r="H9" s="11">
        <v>53</v>
      </c>
      <c r="I9" s="11" t="s">
        <v>313</v>
      </c>
      <c r="J9" s="12" t="s">
        <v>19</v>
      </c>
      <c r="K9" s="11" t="s">
        <v>351</v>
      </c>
      <c r="L9" s="12" t="s">
        <v>701</v>
      </c>
      <c r="M9" s="11" t="s">
        <v>678</v>
      </c>
      <c r="N9" s="12"/>
      <c r="O9" s="14" t="str">
        <f t="shared" si="0"/>
        <v>ISLA</v>
      </c>
    </row>
    <row r="10" spans="1:15" x14ac:dyDescent="0.25">
      <c r="A10" s="11">
        <v>9</v>
      </c>
      <c r="B10" s="11" t="s">
        <v>417</v>
      </c>
      <c r="C10" s="11" t="s">
        <v>2</v>
      </c>
      <c r="D10" s="12" t="s">
        <v>701</v>
      </c>
      <c r="E10" s="10" t="s">
        <v>75</v>
      </c>
      <c r="F10" s="20">
        <v>43230.916666666664</v>
      </c>
      <c r="G10" s="20">
        <v>43230.940972222219</v>
      </c>
      <c r="H10" s="11">
        <v>35</v>
      </c>
      <c r="I10" s="11" t="s">
        <v>418</v>
      </c>
      <c r="J10" s="11" t="s">
        <v>1288</v>
      </c>
      <c r="K10" s="11" t="s">
        <v>1289</v>
      </c>
      <c r="L10" s="12" t="s">
        <v>701</v>
      </c>
      <c r="M10" s="11" t="s">
        <v>678</v>
      </c>
      <c r="N10" s="12"/>
      <c r="O10" s="14" t="str">
        <f t="shared" si="0"/>
        <v>ISLA</v>
      </c>
    </row>
    <row r="11" spans="1:15" x14ac:dyDescent="0.25">
      <c r="A11" s="11">
        <v>10</v>
      </c>
      <c r="B11" s="22" t="s">
        <v>419</v>
      </c>
      <c r="C11" s="22" t="s">
        <v>2</v>
      </c>
      <c r="D11" s="12" t="s">
        <v>701</v>
      </c>
      <c r="E11" s="14" t="s">
        <v>416</v>
      </c>
      <c r="F11" s="20">
        <v>43231.262499999997</v>
      </c>
      <c r="G11" s="20">
        <v>43231.306250000001</v>
      </c>
      <c r="H11" s="21">
        <v>63.000000006286427</v>
      </c>
      <c r="I11" s="22" t="s">
        <v>313</v>
      </c>
      <c r="J11" s="12" t="s">
        <v>19</v>
      </c>
      <c r="K11" s="11" t="s">
        <v>351</v>
      </c>
      <c r="L11" s="12" t="s">
        <v>701</v>
      </c>
      <c r="M11" s="11" t="s">
        <v>678</v>
      </c>
      <c r="N11" s="12"/>
      <c r="O11" s="14" t="str">
        <f t="shared" si="0"/>
        <v>ISLA</v>
      </c>
    </row>
    <row r="12" spans="1:15" x14ac:dyDescent="0.25">
      <c r="A12" s="11">
        <v>11</v>
      </c>
      <c r="B12" s="22" t="s">
        <v>420</v>
      </c>
      <c r="C12" s="22" t="s">
        <v>2</v>
      </c>
      <c r="D12" s="10" t="s">
        <v>702</v>
      </c>
      <c r="E12" s="23" t="s">
        <v>379</v>
      </c>
      <c r="F12" s="20">
        <v>43231.37222222222</v>
      </c>
      <c r="G12" s="20">
        <v>43231.44027777778</v>
      </c>
      <c r="H12" s="21">
        <v>98.000000005122274</v>
      </c>
      <c r="I12" s="24" t="s">
        <v>300</v>
      </c>
      <c r="J12" s="14" t="s">
        <v>421</v>
      </c>
      <c r="K12" s="11" t="s">
        <v>422</v>
      </c>
      <c r="L12" s="11" t="s">
        <v>703</v>
      </c>
      <c r="M12" s="11" t="s">
        <v>678</v>
      </c>
      <c r="N12" s="12"/>
      <c r="O12" s="14" t="str">
        <f t="shared" si="0"/>
        <v>ISLA</v>
      </c>
    </row>
    <row r="13" spans="1:15" x14ac:dyDescent="0.25">
      <c r="A13" s="11">
        <v>12</v>
      </c>
      <c r="B13" s="24" t="s">
        <v>423</v>
      </c>
      <c r="C13" s="22" t="s">
        <v>14</v>
      </c>
      <c r="D13" s="10" t="s">
        <v>713</v>
      </c>
      <c r="E13" s="14" t="s">
        <v>692</v>
      </c>
      <c r="F13" s="20">
        <v>43231.373611111114</v>
      </c>
      <c r="G13" s="20">
        <v>43231.4</v>
      </c>
      <c r="H13" s="11">
        <v>37.999999998137355</v>
      </c>
      <c r="I13" s="11" t="s">
        <v>403</v>
      </c>
      <c r="J13" s="11" t="s">
        <v>404</v>
      </c>
      <c r="K13" s="23" t="s">
        <v>198</v>
      </c>
      <c r="L13" s="12" t="s">
        <v>713</v>
      </c>
      <c r="M13" s="11" t="s">
        <v>678</v>
      </c>
      <c r="N13" s="12"/>
      <c r="O13" s="14" t="str">
        <f t="shared" si="0"/>
        <v>ISLA</v>
      </c>
    </row>
    <row r="14" spans="1:15" s="3" customFormat="1" x14ac:dyDescent="0.25">
      <c r="A14" s="23">
        <v>13</v>
      </c>
      <c r="B14" s="23" t="s">
        <v>424</v>
      </c>
      <c r="C14" s="23" t="s">
        <v>14</v>
      </c>
      <c r="D14" s="10" t="s">
        <v>702</v>
      </c>
      <c r="E14" s="23" t="s">
        <v>425</v>
      </c>
      <c r="F14" s="20">
        <v>43232.909722222219</v>
      </c>
      <c r="G14" s="20">
        <v>43232.963888888888</v>
      </c>
      <c r="H14" s="23">
        <v>78.000000002793968</v>
      </c>
      <c r="I14" s="23" t="s">
        <v>426</v>
      </c>
      <c r="J14" s="23" t="s">
        <v>673</v>
      </c>
      <c r="K14" s="23" t="s">
        <v>674</v>
      </c>
      <c r="L14" s="10" t="s">
        <v>704</v>
      </c>
      <c r="M14" s="23" t="s">
        <v>678</v>
      </c>
      <c r="N14" s="12"/>
      <c r="O14" s="14" t="str">
        <f t="shared" si="0"/>
        <v>ISLA</v>
      </c>
    </row>
    <row r="15" spans="1:15" x14ac:dyDescent="0.25">
      <c r="A15" s="11">
        <v>14</v>
      </c>
      <c r="B15" s="22" t="s">
        <v>427</v>
      </c>
      <c r="C15" s="22" t="s">
        <v>2</v>
      </c>
      <c r="D15" s="12" t="s">
        <v>701</v>
      </c>
      <c r="E15" s="14" t="s">
        <v>428</v>
      </c>
      <c r="F15" s="25">
        <v>43233.361111111109</v>
      </c>
      <c r="G15" s="25">
        <v>43233.444444444445</v>
      </c>
      <c r="H15" s="11">
        <v>120.00000000349246</v>
      </c>
      <c r="I15" s="22" t="s">
        <v>429</v>
      </c>
      <c r="J15" s="11" t="s">
        <v>430</v>
      </c>
      <c r="K15" s="11" t="s">
        <v>431</v>
      </c>
      <c r="L15" s="11" t="s">
        <v>704</v>
      </c>
      <c r="M15" s="11" t="s">
        <v>678</v>
      </c>
      <c r="N15" s="12"/>
      <c r="O15" s="14" t="str">
        <f t="shared" si="0"/>
        <v>OSLA</v>
      </c>
    </row>
    <row r="16" spans="1:15" x14ac:dyDescent="0.25">
      <c r="A16" s="11">
        <v>15</v>
      </c>
      <c r="B16" s="10" t="s">
        <v>432</v>
      </c>
      <c r="C16" s="12" t="s">
        <v>2</v>
      </c>
      <c r="D16" s="12" t="s">
        <v>701</v>
      </c>
      <c r="E16" s="12" t="s">
        <v>416</v>
      </c>
      <c r="F16" s="26">
        <v>43236.945138888892</v>
      </c>
      <c r="G16" s="25">
        <v>43236.984027777777</v>
      </c>
      <c r="H16" s="11">
        <v>56</v>
      </c>
      <c r="I16" s="10" t="s">
        <v>313</v>
      </c>
      <c r="J16" s="12" t="s">
        <v>19</v>
      </c>
      <c r="K16" s="10" t="s">
        <v>433</v>
      </c>
      <c r="L16" s="12" t="s">
        <v>701</v>
      </c>
      <c r="M16" s="10" t="s">
        <v>678</v>
      </c>
      <c r="N16" s="12"/>
      <c r="O16" s="14" t="str">
        <f t="shared" si="0"/>
        <v>ISLA</v>
      </c>
    </row>
    <row r="17" spans="1:15" x14ac:dyDescent="0.25">
      <c r="A17" s="11">
        <v>16</v>
      </c>
      <c r="B17" s="27" t="s">
        <v>434</v>
      </c>
      <c r="C17" s="12" t="s">
        <v>2</v>
      </c>
      <c r="D17" s="12" t="s">
        <v>701</v>
      </c>
      <c r="E17" s="12" t="s">
        <v>416</v>
      </c>
      <c r="F17" s="26">
        <v>43237.51458333333</v>
      </c>
      <c r="G17" s="25">
        <v>43237.554861111108</v>
      </c>
      <c r="H17" s="11">
        <v>58</v>
      </c>
      <c r="I17" s="10" t="s">
        <v>313</v>
      </c>
      <c r="J17" s="12" t="s">
        <v>19</v>
      </c>
      <c r="K17" s="10" t="s">
        <v>209</v>
      </c>
      <c r="L17" s="12" t="s">
        <v>701</v>
      </c>
      <c r="M17" s="10" t="s">
        <v>678</v>
      </c>
      <c r="N17" s="12"/>
      <c r="O17" s="14" t="str">
        <f t="shared" si="0"/>
        <v>ISLA</v>
      </c>
    </row>
    <row r="18" spans="1:15" x14ac:dyDescent="0.25">
      <c r="A18" s="11">
        <v>17</v>
      </c>
      <c r="B18" s="27" t="s">
        <v>435</v>
      </c>
      <c r="C18" s="12" t="s">
        <v>2</v>
      </c>
      <c r="D18" s="12" t="s">
        <v>701</v>
      </c>
      <c r="E18" s="12" t="s">
        <v>416</v>
      </c>
      <c r="F18" s="26">
        <v>43237.679861111108</v>
      </c>
      <c r="G18" s="25">
        <v>43237.714583333334</v>
      </c>
      <c r="H18" s="11">
        <v>50</v>
      </c>
      <c r="I18" s="10" t="s">
        <v>313</v>
      </c>
      <c r="J18" s="12" t="s">
        <v>19</v>
      </c>
      <c r="K18" s="10" t="s">
        <v>209</v>
      </c>
      <c r="L18" s="12" t="s">
        <v>701</v>
      </c>
      <c r="M18" s="10" t="s">
        <v>678</v>
      </c>
      <c r="N18" s="17"/>
      <c r="O18" s="14" t="str">
        <f t="shared" si="0"/>
        <v>ISLA</v>
      </c>
    </row>
    <row r="19" spans="1:15" x14ac:dyDescent="0.25">
      <c r="A19" s="11">
        <v>18</v>
      </c>
      <c r="B19" s="24" t="s">
        <v>436</v>
      </c>
      <c r="C19" s="24" t="s">
        <v>14</v>
      </c>
      <c r="D19" s="12" t="s">
        <v>701</v>
      </c>
      <c r="E19" s="23" t="s">
        <v>138</v>
      </c>
      <c r="F19" s="28">
        <v>43238.886111111111</v>
      </c>
      <c r="G19" s="25">
        <v>43238.93472222222</v>
      </c>
      <c r="H19" s="11">
        <v>69.999999997671694</v>
      </c>
      <c r="I19" s="24" t="s">
        <v>437</v>
      </c>
      <c r="J19" s="12" t="s">
        <v>438</v>
      </c>
      <c r="K19" s="12" t="s">
        <v>439</v>
      </c>
      <c r="L19" s="11" t="s">
        <v>704</v>
      </c>
      <c r="M19" s="10" t="s">
        <v>678</v>
      </c>
      <c r="N19" s="12"/>
      <c r="O19" s="14" t="str">
        <f t="shared" si="0"/>
        <v>ISLA</v>
      </c>
    </row>
    <row r="20" spans="1:15" x14ac:dyDescent="0.25">
      <c r="A20" s="12">
        <v>19</v>
      </c>
      <c r="B20" s="22" t="s">
        <v>440</v>
      </c>
      <c r="C20" s="22" t="s">
        <v>2</v>
      </c>
      <c r="D20" s="12" t="s">
        <v>701</v>
      </c>
      <c r="E20" s="10" t="s">
        <v>75</v>
      </c>
      <c r="F20" s="25">
        <v>43238.963194444441</v>
      </c>
      <c r="G20" s="25">
        <v>43238.984027777777</v>
      </c>
      <c r="H20" s="12">
        <v>30.00000000349246</v>
      </c>
      <c r="I20" s="22" t="s">
        <v>418</v>
      </c>
      <c r="J20" s="10" t="s">
        <v>441</v>
      </c>
      <c r="K20" s="10" t="s">
        <v>441</v>
      </c>
      <c r="L20" s="12" t="s">
        <v>701</v>
      </c>
      <c r="M20" s="10" t="s">
        <v>678</v>
      </c>
      <c r="N20" s="12"/>
      <c r="O20" s="14" t="str">
        <f t="shared" si="0"/>
        <v>ISLA</v>
      </c>
    </row>
    <row r="21" spans="1:15" x14ac:dyDescent="0.25">
      <c r="A21" s="11">
        <v>20</v>
      </c>
      <c r="B21" s="27" t="s">
        <v>442</v>
      </c>
      <c r="C21" s="10" t="s">
        <v>14</v>
      </c>
      <c r="D21" s="12" t="s">
        <v>705</v>
      </c>
      <c r="E21" s="12" t="s">
        <v>443</v>
      </c>
      <c r="F21" s="26">
        <v>43241.317361111112</v>
      </c>
      <c r="G21" s="26">
        <v>43241.418055555558</v>
      </c>
      <c r="H21" s="10">
        <v>145</v>
      </c>
      <c r="I21" s="10" t="s">
        <v>444</v>
      </c>
      <c r="J21" s="12" t="s">
        <v>445</v>
      </c>
      <c r="K21" s="12" t="s">
        <v>446</v>
      </c>
      <c r="L21" s="12" t="s">
        <v>705</v>
      </c>
      <c r="M21" s="12" t="s">
        <v>678</v>
      </c>
      <c r="N21" s="12"/>
      <c r="O21" s="14" t="str">
        <f t="shared" si="0"/>
        <v>ISLA</v>
      </c>
    </row>
    <row r="22" spans="1:15" x14ac:dyDescent="0.25">
      <c r="A22" s="11">
        <v>21</v>
      </c>
      <c r="B22" s="10" t="s">
        <v>447</v>
      </c>
      <c r="C22" s="10" t="s">
        <v>2</v>
      </c>
      <c r="D22" s="10" t="s">
        <v>702</v>
      </c>
      <c r="E22" s="12" t="s">
        <v>448</v>
      </c>
      <c r="F22" s="26">
        <v>43242.590277777781</v>
      </c>
      <c r="G22" s="26">
        <v>43242.607638888891</v>
      </c>
      <c r="H22" s="10">
        <v>25</v>
      </c>
      <c r="I22" s="12" t="s">
        <v>449</v>
      </c>
      <c r="J22" s="12" t="s">
        <v>450</v>
      </c>
      <c r="K22" s="12" t="s">
        <v>451</v>
      </c>
      <c r="L22" s="12" t="s">
        <v>713</v>
      </c>
      <c r="M22" s="12" t="s">
        <v>678</v>
      </c>
      <c r="N22" s="12"/>
      <c r="O22" s="14" t="str">
        <f t="shared" si="0"/>
        <v>ISLA</v>
      </c>
    </row>
    <row r="23" spans="1:15" x14ac:dyDescent="0.25">
      <c r="A23" s="11">
        <v>22</v>
      </c>
      <c r="B23" s="10" t="s">
        <v>452</v>
      </c>
      <c r="C23" s="10" t="s">
        <v>2</v>
      </c>
      <c r="D23" s="12" t="s">
        <v>701</v>
      </c>
      <c r="E23" s="12" t="s">
        <v>416</v>
      </c>
      <c r="F23" s="25">
        <v>43242.590277777781</v>
      </c>
      <c r="G23" s="25">
        <v>43242.630555555559</v>
      </c>
      <c r="H23" s="10">
        <v>58</v>
      </c>
      <c r="I23" s="10" t="s">
        <v>313</v>
      </c>
      <c r="J23" s="12" t="s">
        <v>19</v>
      </c>
      <c r="K23" s="12" t="s">
        <v>209</v>
      </c>
      <c r="L23" s="12" t="s">
        <v>701</v>
      </c>
      <c r="M23" s="12" t="s">
        <v>678</v>
      </c>
      <c r="N23" s="12"/>
      <c r="O23" s="14" t="str">
        <f t="shared" si="0"/>
        <v>ISLA</v>
      </c>
    </row>
    <row r="24" spans="1:15" x14ac:dyDescent="0.25">
      <c r="A24" s="11">
        <v>23</v>
      </c>
      <c r="B24" s="10" t="s">
        <v>453</v>
      </c>
      <c r="C24" s="10" t="s">
        <v>2</v>
      </c>
      <c r="D24" s="10" t="s">
        <v>702</v>
      </c>
      <c r="E24" s="12" t="s">
        <v>454</v>
      </c>
      <c r="F24" s="25">
        <v>43242.664583333331</v>
      </c>
      <c r="G24" s="25">
        <v>43242.699305555558</v>
      </c>
      <c r="H24" s="10">
        <v>50</v>
      </c>
      <c r="I24" s="12" t="s">
        <v>693</v>
      </c>
      <c r="J24" s="12" t="s">
        <v>455</v>
      </c>
      <c r="K24" s="12" t="s">
        <v>456</v>
      </c>
      <c r="L24" s="12" t="s">
        <v>703</v>
      </c>
      <c r="M24" s="12" t="s">
        <v>678</v>
      </c>
      <c r="N24" s="12"/>
      <c r="O24" s="14" t="str">
        <f t="shared" si="0"/>
        <v>ISLA</v>
      </c>
    </row>
    <row r="25" spans="1:15" x14ac:dyDescent="0.25">
      <c r="A25" s="11">
        <v>24</v>
      </c>
      <c r="B25" s="10" t="s">
        <v>457</v>
      </c>
      <c r="C25" s="10" t="s">
        <v>2</v>
      </c>
      <c r="D25" s="10" t="s">
        <v>702</v>
      </c>
      <c r="E25" s="12" t="s">
        <v>454</v>
      </c>
      <c r="F25" s="25">
        <v>43242.896527777775</v>
      </c>
      <c r="G25" s="25">
        <v>43242.98541666667</v>
      </c>
      <c r="H25" s="10">
        <v>128</v>
      </c>
      <c r="I25" s="12" t="s">
        <v>693</v>
      </c>
      <c r="J25" s="12" t="s">
        <v>458</v>
      </c>
      <c r="K25" s="12" t="s">
        <v>459</v>
      </c>
      <c r="L25" s="12" t="s">
        <v>703</v>
      </c>
      <c r="M25" s="12" t="s">
        <v>678</v>
      </c>
      <c r="N25" s="12"/>
      <c r="O25" s="14" t="str">
        <f t="shared" si="0"/>
        <v>OSLA</v>
      </c>
    </row>
    <row r="26" spans="1:15" x14ac:dyDescent="0.25">
      <c r="A26" s="11">
        <v>25</v>
      </c>
      <c r="B26" s="29" t="s">
        <v>1314</v>
      </c>
      <c r="C26" s="24" t="s">
        <v>2</v>
      </c>
      <c r="D26" s="12" t="s">
        <v>701</v>
      </c>
      <c r="E26" s="23" t="s">
        <v>138</v>
      </c>
      <c r="F26" s="25">
        <v>43245.925000000003</v>
      </c>
      <c r="G26" s="25">
        <v>43245.954861111109</v>
      </c>
      <c r="H26" s="30">
        <v>42.999999993480742</v>
      </c>
      <c r="I26" s="12" t="s">
        <v>460</v>
      </c>
      <c r="J26" s="12" t="s">
        <v>20</v>
      </c>
      <c r="K26" s="12" t="s">
        <v>105</v>
      </c>
      <c r="L26" s="12" t="s">
        <v>704</v>
      </c>
      <c r="M26" s="12" t="s">
        <v>678</v>
      </c>
      <c r="N26" s="12"/>
      <c r="O26" s="14" t="str">
        <f t="shared" si="0"/>
        <v>ISLA</v>
      </c>
    </row>
    <row r="27" spans="1:15" x14ac:dyDescent="0.25">
      <c r="A27" s="11">
        <v>26</v>
      </c>
      <c r="B27" s="10" t="s">
        <v>461</v>
      </c>
      <c r="C27" s="10" t="s">
        <v>2</v>
      </c>
      <c r="D27" s="10" t="s">
        <v>707</v>
      </c>
      <c r="E27" s="10" t="s">
        <v>462</v>
      </c>
      <c r="F27" s="25">
        <v>43250.75</v>
      </c>
      <c r="G27" s="25">
        <v>43251.397222222222</v>
      </c>
      <c r="H27" s="30">
        <v>932</v>
      </c>
      <c r="I27" s="10" t="s">
        <v>463</v>
      </c>
      <c r="J27" s="10" t="s">
        <v>464</v>
      </c>
      <c r="K27" s="10" t="s">
        <v>465</v>
      </c>
      <c r="L27" s="10" t="s">
        <v>707</v>
      </c>
      <c r="M27" s="10" t="s">
        <v>678</v>
      </c>
      <c r="N27" s="12"/>
      <c r="O27" s="14" t="str">
        <f t="shared" si="0"/>
        <v>OSLA</v>
      </c>
    </row>
    <row r="28" spans="1:15" x14ac:dyDescent="0.25">
      <c r="A28" s="11">
        <v>27</v>
      </c>
      <c r="B28" s="10" t="s">
        <v>466</v>
      </c>
      <c r="C28" s="10" t="s">
        <v>2</v>
      </c>
      <c r="D28" s="10" t="s">
        <v>702</v>
      </c>
      <c r="E28" s="10" t="s">
        <v>467</v>
      </c>
      <c r="F28" s="25">
        <v>43250.946527777778</v>
      </c>
      <c r="G28" s="25">
        <v>43251.018750000003</v>
      </c>
      <c r="H28" s="30">
        <v>104</v>
      </c>
      <c r="I28" s="10" t="s">
        <v>468</v>
      </c>
      <c r="J28" s="10" t="s">
        <v>469</v>
      </c>
      <c r="K28" s="10" t="s">
        <v>470</v>
      </c>
      <c r="L28" s="10" t="s">
        <v>704</v>
      </c>
      <c r="M28" s="10" t="s">
        <v>678</v>
      </c>
      <c r="N28" s="12"/>
      <c r="O28" s="14" t="str">
        <f t="shared" si="0"/>
        <v>ISLA</v>
      </c>
    </row>
    <row r="29" spans="1:15" x14ac:dyDescent="0.25">
      <c r="A29" s="12">
        <v>28</v>
      </c>
      <c r="B29" s="10" t="s">
        <v>471</v>
      </c>
      <c r="C29" s="10" t="s">
        <v>2</v>
      </c>
      <c r="D29" s="10" t="s">
        <v>702</v>
      </c>
      <c r="E29" s="10" t="s">
        <v>472</v>
      </c>
      <c r="F29" s="25">
        <v>43251.277777777781</v>
      </c>
      <c r="G29" s="25">
        <v>43251.767361111109</v>
      </c>
      <c r="H29" s="31">
        <v>705</v>
      </c>
      <c r="I29" s="10" t="s">
        <v>473</v>
      </c>
      <c r="J29" s="10" t="s">
        <v>398</v>
      </c>
      <c r="K29" s="10" t="s">
        <v>398</v>
      </c>
      <c r="L29" s="12" t="s">
        <v>713</v>
      </c>
      <c r="M29" s="10" t="s">
        <v>678</v>
      </c>
      <c r="N29" s="12"/>
      <c r="O29" s="14" t="str">
        <f t="shared" si="0"/>
        <v>OSLA</v>
      </c>
    </row>
    <row r="30" spans="1:15" x14ac:dyDescent="0.25">
      <c r="A30" s="11">
        <v>29</v>
      </c>
      <c r="B30" s="10" t="s">
        <v>474</v>
      </c>
      <c r="C30" s="10" t="s">
        <v>2</v>
      </c>
      <c r="D30" s="12" t="s">
        <v>701</v>
      </c>
      <c r="E30" s="10" t="s">
        <v>416</v>
      </c>
      <c r="F30" s="25">
        <v>43251.402083333334</v>
      </c>
      <c r="G30" s="25">
        <v>43251.438194444447</v>
      </c>
      <c r="H30" s="30">
        <v>52</v>
      </c>
      <c r="I30" s="10" t="s">
        <v>313</v>
      </c>
      <c r="J30" s="10" t="s">
        <v>19</v>
      </c>
      <c r="K30" s="10" t="s">
        <v>209</v>
      </c>
      <c r="L30" s="12" t="s">
        <v>701</v>
      </c>
      <c r="M30" s="10" t="s">
        <v>678</v>
      </c>
      <c r="N30" s="12"/>
      <c r="O30" s="14" t="str">
        <f t="shared" si="0"/>
        <v>ISLA</v>
      </c>
    </row>
    <row r="47" spans="2:4" ht="14.6" x14ac:dyDescent="0.4">
      <c r="B47" s="73" t="s">
        <v>2</v>
      </c>
      <c r="C47" s="73" t="s">
        <v>776</v>
      </c>
      <c r="D47" s="73">
        <v>120</v>
      </c>
    </row>
    <row r="48" spans="2:4" ht="14.6" x14ac:dyDescent="0.4">
      <c r="B48" s="73" t="s">
        <v>14</v>
      </c>
      <c r="C48" s="73" t="s">
        <v>777</v>
      </c>
      <c r="D48" s="73">
        <v>240</v>
      </c>
    </row>
    <row r="49" spans="2:4" ht="14.6" x14ac:dyDescent="0.4">
      <c r="B49" s="73" t="s">
        <v>158</v>
      </c>
      <c r="C49" s="73" t="s">
        <v>778</v>
      </c>
      <c r="D49" s="73">
        <f>1440*2</f>
        <v>2880</v>
      </c>
    </row>
    <row r="50" spans="2:4" ht="14.6" x14ac:dyDescent="0.4">
      <c r="B50" s="73" t="s">
        <v>757</v>
      </c>
      <c r="C50" s="73" t="s">
        <v>779</v>
      </c>
      <c r="D50" s="73">
        <f>3*1440</f>
        <v>4320</v>
      </c>
    </row>
  </sheetData>
  <autoFilter ref="A1:N30" xr:uid="{00000000-0009-0000-0000-000008000000}"/>
  <conditionalFormatting sqref="E11:E15 A14:C14 M14">
    <cfRule type="cellIs" dxfId="84" priority="2" operator="equal">
      <formula>"NOK"</formula>
    </cfRule>
  </conditionalFormatting>
  <conditionalFormatting sqref="E26">
    <cfRule type="cellIs" dxfId="83" priority="10" operator="equal">
      <formula>"NOK"</formula>
    </cfRule>
  </conditionalFormatting>
  <conditionalFormatting sqref="E19:F20">
    <cfRule type="cellIs" dxfId="82" priority="12" operator="equal">
      <formula>"NOK"</formula>
    </cfRule>
  </conditionalFormatting>
  <conditionalFormatting sqref="F15">
    <cfRule type="cellIs" dxfId="81" priority="22" operator="equal">
      <formula>"NOK"</formula>
    </cfRule>
  </conditionalFormatting>
  <conditionalFormatting sqref="F23:G30">
    <cfRule type="cellIs" dxfId="80" priority="4" operator="equal">
      <formula>"NOK"</formula>
    </cfRule>
  </conditionalFormatting>
  <conditionalFormatting sqref="F14:K14">
    <cfRule type="cellIs" dxfId="79" priority="1" operator="equal">
      <formula>"NOK"</formula>
    </cfRule>
  </conditionalFormatting>
  <conditionalFormatting sqref="G15:G20">
    <cfRule type="cellIs" dxfId="78" priority="5" operator="equal">
      <formula>"NOK"</formula>
    </cfRule>
  </conditionalFormatting>
  <conditionalFormatting sqref="H26:H30">
    <cfRule type="cellIs" dxfId="77" priority="6" operator="equal">
      <formula>"NOK"</formula>
    </cfRule>
  </conditionalFormatting>
  <conditionalFormatting sqref="K13">
    <cfRule type="cellIs" dxfId="76" priority="23" operator="equal">
      <formula>"NOK"</formula>
    </cfRule>
  </conditionalFormatting>
  <dataValidations xWindow="208" yWindow="294" count="2">
    <dataValidation type="list" allowBlank="1" showInputMessage="1" showErrorMessage="1" promptTitle="Priorité" prompt="La Priorité de l'Incident" sqref="L5:L6 C5:C8 L13 L24:L25 C11:C15 C19:C20 L22 C26 L29" xr:uid="{00000000-0002-0000-0800-000000000000}">
      <formula1>prio</formula1>
    </dataValidation>
    <dataValidation type="list" allowBlank="1" showInputMessage="1" showErrorMessage="1" sqref="D13" xr:uid="{00000000-0002-0000-0800-000001000000}">
      <formula1>ORIGINE</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6">
    <tabColor theme="8"/>
  </sheetPr>
  <dimension ref="A1:O50"/>
  <sheetViews>
    <sheetView topLeftCell="G25" workbookViewId="0">
      <selection activeCell="L43" sqref="L43"/>
    </sheetView>
  </sheetViews>
  <sheetFormatPr baseColWidth="10" defaultColWidth="11.4609375" defaultRowHeight="10.3" x14ac:dyDescent="0.25"/>
  <cols>
    <col min="1" max="1" width="3" style="1" bestFit="1" customWidth="1"/>
    <col min="2" max="2" width="10.53515625" style="1" bestFit="1" customWidth="1"/>
    <col min="3" max="3" width="6.84375" style="1" bestFit="1" customWidth="1"/>
    <col min="4" max="4" width="9.07421875" style="1" bestFit="1" customWidth="1"/>
    <col min="5" max="5" width="30.07421875" style="1" customWidth="1"/>
    <col min="6" max="6" width="14.4609375" style="1" customWidth="1"/>
    <col min="7" max="7" width="16.53515625" style="1" bestFit="1" customWidth="1"/>
    <col min="8" max="8" width="10.07421875" style="1" bestFit="1" customWidth="1"/>
    <col min="9" max="9" width="36" style="1" customWidth="1"/>
    <col min="10" max="10" width="32.84375" style="1" customWidth="1"/>
    <col min="11" max="11" width="42.53515625" style="1" customWidth="1"/>
    <col min="12" max="12" width="10.07421875" style="1" customWidth="1"/>
    <col min="13" max="13" width="8.3046875" style="1" bestFit="1" customWidth="1"/>
    <col min="14" max="14" width="27.84375" style="1" customWidth="1"/>
    <col min="15" max="16384" width="11.4609375" style="1"/>
  </cols>
  <sheetData>
    <row r="1" spans="1:15" ht="12.45" x14ac:dyDescent="0.25">
      <c r="A1" s="6" t="s">
        <v>0</v>
      </c>
      <c r="B1" s="6" t="s">
        <v>679</v>
      </c>
      <c r="C1" s="6" t="s">
        <v>680</v>
      </c>
      <c r="D1" s="6" t="s">
        <v>700</v>
      </c>
      <c r="E1" s="7" t="s">
        <v>696</v>
      </c>
      <c r="F1" s="6" t="s">
        <v>695</v>
      </c>
      <c r="G1" s="6" t="s">
        <v>694</v>
      </c>
      <c r="H1" s="6" t="s">
        <v>681</v>
      </c>
      <c r="I1" s="6" t="s">
        <v>395</v>
      </c>
      <c r="J1" s="6" t="s">
        <v>682</v>
      </c>
      <c r="K1" s="6" t="s">
        <v>683</v>
      </c>
      <c r="L1" s="7" t="s">
        <v>699</v>
      </c>
      <c r="M1" s="6" t="s">
        <v>684</v>
      </c>
      <c r="N1" s="6" t="s">
        <v>659</v>
      </c>
      <c r="O1" s="6" t="s">
        <v>888</v>
      </c>
    </row>
    <row r="2" spans="1:15" x14ac:dyDescent="0.25">
      <c r="A2" s="12">
        <v>1</v>
      </c>
      <c r="B2" s="12" t="s">
        <v>475</v>
      </c>
      <c r="C2" s="12" t="s">
        <v>2</v>
      </c>
      <c r="D2" s="10" t="s">
        <v>702</v>
      </c>
      <c r="E2" s="12" t="s">
        <v>688</v>
      </c>
      <c r="F2" s="13">
        <v>43252.379861111112</v>
      </c>
      <c r="G2" s="13">
        <v>43252.583333333336</v>
      </c>
      <c r="H2" s="12">
        <v>293.00000000162981</v>
      </c>
      <c r="I2" s="12" t="s">
        <v>687</v>
      </c>
      <c r="J2" s="12" t="s">
        <v>476</v>
      </c>
      <c r="K2" s="12" t="s">
        <v>198</v>
      </c>
      <c r="L2" s="37" t="s">
        <v>713</v>
      </c>
      <c r="M2" s="12" t="s">
        <v>678</v>
      </c>
      <c r="N2" s="14"/>
      <c r="O2" s="14" t="str">
        <f>IF(AND(C2=$B$47,H2&lt;=$D$47),"ISLA",IF((AND(C2=$B$48,H2&lt;=$D$48)),"ISLA",IF((AND(C2=$B$49,H2&lt;=$D$49)),"ISLA","OSLA")))</f>
        <v>OSLA</v>
      </c>
    </row>
    <row r="3" spans="1:15" x14ac:dyDescent="0.25">
      <c r="A3" s="12">
        <v>2</v>
      </c>
      <c r="B3" s="12" t="s">
        <v>477</v>
      </c>
      <c r="C3" s="12" t="s">
        <v>2</v>
      </c>
      <c r="D3" s="10" t="s">
        <v>702</v>
      </c>
      <c r="E3" s="12" t="s">
        <v>478</v>
      </c>
      <c r="F3" s="13">
        <v>43253.597222222219</v>
      </c>
      <c r="G3" s="13">
        <v>43253.664583333331</v>
      </c>
      <c r="H3" s="12">
        <v>97.000000001862645</v>
      </c>
      <c r="I3" s="12" t="s">
        <v>479</v>
      </c>
      <c r="J3" s="12" t="s">
        <v>480</v>
      </c>
      <c r="K3" s="12" t="s">
        <v>654</v>
      </c>
      <c r="L3" s="37" t="s">
        <v>704</v>
      </c>
      <c r="M3" s="12" t="s">
        <v>678</v>
      </c>
      <c r="N3" s="14"/>
      <c r="O3" s="14" t="str">
        <f t="shared" ref="O3:O45" si="0">IF(AND(C3=$B$47,H3&lt;=$D$47),"ISLA",IF((AND(C3=$B$48,H3&lt;=$D$48)),"ISLA",IF((AND(C3=$B$49,H3&lt;=$D$49)),"ISLA","OSLA")))</f>
        <v>ISLA</v>
      </c>
    </row>
    <row r="4" spans="1:15" x14ac:dyDescent="0.25">
      <c r="A4" s="12">
        <v>3</v>
      </c>
      <c r="B4" s="12" t="s">
        <v>481</v>
      </c>
      <c r="C4" s="12" t="s">
        <v>2</v>
      </c>
      <c r="D4" s="10" t="s">
        <v>702</v>
      </c>
      <c r="E4" s="12" t="s">
        <v>482</v>
      </c>
      <c r="F4" s="13">
        <v>43253.701388888891</v>
      </c>
      <c r="G4" s="13">
        <v>43254.388194444444</v>
      </c>
      <c r="H4" s="12">
        <v>988.99999999674037</v>
      </c>
      <c r="I4" s="12" t="s">
        <v>655</v>
      </c>
      <c r="J4" s="12" t="s">
        <v>658</v>
      </c>
      <c r="K4" s="12" t="s">
        <v>198</v>
      </c>
      <c r="L4" s="37" t="s">
        <v>713</v>
      </c>
      <c r="M4" s="12" t="s">
        <v>678</v>
      </c>
      <c r="N4" s="14"/>
      <c r="O4" s="14" t="str">
        <f t="shared" si="0"/>
        <v>OSLA</v>
      </c>
    </row>
    <row r="5" spans="1:15" ht="17.25" customHeight="1" x14ac:dyDescent="0.25">
      <c r="A5" s="12">
        <v>4</v>
      </c>
      <c r="B5" s="12" t="s">
        <v>483</v>
      </c>
      <c r="C5" s="12" t="s">
        <v>2</v>
      </c>
      <c r="D5" s="12" t="s">
        <v>701</v>
      </c>
      <c r="E5" s="12" t="s">
        <v>138</v>
      </c>
      <c r="F5" s="13">
        <v>43254.663194444445</v>
      </c>
      <c r="G5" s="13">
        <v>43254.674305555556</v>
      </c>
      <c r="H5" s="12">
        <v>15.999999999767169</v>
      </c>
      <c r="I5" s="12" t="s">
        <v>460</v>
      </c>
      <c r="J5" s="12" t="s">
        <v>685</v>
      </c>
      <c r="K5" s="12" t="s">
        <v>105</v>
      </c>
      <c r="L5" s="37" t="s">
        <v>1286</v>
      </c>
      <c r="M5" s="12" t="s">
        <v>678</v>
      </c>
      <c r="N5" s="16" t="s">
        <v>686</v>
      </c>
      <c r="O5" s="14" t="str">
        <f t="shared" si="0"/>
        <v>ISLA</v>
      </c>
    </row>
    <row r="6" spans="1:15" ht="15.75" customHeight="1" x14ac:dyDescent="0.25">
      <c r="A6" s="12">
        <v>5</v>
      </c>
      <c r="B6" s="12" t="s">
        <v>483</v>
      </c>
      <c r="C6" s="12" t="s">
        <v>14</v>
      </c>
      <c r="D6" s="12" t="s">
        <v>701</v>
      </c>
      <c r="E6" s="12" t="s">
        <v>138</v>
      </c>
      <c r="F6" s="13">
        <v>43254.699305555558</v>
      </c>
      <c r="G6" s="13">
        <v>43254.73541666667</v>
      </c>
      <c r="H6" s="12">
        <v>52.000000001862645</v>
      </c>
      <c r="I6" s="12" t="s">
        <v>460</v>
      </c>
      <c r="J6" s="12" t="s">
        <v>685</v>
      </c>
      <c r="K6" s="12" t="s">
        <v>105</v>
      </c>
      <c r="L6" s="37" t="s">
        <v>1286</v>
      </c>
      <c r="M6" s="12" t="s">
        <v>678</v>
      </c>
      <c r="N6" s="16" t="s">
        <v>686</v>
      </c>
      <c r="O6" s="14" t="str">
        <f t="shared" si="0"/>
        <v>ISLA</v>
      </c>
    </row>
    <row r="7" spans="1:15" x14ac:dyDescent="0.25">
      <c r="A7" s="12">
        <v>6</v>
      </c>
      <c r="B7" s="12" t="s">
        <v>484</v>
      </c>
      <c r="C7" s="12" t="s">
        <v>2</v>
      </c>
      <c r="D7" s="12" t="s">
        <v>701</v>
      </c>
      <c r="E7" s="12" t="s">
        <v>416</v>
      </c>
      <c r="F7" s="13">
        <v>43254.792361111111</v>
      </c>
      <c r="G7" s="13">
        <v>43254.811805555553</v>
      </c>
      <c r="H7" s="12">
        <v>27.999999996973202</v>
      </c>
      <c r="I7" s="12" t="s">
        <v>313</v>
      </c>
      <c r="J7" s="12" t="s">
        <v>19</v>
      </c>
      <c r="K7" s="12" t="s">
        <v>209</v>
      </c>
      <c r="L7" s="37" t="s">
        <v>701</v>
      </c>
      <c r="M7" s="12" t="s">
        <v>678</v>
      </c>
      <c r="N7" s="14"/>
      <c r="O7" s="14" t="str">
        <f t="shared" si="0"/>
        <v>ISLA</v>
      </c>
    </row>
    <row r="8" spans="1:15" x14ac:dyDescent="0.25">
      <c r="A8" s="12">
        <v>7</v>
      </c>
      <c r="B8" s="12" t="s">
        <v>485</v>
      </c>
      <c r="C8" s="12" t="s">
        <v>2</v>
      </c>
      <c r="D8" s="10" t="s">
        <v>702</v>
      </c>
      <c r="E8" s="12" t="s">
        <v>478</v>
      </c>
      <c r="F8" s="13">
        <v>43255.129861111112</v>
      </c>
      <c r="G8" s="13">
        <v>43255.451388888891</v>
      </c>
      <c r="H8" s="12">
        <v>463</v>
      </c>
      <c r="I8" s="12" t="s">
        <v>479</v>
      </c>
      <c r="J8" s="12" t="s">
        <v>486</v>
      </c>
      <c r="K8" s="12" t="s">
        <v>487</v>
      </c>
      <c r="L8" s="37" t="s">
        <v>704</v>
      </c>
      <c r="M8" s="12" t="s">
        <v>678</v>
      </c>
      <c r="N8" s="14"/>
      <c r="O8" s="14" t="str">
        <f t="shared" si="0"/>
        <v>OSLA</v>
      </c>
    </row>
    <row r="9" spans="1:15" x14ac:dyDescent="0.25">
      <c r="A9" s="12">
        <v>8</v>
      </c>
      <c r="B9" s="12" t="s">
        <v>488</v>
      </c>
      <c r="C9" s="12" t="s">
        <v>14</v>
      </c>
      <c r="D9" s="10" t="s">
        <v>702</v>
      </c>
      <c r="E9" s="12" t="s">
        <v>138</v>
      </c>
      <c r="F9" s="13">
        <v>43255.239583333336</v>
      </c>
      <c r="G9" s="13">
        <v>43255.415972222225</v>
      </c>
      <c r="H9" s="12">
        <v>254</v>
      </c>
      <c r="I9" s="12" t="s">
        <v>489</v>
      </c>
      <c r="J9" s="12" t="s">
        <v>335</v>
      </c>
      <c r="K9" s="12" t="s">
        <v>336</v>
      </c>
      <c r="L9" s="37" t="s">
        <v>701</v>
      </c>
      <c r="M9" s="12" t="s">
        <v>678</v>
      </c>
      <c r="N9" s="14"/>
      <c r="O9" s="14" t="str">
        <f t="shared" si="0"/>
        <v>OSLA</v>
      </c>
    </row>
    <row r="10" spans="1:15" x14ac:dyDescent="0.25">
      <c r="A10" s="12">
        <v>9</v>
      </c>
      <c r="B10" s="12" t="s">
        <v>490</v>
      </c>
      <c r="C10" s="12" t="s">
        <v>2</v>
      </c>
      <c r="D10" s="12" t="s">
        <v>701</v>
      </c>
      <c r="E10" s="12" t="s">
        <v>416</v>
      </c>
      <c r="F10" s="13">
        <v>43257.517361111109</v>
      </c>
      <c r="G10" s="13">
        <v>43257.552083333336</v>
      </c>
      <c r="H10" s="12">
        <v>50</v>
      </c>
      <c r="I10" s="12" t="s">
        <v>313</v>
      </c>
      <c r="J10" s="12" t="s">
        <v>19</v>
      </c>
      <c r="K10" s="12" t="s">
        <v>209</v>
      </c>
      <c r="L10" s="37" t="s">
        <v>701</v>
      </c>
      <c r="M10" s="12" t="s">
        <v>678</v>
      </c>
      <c r="N10" s="14"/>
      <c r="O10" s="14" t="str">
        <f t="shared" si="0"/>
        <v>ISLA</v>
      </c>
    </row>
    <row r="11" spans="1:15" x14ac:dyDescent="0.25">
      <c r="A11" s="12">
        <v>10</v>
      </c>
      <c r="B11" s="12" t="s">
        <v>491</v>
      </c>
      <c r="C11" s="12" t="s">
        <v>2</v>
      </c>
      <c r="D11" s="10" t="s">
        <v>702</v>
      </c>
      <c r="E11" s="12" t="s">
        <v>478</v>
      </c>
      <c r="F11" s="13">
        <v>43258.152777777781</v>
      </c>
      <c r="G11" s="13">
        <v>43258.875</v>
      </c>
      <c r="H11" s="12">
        <v>1040</v>
      </c>
      <c r="I11" s="12" t="s">
        <v>479</v>
      </c>
      <c r="J11" s="12" t="s">
        <v>492</v>
      </c>
      <c r="K11" s="12" t="s">
        <v>493</v>
      </c>
      <c r="L11" s="37" t="s">
        <v>704</v>
      </c>
      <c r="M11" s="12" t="s">
        <v>678</v>
      </c>
      <c r="N11" s="14"/>
      <c r="O11" s="14" t="str">
        <f t="shared" si="0"/>
        <v>OSLA</v>
      </c>
    </row>
    <row r="12" spans="1:15" x14ac:dyDescent="0.25">
      <c r="A12" s="12">
        <v>11</v>
      </c>
      <c r="B12" s="12" t="s">
        <v>494</v>
      </c>
      <c r="C12" s="12" t="s">
        <v>2</v>
      </c>
      <c r="D12" s="12" t="s">
        <v>701</v>
      </c>
      <c r="E12" s="12" t="s">
        <v>416</v>
      </c>
      <c r="F12" s="13">
        <v>43258.907638888886</v>
      </c>
      <c r="G12" s="13">
        <v>43258.947222222225</v>
      </c>
      <c r="H12" s="12">
        <v>57</v>
      </c>
      <c r="I12" s="12" t="s">
        <v>313</v>
      </c>
      <c r="J12" s="12" t="s">
        <v>19</v>
      </c>
      <c r="K12" s="12" t="s">
        <v>209</v>
      </c>
      <c r="L12" s="37" t="s">
        <v>701</v>
      </c>
      <c r="M12" s="12" t="s">
        <v>678</v>
      </c>
      <c r="N12" s="14"/>
      <c r="O12" s="14" t="str">
        <f t="shared" si="0"/>
        <v>ISLA</v>
      </c>
    </row>
    <row r="13" spans="1:15" x14ac:dyDescent="0.25">
      <c r="A13" s="12">
        <v>12</v>
      </c>
      <c r="B13" s="12" t="s">
        <v>495</v>
      </c>
      <c r="C13" s="12" t="s">
        <v>14</v>
      </c>
      <c r="D13" s="12" t="s">
        <v>701</v>
      </c>
      <c r="E13" s="12" t="s">
        <v>416</v>
      </c>
      <c r="F13" s="13">
        <v>43259.348611111112</v>
      </c>
      <c r="G13" s="13">
        <v>43259.384722222225</v>
      </c>
      <c r="H13" s="12">
        <v>52</v>
      </c>
      <c r="I13" s="12" t="s">
        <v>313</v>
      </c>
      <c r="J13" s="12" t="s">
        <v>19</v>
      </c>
      <c r="K13" s="12" t="s">
        <v>209</v>
      </c>
      <c r="L13" s="37" t="s">
        <v>701</v>
      </c>
      <c r="M13" s="12" t="s">
        <v>678</v>
      </c>
      <c r="N13" s="14"/>
      <c r="O13" s="14" t="str">
        <f t="shared" si="0"/>
        <v>ISLA</v>
      </c>
    </row>
    <row r="14" spans="1:15" x14ac:dyDescent="0.25">
      <c r="A14" s="12">
        <v>13</v>
      </c>
      <c r="B14" s="12" t="s">
        <v>496</v>
      </c>
      <c r="C14" s="12" t="s">
        <v>2</v>
      </c>
      <c r="D14" s="12" t="s">
        <v>707</v>
      </c>
      <c r="E14" s="12" t="s">
        <v>44</v>
      </c>
      <c r="F14" s="13">
        <v>43260.19027777778</v>
      </c>
      <c r="G14" s="13">
        <v>43260.57708333333</v>
      </c>
      <c r="H14" s="12">
        <v>557</v>
      </c>
      <c r="I14" s="12" t="s">
        <v>497</v>
      </c>
      <c r="J14" s="12" t="s">
        <v>498</v>
      </c>
      <c r="K14" s="12" t="s">
        <v>499</v>
      </c>
      <c r="L14" s="37" t="s">
        <v>707</v>
      </c>
      <c r="M14" s="12" t="s">
        <v>678</v>
      </c>
      <c r="N14" s="14"/>
      <c r="O14" s="14" t="str">
        <f t="shared" si="0"/>
        <v>OSLA</v>
      </c>
    </row>
    <row r="15" spans="1:15" ht="13.5" customHeight="1" x14ac:dyDescent="0.25">
      <c r="A15" s="12">
        <v>14</v>
      </c>
      <c r="B15" s="12" t="s">
        <v>500</v>
      </c>
      <c r="C15" s="12" t="s">
        <v>14</v>
      </c>
      <c r="D15" s="12" t="s">
        <v>701</v>
      </c>
      <c r="E15" s="12" t="s">
        <v>138</v>
      </c>
      <c r="F15" s="13">
        <v>43261.418749999997</v>
      </c>
      <c r="G15" s="13">
        <v>43261.772222222222</v>
      </c>
      <c r="H15" s="12">
        <v>509</v>
      </c>
      <c r="I15" s="12" t="s">
        <v>460</v>
      </c>
      <c r="J15" s="12" t="s">
        <v>685</v>
      </c>
      <c r="K15" s="12" t="s">
        <v>105</v>
      </c>
      <c r="L15" s="37" t="s">
        <v>1286</v>
      </c>
      <c r="M15" s="12" t="s">
        <v>678</v>
      </c>
      <c r="N15" s="16" t="s">
        <v>686</v>
      </c>
      <c r="O15" s="14" t="str">
        <f t="shared" si="0"/>
        <v>OSLA</v>
      </c>
    </row>
    <row r="16" spans="1:15" x14ac:dyDescent="0.25">
      <c r="A16" s="12">
        <v>15</v>
      </c>
      <c r="B16" s="12" t="s">
        <v>501</v>
      </c>
      <c r="C16" s="12" t="s">
        <v>2</v>
      </c>
      <c r="D16" s="10" t="s">
        <v>702</v>
      </c>
      <c r="E16" s="12" t="s">
        <v>177</v>
      </c>
      <c r="F16" s="13">
        <v>43262.434027777781</v>
      </c>
      <c r="G16" s="13">
        <v>43265.347222222219</v>
      </c>
      <c r="H16" s="12">
        <v>4195</v>
      </c>
      <c r="I16" s="12" t="s">
        <v>502</v>
      </c>
      <c r="J16" s="12" t="s">
        <v>690</v>
      </c>
      <c r="K16" s="12" t="s">
        <v>503</v>
      </c>
      <c r="L16" s="37" t="s">
        <v>711</v>
      </c>
      <c r="M16" s="12" t="s">
        <v>678</v>
      </c>
      <c r="N16" s="14"/>
      <c r="O16" s="14" t="str">
        <f t="shared" si="0"/>
        <v>OSLA</v>
      </c>
    </row>
    <row r="17" spans="1:15" x14ac:dyDescent="0.25">
      <c r="A17" s="12">
        <v>16</v>
      </c>
      <c r="B17" s="12" t="s">
        <v>504</v>
      </c>
      <c r="C17" s="12" t="s">
        <v>14</v>
      </c>
      <c r="D17" s="10" t="s">
        <v>702</v>
      </c>
      <c r="E17" s="12" t="s">
        <v>482</v>
      </c>
      <c r="F17" s="13">
        <v>43262.461805555555</v>
      </c>
      <c r="G17" s="13">
        <v>43262.559027777781</v>
      </c>
      <c r="H17" s="12">
        <v>140</v>
      </c>
      <c r="I17" s="12" t="s">
        <v>505</v>
      </c>
      <c r="J17" s="12" t="s">
        <v>506</v>
      </c>
      <c r="K17" s="12" t="s">
        <v>507</v>
      </c>
      <c r="L17" s="37" t="s">
        <v>713</v>
      </c>
      <c r="M17" s="12" t="s">
        <v>678</v>
      </c>
      <c r="N17" s="14"/>
      <c r="O17" s="14" t="str">
        <f t="shared" si="0"/>
        <v>ISLA</v>
      </c>
    </row>
    <row r="18" spans="1:15" x14ac:dyDescent="0.25">
      <c r="A18" s="12">
        <v>17</v>
      </c>
      <c r="B18" s="12" t="s">
        <v>508</v>
      </c>
      <c r="C18" s="12" t="s">
        <v>2</v>
      </c>
      <c r="D18" s="12" t="s">
        <v>701</v>
      </c>
      <c r="E18" s="12" t="s">
        <v>416</v>
      </c>
      <c r="F18" s="13">
        <v>43262.552777777775</v>
      </c>
      <c r="G18" s="13">
        <v>43263.770833333336</v>
      </c>
      <c r="H18" s="12">
        <v>1754</v>
      </c>
      <c r="I18" s="12" t="s">
        <v>313</v>
      </c>
      <c r="J18" s="12" t="s">
        <v>19</v>
      </c>
      <c r="K18" s="12" t="s">
        <v>88</v>
      </c>
      <c r="L18" s="37" t="s">
        <v>701</v>
      </c>
      <c r="M18" s="12" t="s">
        <v>678</v>
      </c>
      <c r="N18" s="14"/>
      <c r="O18" s="14" t="str">
        <f t="shared" si="0"/>
        <v>OSLA</v>
      </c>
    </row>
    <row r="19" spans="1:15" x14ac:dyDescent="0.25">
      <c r="A19" s="12">
        <v>18</v>
      </c>
      <c r="B19" s="12" t="s">
        <v>509</v>
      </c>
      <c r="C19" s="12" t="s">
        <v>2</v>
      </c>
      <c r="D19" s="10" t="s">
        <v>702</v>
      </c>
      <c r="E19" s="12" t="s">
        <v>676</v>
      </c>
      <c r="F19" s="13">
        <v>43263.461111111108</v>
      </c>
      <c r="G19" s="13">
        <v>43263.475694444445</v>
      </c>
      <c r="H19" s="12">
        <v>511</v>
      </c>
      <c r="I19" s="12" t="s">
        <v>510</v>
      </c>
      <c r="J19" s="12" t="s">
        <v>511</v>
      </c>
      <c r="K19" s="12" t="s">
        <v>441</v>
      </c>
      <c r="L19" s="37" t="s">
        <v>713</v>
      </c>
      <c r="M19" s="12" t="s">
        <v>678</v>
      </c>
      <c r="N19" s="14"/>
      <c r="O19" s="14" t="str">
        <f t="shared" si="0"/>
        <v>OSLA</v>
      </c>
    </row>
    <row r="20" spans="1:15" x14ac:dyDescent="0.25">
      <c r="A20" s="12">
        <v>19</v>
      </c>
      <c r="B20" s="12" t="s">
        <v>512</v>
      </c>
      <c r="C20" s="12" t="s">
        <v>2</v>
      </c>
      <c r="D20" s="12" t="s">
        <v>701</v>
      </c>
      <c r="E20" s="12" t="s">
        <v>416</v>
      </c>
      <c r="F20" s="13">
        <v>43264.088888888888</v>
      </c>
      <c r="G20" s="13">
        <v>43264.124305555553</v>
      </c>
      <c r="H20" s="12">
        <v>512</v>
      </c>
      <c r="I20" s="12" t="s">
        <v>313</v>
      </c>
      <c r="J20" s="12" t="s">
        <v>19</v>
      </c>
      <c r="K20" s="12" t="s">
        <v>88</v>
      </c>
      <c r="L20" s="37" t="s">
        <v>701</v>
      </c>
      <c r="M20" s="12" t="s">
        <v>678</v>
      </c>
      <c r="N20" s="14"/>
      <c r="O20" s="14" t="str">
        <f t="shared" si="0"/>
        <v>OSLA</v>
      </c>
    </row>
    <row r="21" spans="1:15" x14ac:dyDescent="0.25">
      <c r="A21" s="12">
        <v>20</v>
      </c>
      <c r="B21" s="12" t="s">
        <v>513</v>
      </c>
      <c r="C21" s="12" t="s">
        <v>2</v>
      </c>
      <c r="D21" s="12" t="s">
        <v>707</v>
      </c>
      <c r="E21" s="12" t="s">
        <v>514</v>
      </c>
      <c r="F21" s="13">
        <v>43264.424305555556</v>
      </c>
      <c r="G21" s="13">
        <v>43264.491666666669</v>
      </c>
      <c r="H21" s="12">
        <v>97</v>
      </c>
      <c r="I21" s="12" t="s">
        <v>515</v>
      </c>
      <c r="J21" s="12" t="s">
        <v>516</v>
      </c>
      <c r="K21" s="12" t="s">
        <v>517</v>
      </c>
      <c r="L21" s="37" t="s">
        <v>707</v>
      </c>
      <c r="M21" s="12" t="s">
        <v>678</v>
      </c>
      <c r="N21" s="14"/>
      <c r="O21" s="14" t="str">
        <f t="shared" si="0"/>
        <v>ISLA</v>
      </c>
    </row>
    <row r="22" spans="1:15" ht="13.5" customHeight="1" x14ac:dyDescent="0.25">
      <c r="A22" s="12">
        <v>21</v>
      </c>
      <c r="B22" s="12" t="s">
        <v>518</v>
      </c>
      <c r="C22" s="12" t="s">
        <v>14</v>
      </c>
      <c r="D22" s="12" t="s">
        <v>701</v>
      </c>
      <c r="E22" s="12" t="s">
        <v>138</v>
      </c>
      <c r="F22" s="13">
        <v>43264.531944444447</v>
      </c>
      <c r="G22" s="13">
        <v>43264.665972222225</v>
      </c>
      <c r="H22" s="12">
        <v>193</v>
      </c>
      <c r="I22" s="12" t="s">
        <v>460</v>
      </c>
      <c r="J22" s="12" t="s">
        <v>685</v>
      </c>
      <c r="K22" s="12" t="s">
        <v>105</v>
      </c>
      <c r="L22" s="37" t="s">
        <v>1286</v>
      </c>
      <c r="M22" s="12" t="s">
        <v>678</v>
      </c>
      <c r="N22" s="16" t="s">
        <v>686</v>
      </c>
      <c r="O22" s="14" t="str">
        <f t="shared" si="0"/>
        <v>ISLA</v>
      </c>
    </row>
    <row r="23" spans="1:15" x14ac:dyDescent="0.25">
      <c r="A23" s="12">
        <v>22</v>
      </c>
      <c r="B23" s="12" t="s">
        <v>519</v>
      </c>
      <c r="C23" s="12" t="s">
        <v>14</v>
      </c>
      <c r="D23" s="10" t="s">
        <v>702</v>
      </c>
      <c r="E23" s="12" t="s">
        <v>443</v>
      </c>
      <c r="F23" s="13">
        <v>43265.041666666664</v>
      </c>
      <c r="G23" s="13">
        <v>43275.638194444444</v>
      </c>
      <c r="H23" s="12">
        <v>15259</v>
      </c>
      <c r="I23" s="12" t="s">
        <v>520</v>
      </c>
      <c r="J23" s="12" t="s">
        <v>689</v>
      </c>
      <c r="K23" s="12" t="s">
        <v>660</v>
      </c>
      <c r="L23" s="37" t="s">
        <v>1290</v>
      </c>
      <c r="M23" s="12" t="s">
        <v>678</v>
      </c>
      <c r="N23" s="14"/>
      <c r="O23" s="14" t="str">
        <f t="shared" si="0"/>
        <v>OSLA</v>
      </c>
    </row>
    <row r="24" spans="1:15" x14ac:dyDescent="0.25">
      <c r="A24" s="12">
        <v>23</v>
      </c>
      <c r="B24" s="12" t="s">
        <v>521</v>
      </c>
      <c r="C24" s="12" t="s">
        <v>2</v>
      </c>
      <c r="D24" s="12" t="s">
        <v>701</v>
      </c>
      <c r="E24" s="12" t="s">
        <v>522</v>
      </c>
      <c r="F24" s="13">
        <v>43266.352083333331</v>
      </c>
      <c r="G24" s="13">
        <v>43266.40347222222</v>
      </c>
      <c r="H24" s="12">
        <v>74.000000000232831</v>
      </c>
      <c r="I24" s="12" t="s">
        <v>523</v>
      </c>
      <c r="J24" s="12" t="s">
        <v>656</v>
      </c>
      <c r="K24" s="12" t="s">
        <v>657</v>
      </c>
      <c r="L24" s="37" t="s">
        <v>701</v>
      </c>
      <c r="M24" s="12" t="s">
        <v>678</v>
      </c>
      <c r="N24" s="14"/>
      <c r="O24" s="14" t="str">
        <f t="shared" si="0"/>
        <v>ISLA</v>
      </c>
    </row>
    <row r="25" spans="1:15" x14ac:dyDescent="0.25">
      <c r="A25" s="12">
        <v>24</v>
      </c>
      <c r="B25" s="12" t="s">
        <v>524</v>
      </c>
      <c r="C25" s="12" t="s">
        <v>2</v>
      </c>
      <c r="D25" s="10" t="s">
        <v>702</v>
      </c>
      <c r="E25" s="12" t="s">
        <v>1291</v>
      </c>
      <c r="F25" s="13">
        <v>43267.822916666664</v>
      </c>
      <c r="G25" s="13">
        <v>43271.75</v>
      </c>
      <c r="H25" s="12">
        <v>5655</v>
      </c>
      <c r="I25" s="12" t="s">
        <v>525</v>
      </c>
      <c r="J25" s="12" t="s">
        <v>661</v>
      </c>
      <c r="K25" s="12" t="s">
        <v>662</v>
      </c>
      <c r="L25" s="37" t="s">
        <v>701</v>
      </c>
      <c r="M25" s="12" t="s">
        <v>678</v>
      </c>
      <c r="N25" s="14"/>
      <c r="O25" s="14" t="str">
        <f t="shared" si="0"/>
        <v>OSLA</v>
      </c>
    </row>
    <row r="26" spans="1:15" x14ac:dyDescent="0.25">
      <c r="A26" s="12">
        <v>25</v>
      </c>
      <c r="B26" s="12" t="s">
        <v>526</v>
      </c>
      <c r="C26" s="12" t="s">
        <v>2</v>
      </c>
      <c r="D26" s="10" t="s">
        <v>702</v>
      </c>
      <c r="E26" s="12" t="s">
        <v>527</v>
      </c>
      <c r="F26" s="13">
        <v>43268.53125</v>
      </c>
      <c r="G26" s="13">
        <v>43268.579861111109</v>
      </c>
      <c r="H26" s="12">
        <v>70</v>
      </c>
      <c r="I26" s="12" t="s">
        <v>528</v>
      </c>
      <c r="J26" s="12" t="s">
        <v>529</v>
      </c>
      <c r="K26" s="12" t="s">
        <v>530</v>
      </c>
      <c r="L26" s="37" t="s">
        <v>704</v>
      </c>
      <c r="M26" s="12" t="s">
        <v>678</v>
      </c>
      <c r="N26" s="14"/>
      <c r="O26" s="14" t="str">
        <f t="shared" si="0"/>
        <v>ISLA</v>
      </c>
    </row>
    <row r="27" spans="1:15" x14ac:dyDescent="0.25">
      <c r="A27" s="12">
        <v>26</v>
      </c>
      <c r="B27" s="12" t="s">
        <v>531</v>
      </c>
      <c r="C27" s="12" t="s">
        <v>2</v>
      </c>
      <c r="D27" s="12" t="s">
        <v>701</v>
      </c>
      <c r="E27" s="12" t="s">
        <v>416</v>
      </c>
      <c r="F27" s="13">
        <v>43269.664583333331</v>
      </c>
      <c r="G27" s="13">
        <v>43269.700694444444</v>
      </c>
      <c r="H27" s="12">
        <v>52</v>
      </c>
      <c r="I27" s="12" t="s">
        <v>313</v>
      </c>
      <c r="J27" s="12" t="s">
        <v>19</v>
      </c>
      <c r="K27" s="12" t="s">
        <v>88</v>
      </c>
      <c r="L27" s="37" t="s">
        <v>701</v>
      </c>
      <c r="M27" s="12" t="s">
        <v>678</v>
      </c>
      <c r="N27" s="14"/>
      <c r="O27" s="14" t="str">
        <f t="shared" si="0"/>
        <v>ISLA</v>
      </c>
    </row>
    <row r="28" spans="1:15" x14ac:dyDescent="0.25">
      <c r="A28" s="12">
        <v>27</v>
      </c>
      <c r="B28" s="12" t="s">
        <v>532</v>
      </c>
      <c r="C28" s="12" t="s">
        <v>2</v>
      </c>
      <c r="D28" s="10" t="s">
        <v>702</v>
      </c>
      <c r="E28" s="12" t="s">
        <v>533</v>
      </c>
      <c r="F28" s="13">
        <v>43269.67083333333</v>
      </c>
      <c r="G28" s="13">
        <v>43269.701388888891</v>
      </c>
      <c r="H28" s="12">
        <v>44</v>
      </c>
      <c r="I28" s="12" t="s">
        <v>534</v>
      </c>
      <c r="J28" s="12" t="s">
        <v>535</v>
      </c>
      <c r="K28" s="12" t="s">
        <v>536</v>
      </c>
      <c r="L28" s="37" t="s">
        <v>889</v>
      </c>
      <c r="M28" s="12" t="s">
        <v>678</v>
      </c>
      <c r="N28" s="14"/>
      <c r="O28" s="14" t="str">
        <f t="shared" si="0"/>
        <v>ISLA</v>
      </c>
    </row>
    <row r="29" spans="1:15" x14ac:dyDescent="0.25">
      <c r="A29" s="12">
        <v>28</v>
      </c>
      <c r="B29" s="12" t="s">
        <v>537</v>
      </c>
      <c r="C29" s="12" t="s">
        <v>2</v>
      </c>
      <c r="D29" s="10" t="s">
        <v>702</v>
      </c>
      <c r="E29" s="10" t="s">
        <v>101</v>
      </c>
      <c r="F29" s="13">
        <v>43270.506944444445</v>
      </c>
      <c r="G29" s="13">
        <v>43270.747916666667</v>
      </c>
      <c r="H29" s="12">
        <v>347</v>
      </c>
      <c r="I29" s="12" t="s">
        <v>538</v>
      </c>
      <c r="J29" s="12" t="s">
        <v>539</v>
      </c>
      <c r="K29" s="12" t="s">
        <v>540</v>
      </c>
      <c r="L29" s="37" t="s">
        <v>703</v>
      </c>
      <c r="M29" s="12" t="s">
        <v>678</v>
      </c>
      <c r="N29" s="14"/>
      <c r="O29" s="14" t="str">
        <f t="shared" si="0"/>
        <v>OSLA</v>
      </c>
    </row>
    <row r="30" spans="1:15" x14ac:dyDescent="0.25">
      <c r="A30" s="12">
        <v>29</v>
      </c>
      <c r="B30" s="12" t="s">
        <v>541</v>
      </c>
      <c r="C30" s="12" t="s">
        <v>2</v>
      </c>
      <c r="D30" s="10" t="s">
        <v>716</v>
      </c>
      <c r="E30" s="12" t="s">
        <v>542</v>
      </c>
      <c r="F30" s="13">
        <v>43271.588194444441</v>
      </c>
      <c r="G30" s="13">
        <v>43271.628472222219</v>
      </c>
      <c r="H30" s="12">
        <v>58</v>
      </c>
      <c r="I30" s="12" t="s">
        <v>543</v>
      </c>
      <c r="J30" s="12" t="s">
        <v>544</v>
      </c>
      <c r="K30" s="12" t="s">
        <v>545</v>
      </c>
      <c r="L30" s="37" t="s">
        <v>704</v>
      </c>
      <c r="M30" s="12" t="s">
        <v>678</v>
      </c>
      <c r="N30" s="14"/>
      <c r="O30" s="14" t="str">
        <f t="shared" si="0"/>
        <v>ISLA</v>
      </c>
    </row>
    <row r="31" spans="1:15" x14ac:dyDescent="0.25">
      <c r="A31" s="12">
        <v>30</v>
      </c>
      <c r="B31" s="12" t="s">
        <v>546</v>
      </c>
      <c r="C31" s="12" t="s">
        <v>2</v>
      </c>
      <c r="D31" s="10" t="s">
        <v>702</v>
      </c>
      <c r="E31" s="12" t="s">
        <v>482</v>
      </c>
      <c r="F31" s="13">
        <v>43271.597222222219</v>
      </c>
      <c r="G31" s="13">
        <v>43271.628472222219</v>
      </c>
      <c r="H31" s="12">
        <v>45</v>
      </c>
      <c r="I31" s="12" t="s">
        <v>547</v>
      </c>
      <c r="J31" s="12" t="s">
        <v>548</v>
      </c>
      <c r="K31" s="12" t="s">
        <v>549</v>
      </c>
      <c r="L31" s="37" t="s">
        <v>716</v>
      </c>
      <c r="M31" s="12" t="s">
        <v>678</v>
      </c>
      <c r="N31" s="14"/>
      <c r="O31" s="14" t="str">
        <f t="shared" si="0"/>
        <v>ISLA</v>
      </c>
    </row>
    <row r="32" spans="1:15" x14ac:dyDescent="0.25">
      <c r="A32" s="12">
        <v>31</v>
      </c>
      <c r="B32" s="12" t="s">
        <v>550</v>
      </c>
      <c r="C32" s="12" t="s">
        <v>2</v>
      </c>
      <c r="D32" s="10" t="s">
        <v>702</v>
      </c>
      <c r="E32" s="12" t="s">
        <v>44</v>
      </c>
      <c r="F32" s="13">
        <v>43271.708333333336</v>
      </c>
      <c r="G32" s="13">
        <v>43272.770833333336</v>
      </c>
      <c r="H32" s="12">
        <v>1530</v>
      </c>
      <c r="I32" s="12" t="s">
        <v>551</v>
      </c>
      <c r="J32" s="12" t="s">
        <v>552</v>
      </c>
      <c r="K32" s="12" t="s">
        <v>553</v>
      </c>
      <c r="L32" s="37" t="s">
        <v>707</v>
      </c>
      <c r="M32" s="12" t="s">
        <v>678</v>
      </c>
      <c r="N32" s="14"/>
      <c r="O32" s="14" t="str">
        <f t="shared" si="0"/>
        <v>OSLA</v>
      </c>
    </row>
    <row r="33" spans="1:15" x14ac:dyDescent="0.25">
      <c r="A33" s="12">
        <v>32</v>
      </c>
      <c r="B33" s="12" t="s">
        <v>554</v>
      </c>
      <c r="C33" s="12" t="s">
        <v>2</v>
      </c>
      <c r="D33" s="12" t="s">
        <v>701</v>
      </c>
      <c r="E33" s="12" t="s">
        <v>416</v>
      </c>
      <c r="F33" s="13">
        <v>43272.494444444441</v>
      </c>
      <c r="G33" s="13">
        <v>43272.53125</v>
      </c>
      <c r="H33" s="12">
        <v>53</v>
      </c>
      <c r="I33" s="12" t="s">
        <v>313</v>
      </c>
      <c r="J33" s="12" t="s">
        <v>19</v>
      </c>
      <c r="K33" s="12" t="s">
        <v>88</v>
      </c>
      <c r="L33" s="37" t="s">
        <v>701</v>
      </c>
      <c r="M33" s="12" t="s">
        <v>678</v>
      </c>
      <c r="N33" s="14"/>
      <c r="O33" s="14" t="str">
        <f t="shared" si="0"/>
        <v>ISLA</v>
      </c>
    </row>
    <row r="34" spans="1:15" x14ac:dyDescent="0.25">
      <c r="A34" s="12">
        <v>33</v>
      </c>
      <c r="B34" s="12" t="s">
        <v>555</v>
      </c>
      <c r="C34" s="12" t="s">
        <v>2</v>
      </c>
      <c r="D34" s="12" t="s">
        <v>701</v>
      </c>
      <c r="E34" s="12" t="s">
        <v>416</v>
      </c>
      <c r="F34" s="13">
        <v>43272.607638888891</v>
      </c>
      <c r="G34" s="13">
        <v>43272.64166666667</v>
      </c>
      <c r="H34" s="12">
        <v>49</v>
      </c>
      <c r="I34" s="12" t="s">
        <v>313</v>
      </c>
      <c r="J34" s="12" t="s">
        <v>19</v>
      </c>
      <c r="K34" s="12" t="s">
        <v>88</v>
      </c>
      <c r="L34" s="37" t="s">
        <v>701</v>
      </c>
      <c r="M34" s="12" t="s">
        <v>678</v>
      </c>
      <c r="N34" s="14"/>
      <c r="O34" s="14" t="str">
        <f t="shared" si="0"/>
        <v>ISLA</v>
      </c>
    </row>
    <row r="35" spans="1:15" x14ac:dyDescent="0.25">
      <c r="A35" s="12">
        <v>34</v>
      </c>
      <c r="B35" s="12" t="s">
        <v>556</v>
      </c>
      <c r="C35" s="12" t="s">
        <v>2</v>
      </c>
      <c r="D35" s="12" t="s">
        <v>701</v>
      </c>
      <c r="E35" s="12" t="s">
        <v>522</v>
      </c>
      <c r="F35" s="13">
        <v>43272.885416666664</v>
      </c>
      <c r="G35" s="13">
        <v>43272.9</v>
      </c>
      <c r="H35" s="12">
        <v>21</v>
      </c>
      <c r="I35" s="12" t="s">
        <v>557</v>
      </c>
      <c r="J35" s="12" t="s">
        <v>1292</v>
      </c>
      <c r="K35" s="12" t="s">
        <v>1293</v>
      </c>
      <c r="L35" s="37" t="s">
        <v>701</v>
      </c>
      <c r="M35" s="12" t="s">
        <v>678</v>
      </c>
      <c r="N35" s="14"/>
      <c r="O35" s="14" t="str">
        <f t="shared" si="0"/>
        <v>ISLA</v>
      </c>
    </row>
    <row r="36" spans="1:15" x14ac:dyDescent="0.25">
      <c r="A36" s="12">
        <v>35</v>
      </c>
      <c r="B36" s="12" t="s">
        <v>558</v>
      </c>
      <c r="C36" s="12" t="s">
        <v>2</v>
      </c>
      <c r="D36" s="10" t="s">
        <v>702</v>
      </c>
      <c r="E36" s="12" t="s">
        <v>559</v>
      </c>
      <c r="F36" s="13">
        <v>43273.349305555559</v>
      </c>
      <c r="G36" s="13">
        <v>43280.385416666664</v>
      </c>
      <c r="H36" s="12">
        <f>(G36-F36)*1440</f>
        <v>10131.999999991385</v>
      </c>
      <c r="I36" s="12" t="s">
        <v>560</v>
      </c>
      <c r="J36" s="12" t="s">
        <v>561</v>
      </c>
      <c r="K36" s="12" t="s">
        <v>562</v>
      </c>
      <c r="L36" s="37" t="s">
        <v>889</v>
      </c>
      <c r="M36" s="12" t="s">
        <v>678</v>
      </c>
      <c r="N36" s="14"/>
      <c r="O36" s="14" t="str">
        <f t="shared" si="0"/>
        <v>OSLA</v>
      </c>
    </row>
    <row r="37" spans="1:15" x14ac:dyDescent="0.25">
      <c r="A37" s="12">
        <v>36</v>
      </c>
      <c r="B37" s="12" t="s">
        <v>563</v>
      </c>
      <c r="C37" s="12" t="s">
        <v>14</v>
      </c>
      <c r="D37" s="10" t="s">
        <v>702</v>
      </c>
      <c r="E37" s="12" t="s">
        <v>138</v>
      </c>
      <c r="F37" s="13">
        <v>43273.349305555559</v>
      </c>
      <c r="G37" s="13">
        <v>43273.371527777781</v>
      </c>
      <c r="H37" s="12">
        <v>31.999999999534339</v>
      </c>
      <c r="I37" s="12" t="s">
        <v>489</v>
      </c>
      <c r="J37" s="12" t="s">
        <v>564</v>
      </c>
      <c r="K37" s="12" t="s">
        <v>565</v>
      </c>
      <c r="L37" s="37" t="s">
        <v>701</v>
      </c>
      <c r="M37" s="12" t="s">
        <v>678</v>
      </c>
      <c r="N37" s="14"/>
      <c r="O37" s="14" t="str">
        <f t="shared" si="0"/>
        <v>ISLA</v>
      </c>
    </row>
    <row r="38" spans="1:15" x14ac:dyDescent="0.25">
      <c r="A38" s="12">
        <v>37</v>
      </c>
      <c r="B38" s="12" t="s">
        <v>566</v>
      </c>
      <c r="C38" s="12" t="s">
        <v>2</v>
      </c>
      <c r="D38" s="10" t="s">
        <v>702</v>
      </c>
      <c r="E38" s="12" t="s">
        <v>44</v>
      </c>
      <c r="F38" s="13">
        <v>43273.461111111108</v>
      </c>
      <c r="G38" s="13">
        <v>43293.534722222219</v>
      </c>
      <c r="H38" s="12">
        <v>28905.999999999767</v>
      </c>
      <c r="I38" s="12" t="s">
        <v>567</v>
      </c>
      <c r="J38" s="12" t="s">
        <v>568</v>
      </c>
      <c r="K38" s="12" t="s">
        <v>20</v>
      </c>
      <c r="L38" s="37" t="s">
        <v>707</v>
      </c>
      <c r="M38" s="12" t="s">
        <v>678</v>
      </c>
      <c r="N38" s="14"/>
      <c r="O38" s="14" t="str">
        <f t="shared" si="0"/>
        <v>OSLA</v>
      </c>
    </row>
    <row r="39" spans="1:15" ht="12" customHeight="1" x14ac:dyDescent="0.25">
      <c r="A39" s="12">
        <v>38</v>
      </c>
      <c r="B39" s="12" t="s">
        <v>570</v>
      </c>
      <c r="C39" s="12" t="s">
        <v>14</v>
      </c>
      <c r="D39" s="12" t="s">
        <v>701</v>
      </c>
      <c r="E39" s="12" t="s">
        <v>138</v>
      </c>
      <c r="F39" s="13">
        <v>43275.438888888886</v>
      </c>
      <c r="G39" s="13">
        <v>43275.472916666666</v>
      </c>
      <c r="H39" s="12">
        <v>49</v>
      </c>
      <c r="I39" s="12" t="s">
        <v>571</v>
      </c>
      <c r="J39" s="12" t="s">
        <v>685</v>
      </c>
      <c r="K39" s="12" t="s">
        <v>569</v>
      </c>
      <c r="L39" s="37" t="s">
        <v>1286</v>
      </c>
      <c r="M39" s="12" t="s">
        <v>678</v>
      </c>
      <c r="N39" s="16" t="s">
        <v>686</v>
      </c>
      <c r="O39" s="14" t="str">
        <f t="shared" si="0"/>
        <v>ISLA</v>
      </c>
    </row>
    <row r="40" spans="1:15" ht="12.75" customHeight="1" x14ac:dyDescent="0.25">
      <c r="A40" s="12">
        <v>39</v>
      </c>
      <c r="B40" s="12" t="s">
        <v>572</v>
      </c>
      <c r="C40" s="12" t="s">
        <v>14</v>
      </c>
      <c r="D40" s="12" t="s">
        <v>701</v>
      </c>
      <c r="E40" s="12" t="s">
        <v>138</v>
      </c>
      <c r="F40" s="13">
        <v>43276.475694444445</v>
      </c>
      <c r="G40" s="13">
        <v>43276.492361111108</v>
      </c>
      <c r="H40" s="12">
        <v>24</v>
      </c>
      <c r="I40" s="12" t="s">
        <v>573</v>
      </c>
      <c r="J40" s="12" t="s">
        <v>685</v>
      </c>
      <c r="K40" s="12" t="s">
        <v>569</v>
      </c>
      <c r="L40" s="37" t="s">
        <v>1286</v>
      </c>
      <c r="M40" s="12" t="s">
        <v>678</v>
      </c>
      <c r="N40" s="16" t="s">
        <v>686</v>
      </c>
      <c r="O40" s="14" t="str">
        <f t="shared" si="0"/>
        <v>ISLA</v>
      </c>
    </row>
    <row r="41" spans="1:15" x14ac:dyDescent="0.25">
      <c r="A41" s="12">
        <v>40</v>
      </c>
      <c r="B41" s="12" t="s">
        <v>574</v>
      </c>
      <c r="C41" s="12" t="s">
        <v>2</v>
      </c>
      <c r="D41" s="12" t="s">
        <v>701</v>
      </c>
      <c r="E41" s="12" t="s">
        <v>416</v>
      </c>
      <c r="F41" s="13">
        <v>43276.886111111111</v>
      </c>
      <c r="G41" s="13">
        <v>43276.895833333336</v>
      </c>
      <c r="H41" s="12">
        <v>14</v>
      </c>
      <c r="I41" s="12" t="s">
        <v>313</v>
      </c>
      <c r="J41" s="12" t="s">
        <v>19</v>
      </c>
      <c r="K41" s="12" t="s">
        <v>209</v>
      </c>
      <c r="L41" s="37" t="s">
        <v>701</v>
      </c>
      <c r="M41" s="12" t="s">
        <v>678</v>
      </c>
      <c r="N41" s="14"/>
      <c r="O41" s="14" t="str">
        <f t="shared" si="0"/>
        <v>ISLA</v>
      </c>
    </row>
    <row r="42" spans="1:15" x14ac:dyDescent="0.25">
      <c r="A42" s="12">
        <v>41</v>
      </c>
      <c r="B42" s="12" t="s">
        <v>575</v>
      </c>
      <c r="C42" s="12" t="s">
        <v>2</v>
      </c>
      <c r="D42" s="10" t="s">
        <v>702</v>
      </c>
      <c r="E42" s="12" t="s">
        <v>542</v>
      </c>
      <c r="F42" s="13">
        <v>43278.662499999999</v>
      </c>
      <c r="G42" s="13">
        <v>43278.670138888891</v>
      </c>
      <c r="H42" s="12">
        <v>11</v>
      </c>
      <c r="I42" s="12" t="s">
        <v>576</v>
      </c>
      <c r="J42" s="12" t="s">
        <v>20</v>
      </c>
      <c r="K42" s="12" t="s">
        <v>105</v>
      </c>
      <c r="L42" s="37" t="s">
        <v>703</v>
      </c>
      <c r="M42" s="12" t="s">
        <v>678</v>
      </c>
      <c r="N42" s="14"/>
      <c r="O42" s="14" t="str">
        <f t="shared" si="0"/>
        <v>ISLA</v>
      </c>
    </row>
    <row r="43" spans="1:15" x14ac:dyDescent="0.25">
      <c r="A43" s="12">
        <v>42</v>
      </c>
      <c r="B43" s="12" t="s">
        <v>577</v>
      </c>
      <c r="C43" s="12" t="s">
        <v>14</v>
      </c>
      <c r="D43" s="10" t="s">
        <v>702</v>
      </c>
      <c r="E43" s="12" t="s">
        <v>578</v>
      </c>
      <c r="F43" s="13">
        <v>43279.475694444445</v>
      </c>
      <c r="G43" s="13">
        <v>43279.517361111109</v>
      </c>
      <c r="H43" s="12">
        <v>60</v>
      </c>
      <c r="I43" s="12" t="s">
        <v>579</v>
      </c>
      <c r="J43" s="12" t="s">
        <v>1294</v>
      </c>
      <c r="K43" s="12" t="s">
        <v>1295</v>
      </c>
      <c r="L43" s="37" t="s">
        <v>703</v>
      </c>
      <c r="M43" s="12" t="s">
        <v>678</v>
      </c>
      <c r="N43" s="14" t="s">
        <v>666</v>
      </c>
      <c r="O43" s="14" t="str">
        <f t="shared" si="0"/>
        <v>ISLA</v>
      </c>
    </row>
    <row r="44" spans="1:15" x14ac:dyDescent="0.25">
      <c r="A44" s="12">
        <v>43</v>
      </c>
      <c r="B44" s="12" t="s">
        <v>580</v>
      </c>
      <c r="C44" s="12" t="s">
        <v>2</v>
      </c>
      <c r="D44" s="12" t="s">
        <v>701</v>
      </c>
      <c r="E44" s="12" t="s">
        <v>416</v>
      </c>
      <c r="F44" s="13">
        <v>43280.337500000001</v>
      </c>
      <c r="G44" s="13">
        <v>43280.374305555553</v>
      </c>
      <c r="H44" s="15">
        <v>52.999999994644895</v>
      </c>
      <c r="I44" s="12" t="s">
        <v>313</v>
      </c>
      <c r="J44" s="12" t="s">
        <v>19</v>
      </c>
      <c r="K44" s="12" t="s">
        <v>88</v>
      </c>
      <c r="L44" s="37" t="s">
        <v>701</v>
      </c>
      <c r="M44" s="12" t="s">
        <v>678</v>
      </c>
      <c r="N44" s="14"/>
      <c r="O44" s="14" t="str">
        <f t="shared" si="0"/>
        <v>ISLA</v>
      </c>
    </row>
    <row r="45" spans="1:15" x14ac:dyDescent="0.25">
      <c r="A45" s="12">
        <v>44</v>
      </c>
      <c r="B45" s="12" t="s">
        <v>582</v>
      </c>
      <c r="C45" s="12" t="s">
        <v>2</v>
      </c>
      <c r="D45" s="12" t="s">
        <v>701</v>
      </c>
      <c r="E45" s="12" t="s">
        <v>416</v>
      </c>
      <c r="F45" s="13">
        <v>43281.354861111111</v>
      </c>
      <c r="G45" s="13">
        <v>43281.393750000003</v>
      </c>
      <c r="H45" s="12">
        <v>56.000000004423782</v>
      </c>
      <c r="I45" s="12" t="s">
        <v>313</v>
      </c>
      <c r="J45" s="12" t="s">
        <v>19</v>
      </c>
      <c r="K45" s="12" t="s">
        <v>88</v>
      </c>
      <c r="L45" s="37" t="s">
        <v>701</v>
      </c>
      <c r="M45" s="12" t="s">
        <v>678</v>
      </c>
      <c r="N45" s="14"/>
      <c r="O45" s="14" t="str">
        <f t="shared" si="0"/>
        <v>ISLA</v>
      </c>
    </row>
    <row r="47" spans="1:15" ht="14.6" x14ac:dyDescent="0.4">
      <c r="B47" s="73" t="s">
        <v>2</v>
      </c>
      <c r="C47" s="73" t="s">
        <v>776</v>
      </c>
      <c r="D47" s="73">
        <v>120</v>
      </c>
    </row>
    <row r="48" spans="1:15" ht="14.6" x14ac:dyDescent="0.4">
      <c r="B48" s="73" t="s">
        <v>14</v>
      </c>
      <c r="C48" s="73" t="s">
        <v>777</v>
      </c>
      <c r="D48" s="73">
        <v>240</v>
      </c>
    </row>
    <row r="49" spans="2:4" ht="14.6" x14ac:dyDescent="0.4">
      <c r="B49" s="73" t="s">
        <v>158</v>
      </c>
      <c r="C49" s="73" t="s">
        <v>778</v>
      </c>
      <c r="D49" s="73">
        <f>1440*2</f>
        <v>2880</v>
      </c>
    </row>
    <row r="50" spans="2:4" ht="14.6" x14ac:dyDescent="0.4">
      <c r="B50" s="73" t="s">
        <v>757</v>
      </c>
      <c r="C50" s="73" t="s">
        <v>779</v>
      </c>
      <c r="D50" s="73">
        <f>3*1440</f>
        <v>4320</v>
      </c>
    </row>
  </sheetData>
  <autoFilter ref="A1:N45" xr:uid="{00000000-0009-0000-0000-000009000000}"/>
  <dataValidations count="5">
    <dataValidation type="list" allowBlank="1" showInputMessage="1" showErrorMessage="1" promptTitle="Statut" prompt="L'Etat du Service" sqref="M42" xr:uid="{00000000-0002-0000-0900-000000000000}">
      <formula1>stat</formula1>
    </dataValidation>
    <dataValidation type="list" allowBlank="1" showInputMessage="1" showErrorMessage="1" promptTitle="Categorie" prompt="La Categorie de l'Incident" sqref="E42" xr:uid="{00000000-0002-0000-0900-000001000000}">
      <formula1>cat</formula1>
    </dataValidation>
    <dataValidation type="list" allowBlank="1" showInputMessage="1" showErrorMessage="1" promptTitle="Priorité" prompt="La Priorité de l'Incident" sqref="D24 L5:L7 D41 L39:L41 D12:D13 D18 D20 D27 D33:D35 C44:D45 L44:L45 L9:L10 L12:L13 L18 L20 L24:L25 L27 L33:L35 C2:C7 C42 D5:D7 D15 L15 L22 D10" xr:uid="{00000000-0002-0000-0900-000002000000}">
      <formula1>prio</formula1>
    </dataValidation>
    <dataValidation type="list" allowBlank="1" showInputMessage="1" showErrorMessage="1" sqref="L2 L4 L17 L19" xr:uid="{00000000-0002-0000-0900-000003000000}">
      <formula1>ORIGINE</formula1>
    </dataValidation>
    <dataValidation type="list" allowBlank="1" showInputMessage="1" showErrorMessage="1" promptTitle="porteur" prompt="Le Nom Porteur" sqref="D30 L31" xr:uid="{00000000-0002-0000-0900-000004000000}">
      <formula1>porteur</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7">
    <tabColor theme="9"/>
  </sheetPr>
  <dimension ref="A1:O50"/>
  <sheetViews>
    <sheetView topLeftCell="A4" workbookViewId="0">
      <pane xSplit="7" topLeftCell="H1" activePane="topRight" state="frozen"/>
      <selection pane="topRight" activeCell="O17" sqref="O17"/>
    </sheetView>
  </sheetViews>
  <sheetFormatPr baseColWidth="10" defaultColWidth="11.4609375" defaultRowHeight="14.6" x14ac:dyDescent="0.4"/>
  <cols>
    <col min="1" max="1" width="5.3046875" style="1" bestFit="1" customWidth="1"/>
    <col min="2" max="2" width="13.07421875" style="1" customWidth="1"/>
    <col min="3" max="3" width="6.84375" style="1" bestFit="1" customWidth="1"/>
    <col min="4" max="4" width="10.69140625" style="1" bestFit="1" customWidth="1"/>
    <col min="5" max="5" width="35.07421875" style="1" bestFit="1" customWidth="1"/>
    <col min="6" max="6" width="19.4609375" style="1" bestFit="1" customWidth="1"/>
    <col min="7" max="7" width="16" style="1" customWidth="1"/>
    <col min="8" max="8" width="13" style="1" bestFit="1" customWidth="1"/>
    <col min="9" max="9" width="32" style="1" customWidth="1"/>
    <col min="10" max="10" width="81.3046875" style="1" bestFit="1" customWidth="1"/>
    <col min="11" max="11" width="31.3046875" style="1" customWidth="1"/>
    <col min="12" max="12" width="11.07421875"/>
    <col min="13" max="13" width="8.3046875" style="1" bestFit="1" customWidth="1"/>
    <col min="14" max="14" width="37.53515625" style="1" customWidth="1"/>
    <col min="15" max="16384" width="11.4609375" style="1"/>
  </cols>
  <sheetData>
    <row r="1" spans="1:15" ht="12.45" x14ac:dyDescent="0.25">
      <c r="A1" s="6" t="s">
        <v>0</v>
      </c>
      <c r="B1" s="6" t="s">
        <v>679</v>
      </c>
      <c r="C1" s="6" t="s">
        <v>680</v>
      </c>
      <c r="D1" s="6" t="s">
        <v>700</v>
      </c>
      <c r="E1" s="7" t="s">
        <v>696</v>
      </c>
      <c r="F1" s="6" t="s">
        <v>695</v>
      </c>
      <c r="G1" s="6" t="s">
        <v>694</v>
      </c>
      <c r="H1" s="6" t="s">
        <v>681</v>
      </c>
      <c r="I1" s="6" t="s">
        <v>395</v>
      </c>
      <c r="J1" s="6" t="s">
        <v>682</v>
      </c>
      <c r="K1" s="36" t="s">
        <v>683</v>
      </c>
      <c r="L1" s="6" t="s">
        <v>699</v>
      </c>
      <c r="M1" s="6" t="s">
        <v>684</v>
      </c>
      <c r="N1" s="7" t="s">
        <v>659</v>
      </c>
      <c r="O1" s="6" t="s">
        <v>888</v>
      </c>
    </row>
    <row r="2" spans="1:15" ht="11.6" x14ac:dyDescent="0.3">
      <c r="A2" s="12">
        <v>1</v>
      </c>
      <c r="B2" s="12" t="s">
        <v>583</v>
      </c>
      <c r="C2" s="12" t="s">
        <v>2</v>
      </c>
      <c r="D2" s="40" t="s">
        <v>702</v>
      </c>
      <c r="E2" s="12" t="s">
        <v>27</v>
      </c>
      <c r="F2" s="13">
        <v>43286.293055555558</v>
      </c>
      <c r="G2" s="13">
        <v>43286.415277777778</v>
      </c>
      <c r="H2" s="12">
        <v>176</v>
      </c>
      <c r="I2" s="12" t="s">
        <v>584</v>
      </c>
      <c r="J2" s="12" t="s">
        <v>1296</v>
      </c>
      <c r="K2" s="12" t="s">
        <v>665</v>
      </c>
      <c r="L2" s="90" t="s">
        <v>719</v>
      </c>
      <c r="M2" s="12" t="s">
        <v>678</v>
      </c>
      <c r="N2" s="12"/>
      <c r="O2" s="14" t="str">
        <f>IF(AND(C2=$B$47,H2&lt;=$D$47),"ISLA",IF((AND(C2=$B$48,H2&lt;=$D$48)),"ISLA",IF((AND(C2=$B$49,H2&lt;=$D$49)),"ISLA","OSLA")))</f>
        <v>OSLA</v>
      </c>
    </row>
    <row r="3" spans="1:15" ht="11.6" x14ac:dyDescent="0.25">
      <c r="A3" s="12">
        <v>2</v>
      </c>
      <c r="B3" s="11" t="s">
        <v>585</v>
      </c>
      <c r="C3" s="11" t="s">
        <v>2</v>
      </c>
      <c r="D3" s="40" t="s">
        <v>702</v>
      </c>
      <c r="E3" s="11" t="s">
        <v>150</v>
      </c>
      <c r="F3" s="20">
        <v>43286.375</v>
      </c>
      <c r="G3" s="20">
        <v>43286.826388888891</v>
      </c>
      <c r="H3" s="11">
        <v>650</v>
      </c>
      <c r="I3" s="11" t="s">
        <v>586</v>
      </c>
      <c r="J3" s="11" t="s">
        <v>587</v>
      </c>
      <c r="K3" s="11" t="s">
        <v>588</v>
      </c>
      <c r="L3" s="37" t="s">
        <v>704</v>
      </c>
      <c r="M3" s="11" t="s">
        <v>678</v>
      </c>
      <c r="N3" s="11"/>
      <c r="O3" s="14" t="str">
        <f t="shared" ref="O3:O16" si="0">IF(AND(C3=$B$47,H3&lt;=$D$47),"ISLA",IF((AND(C3=$B$48,H3&lt;=$D$48)),"ISLA",IF((AND(C3=$B$49,H3&lt;=$D$49)),"ISLA","OSLA")))</f>
        <v>OSLA</v>
      </c>
    </row>
    <row r="4" spans="1:15" ht="11.6" x14ac:dyDescent="0.25">
      <c r="A4" s="12">
        <v>3</v>
      </c>
      <c r="B4" s="11" t="s">
        <v>589</v>
      </c>
      <c r="C4" s="11" t="s">
        <v>2</v>
      </c>
      <c r="D4" s="40" t="s">
        <v>702</v>
      </c>
      <c r="E4" s="11" t="s">
        <v>590</v>
      </c>
      <c r="F4" s="20">
        <v>43289.03125</v>
      </c>
      <c r="G4" s="20">
        <v>43289.048611111109</v>
      </c>
      <c r="H4" s="11">
        <v>25</v>
      </c>
      <c r="I4" s="11" t="s">
        <v>591</v>
      </c>
      <c r="J4" s="11" t="s">
        <v>592</v>
      </c>
      <c r="K4" s="11" t="s">
        <v>141</v>
      </c>
      <c r="L4" s="37" t="s">
        <v>704</v>
      </c>
      <c r="M4" s="11" t="s">
        <v>678</v>
      </c>
      <c r="N4" s="11"/>
      <c r="O4" s="14" t="str">
        <f t="shared" si="0"/>
        <v>ISLA</v>
      </c>
    </row>
    <row r="5" spans="1:15" ht="12" x14ac:dyDescent="0.35">
      <c r="A5" s="12">
        <v>4</v>
      </c>
      <c r="B5" s="11" t="s">
        <v>593</v>
      </c>
      <c r="C5" s="11" t="s">
        <v>2</v>
      </c>
      <c r="D5" s="41" t="s">
        <v>701</v>
      </c>
      <c r="E5" s="11" t="s">
        <v>594</v>
      </c>
      <c r="F5" s="20">
        <v>43289.551388888889</v>
      </c>
      <c r="G5" s="20">
        <v>43289.563194444447</v>
      </c>
      <c r="H5" s="11">
        <f>(G5-F5)*1440</f>
        <v>17.000000003026798</v>
      </c>
      <c r="I5" s="12" t="s">
        <v>313</v>
      </c>
      <c r="J5" s="11" t="s">
        <v>803</v>
      </c>
      <c r="K5" s="11" t="s">
        <v>88</v>
      </c>
      <c r="L5" s="91" t="s">
        <v>701</v>
      </c>
      <c r="M5" s="11" t="s">
        <v>678</v>
      </c>
      <c r="N5" s="11"/>
      <c r="O5" s="14" t="str">
        <f t="shared" si="0"/>
        <v>ISLA</v>
      </c>
    </row>
    <row r="6" spans="1:15" ht="12" x14ac:dyDescent="0.35">
      <c r="A6" s="12">
        <v>5</v>
      </c>
      <c r="B6" s="12" t="s">
        <v>582</v>
      </c>
      <c r="C6" s="12" t="s">
        <v>2</v>
      </c>
      <c r="D6" s="41" t="s">
        <v>701</v>
      </c>
      <c r="E6" s="12" t="s">
        <v>581</v>
      </c>
      <c r="F6" s="20">
        <v>43290.417361111111</v>
      </c>
      <c r="G6" s="20">
        <v>43290.461805555555</v>
      </c>
      <c r="H6" s="8">
        <v>64</v>
      </c>
      <c r="I6" s="12" t="s">
        <v>313</v>
      </c>
      <c r="J6" s="12" t="s">
        <v>19</v>
      </c>
      <c r="K6" s="12" t="s">
        <v>209</v>
      </c>
      <c r="L6" s="91" t="s">
        <v>701</v>
      </c>
      <c r="M6" s="11" t="s">
        <v>678</v>
      </c>
      <c r="N6" s="11"/>
      <c r="O6" s="14" t="str">
        <f t="shared" si="0"/>
        <v>ISLA</v>
      </c>
    </row>
    <row r="7" spans="1:15" ht="11.6" x14ac:dyDescent="0.3">
      <c r="A7" s="12">
        <v>6</v>
      </c>
      <c r="B7" s="12" t="s">
        <v>595</v>
      </c>
      <c r="C7" s="12" t="s">
        <v>158</v>
      </c>
      <c r="D7" s="42" t="s">
        <v>717</v>
      </c>
      <c r="E7" s="12" t="s">
        <v>596</v>
      </c>
      <c r="F7" s="13">
        <v>43291.323611111111</v>
      </c>
      <c r="G7" s="13">
        <v>43291.708333333336</v>
      </c>
      <c r="H7" s="9">
        <v>554</v>
      </c>
      <c r="I7" s="12" t="s">
        <v>597</v>
      </c>
      <c r="J7" s="12" t="s">
        <v>663</v>
      </c>
      <c r="K7" s="12" t="s">
        <v>664</v>
      </c>
      <c r="L7" s="90" t="s">
        <v>717</v>
      </c>
      <c r="M7" s="12" t="s">
        <v>678</v>
      </c>
      <c r="N7" s="12"/>
      <c r="O7" s="14" t="str">
        <f t="shared" si="0"/>
        <v>ISLA</v>
      </c>
    </row>
    <row r="8" spans="1:15" ht="12" x14ac:dyDescent="0.35">
      <c r="A8" s="12">
        <v>7</v>
      </c>
      <c r="B8" s="12" t="s">
        <v>598</v>
      </c>
      <c r="C8" s="12" t="s">
        <v>2</v>
      </c>
      <c r="D8" s="41" t="s">
        <v>701</v>
      </c>
      <c r="E8" s="12" t="s">
        <v>581</v>
      </c>
      <c r="F8" s="20">
        <v>43293.472916666666</v>
      </c>
      <c r="G8" s="20">
        <v>43293.62777777778</v>
      </c>
      <c r="H8" s="8">
        <v>223</v>
      </c>
      <c r="I8" s="12" t="s">
        <v>313</v>
      </c>
      <c r="J8" s="12" t="s">
        <v>19</v>
      </c>
      <c r="K8" s="12" t="s">
        <v>209</v>
      </c>
      <c r="L8" s="91" t="s">
        <v>701</v>
      </c>
      <c r="M8" s="11" t="s">
        <v>678</v>
      </c>
      <c r="N8" s="11"/>
      <c r="O8" s="14" t="str">
        <f t="shared" si="0"/>
        <v>OSLA</v>
      </c>
    </row>
    <row r="9" spans="1:15" ht="11.6" x14ac:dyDescent="0.25">
      <c r="A9" s="12">
        <v>8</v>
      </c>
      <c r="B9" s="12" t="s">
        <v>599</v>
      </c>
      <c r="C9" s="12" t="s">
        <v>2</v>
      </c>
      <c r="D9" s="42" t="s">
        <v>718</v>
      </c>
      <c r="E9" s="12" t="s">
        <v>600</v>
      </c>
      <c r="F9" s="13">
        <v>43295.201388888891</v>
      </c>
      <c r="G9" s="13">
        <v>43295.215277777781</v>
      </c>
      <c r="H9" s="10">
        <v>20</v>
      </c>
      <c r="I9" s="12" t="s">
        <v>601</v>
      </c>
      <c r="J9" s="12" t="s">
        <v>602</v>
      </c>
      <c r="K9" s="12" t="s">
        <v>105</v>
      </c>
      <c r="L9" s="37" t="s">
        <v>704</v>
      </c>
      <c r="M9" s="12" t="s">
        <v>678</v>
      </c>
      <c r="N9" s="12"/>
      <c r="O9" s="14" t="str">
        <f t="shared" si="0"/>
        <v>ISLA</v>
      </c>
    </row>
    <row r="10" spans="1:15" ht="12" x14ac:dyDescent="0.35">
      <c r="A10" s="12">
        <v>9</v>
      </c>
      <c r="B10" s="12" t="s">
        <v>603</v>
      </c>
      <c r="C10" s="11" t="s">
        <v>2</v>
      </c>
      <c r="D10" s="41" t="s">
        <v>701</v>
      </c>
      <c r="E10" s="12" t="s">
        <v>581</v>
      </c>
      <c r="F10" s="20">
        <v>43300.370833333334</v>
      </c>
      <c r="G10" s="20">
        <v>43300.405555555553</v>
      </c>
      <c r="H10" s="12">
        <v>50</v>
      </c>
      <c r="I10" s="11" t="s">
        <v>313</v>
      </c>
      <c r="J10" s="12" t="s">
        <v>19</v>
      </c>
      <c r="K10" s="11" t="s">
        <v>209</v>
      </c>
      <c r="L10" s="91" t="s">
        <v>701</v>
      </c>
      <c r="M10" s="11" t="s">
        <v>678</v>
      </c>
      <c r="N10" s="11"/>
      <c r="O10" s="14" t="str">
        <f t="shared" si="0"/>
        <v>ISLA</v>
      </c>
    </row>
    <row r="11" spans="1:15" ht="12" x14ac:dyDescent="0.35">
      <c r="A11" s="12">
        <v>10</v>
      </c>
      <c r="B11" s="12" t="s">
        <v>604</v>
      </c>
      <c r="C11" s="11" t="s">
        <v>2</v>
      </c>
      <c r="D11" s="41" t="s">
        <v>702</v>
      </c>
      <c r="E11" s="11" t="s">
        <v>605</v>
      </c>
      <c r="F11" s="20">
        <v>43302.463194444441</v>
      </c>
      <c r="G11" s="20">
        <v>43302.572916666664</v>
      </c>
      <c r="H11" s="12">
        <v>158.00000000162981</v>
      </c>
      <c r="I11" s="11" t="s">
        <v>606</v>
      </c>
      <c r="J11" s="11" t="s">
        <v>607</v>
      </c>
      <c r="K11" s="11" t="s">
        <v>608</v>
      </c>
      <c r="L11" s="91" t="s">
        <v>703</v>
      </c>
      <c r="M11" s="11" t="s">
        <v>678</v>
      </c>
      <c r="N11" s="11"/>
      <c r="O11" s="14" t="str">
        <f t="shared" si="0"/>
        <v>OSLA</v>
      </c>
    </row>
    <row r="12" spans="1:15" ht="12" x14ac:dyDescent="0.35">
      <c r="A12" s="12">
        <v>11</v>
      </c>
      <c r="B12" s="12" t="s">
        <v>598</v>
      </c>
      <c r="C12" s="11" t="s">
        <v>2</v>
      </c>
      <c r="D12" s="41" t="s">
        <v>701</v>
      </c>
      <c r="E12" s="12" t="s">
        <v>581</v>
      </c>
      <c r="F12" s="20">
        <v>43303.734027777777</v>
      </c>
      <c r="G12" s="20">
        <v>43303.773611111108</v>
      </c>
      <c r="H12" s="12">
        <v>56.999999997206032</v>
      </c>
      <c r="I12" s="11" t="s">
        <v>313</v>
      </c>
      <c r="J12" s="12" t="s">
        <v>19</v>
      </c>
      <c r="K12" s="11" t="s">
        <v>209</v>
      </c>
      <c r="L12" s="91" t="s">
        <v>701</v>
      </c>
      <c r="M12" s="11" t="s">
        <v>678</v>
      </c>
      <c r="N12" s="11"/>
      <c r="O12" s="14" t="str">
        <f t="shared" si="0"/>
        <v>ISLA</v>
      </c>
    </row>
    <row r="13" spans="1:15" ht="12" x14ac:dyDescent="0.35">
      <c r="A13" s="12">
        <v>12</v>
      </c>
      <c r="B13" s="43" t="s">
        <v>598</v>
      </c>
      <c r="C13" s="11" t="s">
        <v>2</v>
      </c>
      <c r="D13" s="41" t="s">
        <v>701</v>
      </c>
      <c r="E13" s="12" t="s">
        <v>581</v>
      </c>
      <c r="F13" s="13">
        <v>43303.734027777777</v>
      </c>
      <c r="G13" s="13">
        <v>43303.773611111108</v>
      </c>
      <c r="H13" s="12">
        <v>57</v>
      </c>
      <c r="I13" s="12" t="s">
        <v>313</v>
      </c>
      <c r="J13" s="12" t="s">
        <v>19</v>
      </c>
      <c r="K13" s="12" t="s">
        <v>209</v>
      </c>
      <c r="L13" s="91" t="s">
        <v>701</v>
      </c>
      <c r="M13" s="11" t="s">
        <v>678</v>
      </c>
      <c r="N13" s="11"/>
      <c r="O13" s="14" t="str">
        <f t="shared" si="0"/>
        <v>ISLA</v>
      </c>
    </row>
    <row r="14" spans="1:15" ht="12" x14ac:dyDescent="0.35">
      <c r="A14" s="12">
        <v>13</v>
      </c>
      <c r="B14" s="43" t="s">
        <v>609</v>
      </c>
      <c r="C14" s="11" t="s">
        <v>2</v>
      </c>
      <c r="D14" s="41" t="s">
        <v>702</v>
      </c>
      <c r="E14" s="12" t="s">
        <v>610</v>
      </c>
      <c r="F14" s="13">
        <v>43305.444444444445</v>
      </c>
      <c r="G14" s="13">
        <v>43305.477777777778</v>
      </c>
      <c r="H14" s="12">
        <v>48</v>
      </c>
      <c r="I14" s="12" t="s">
        <v>611</v>
      </c>
      <c r="J14" s="12" t="s">
        <v>612</v>
      </c>
      <c r="K14" s="12" t="s">
        <v>613</v>
      </c>
      <c r="L14" s="91" t="s">
        <v>701</v>
      </c>
      <c r="M14" s="11" t="s">
        <v>678</v>
      </c>
      <c r="N14" s="11"/>
      <c r="O14" s="14" t="str">
        <f t="shared" si="0"/>
        <v>ISLA</v>
      </c>
    </row>
    <row r="15" spans="1:15" ht="12" x14ac:dyDescent="0.35">
      <c r="A15" s="12">
        <v>14</v>
      </c>
      <c r="B15" s="43" t="s">
        <v>614</v>
      </c>
      <c r="C15" s="11" t="s">
        <v>2</v>
      </c>
      <c r="D15" s="41" t="s">
        <v>702</v>
      </c>
      <c r="E15" s="12" t="s">
        <v>57</v>
      </c>
      <c r="F15" s="13">
        <v>43305.581250000003</v>
      </c>
      <c r="G15" s="13">
        <v>43305.661111111112</v>
      </c>
      <c r="H15" s="12">
        <v>115</v>
      </c>
      <c r="I15" s="12" t="s">
        <v>615</v>
      </c>
      <c r="J15" s="11" t="s">
        <v>616</v>
      </c>
      <c r="K15" s="11" t="s">
        <v>441</v>
      </c>
      <c r="L15" s="91" t="s">
        <v>57</v>
      </c>
      <c r="M15" s="11" t="s">
        <v>678</v>
      </c>
      <c r="N15" s="11"/>
      <c r="O15" s="14" t="str">
        <f t="shared" si="0"/>
        <v>ISLA</v>
      </c>
    </row>
    <row r="16" spans="1:15" ht="11.6" x14ac:dyDescent="0.25">
      <c r="A16" s="12">
        <v>15</v>
      </c>
      <c r="B16" s="43" t="s">
        <v>617</v>
      </c>
      <c r="C16" s="11" t="s">
        <v>2</v>
      </c>
      <c r="D16" s="41" t="s">
        <v>702</v>
      </c>
      <c r="E16" s="12" t="s">
        <v>618</v>
      </c>
      <c r="F16" s="13">
        <v>43305.912499999999</v>
      </c>
      <c r="G16" s="13">
        <v>43305.959722222222</v>
      </c>
      <c r="H16" s="12">
        <v>68</v>
      </c>
      <c r="I16" s="12" t="s">
        <v>619</v>
      </c>
      <c r="J16" s="12" t="s">
        <v>677</v>
      </c>
      <c r="K16" s="11" t="s">
        <v>105</v>
      </c>
      <c r="L16" s="37" t="s">
        <v>704</v>
      </c>
      <c r="M16" s="11" t="s">
        <v>678</v>
      </c>
      <c r="N16" s="11"/>
      <c r="O16" s="14" t="str">
        <f t="shared" si="0"/>
        <v>ISLA</v>
      </c>
    </row>
    <row r="17" spans="1:15" ht="11.6" x14ac:dyDescent="0.25">
      <c r="A17" s="12">
        <v>16</v>
      </c>
      <c r="B17" s="43" t="s">
        <v>620</v>
      </c>
      <c r="C17" s="11" t="s">
        <v>2</v>
      </c>
      <c r="D17" s="41" t="s">
        <v>702</v>
      </c>
      <c r="E17" s="12" t="s">
        <v>618</v>
      </c>
      <c r="F17" s="13">
        <v>43309.847916666666</v>
      </c>
      <c r="G17" s="13">
        <v>43409.779583333337</v>
      </c>
      <c r="H17" s="80">
        <f>(G17-F17)*1440</f>
        <v>143901.60000000615</v>
      </c>
      <c r="I17" s="12" t="s">
        <v>619</v>
      </c>
      <c r="J17" s="12" t="s">
        <v>1297</v>
      </c>
      <c r="K17" s="11" t="s">
        <v>1298</v>
      </c>
      <c r="L17" s="37" t="s">
        <v>704</v>
      </c>
      <c r="M17" s="11" t="s">
        <v>678</v>
      </c>
      <c r="N17" s="11" t="s">
        <v>791</v>
      </c>
      <c r="O17" s="14" t="str">
        <f>IF(AND(C17=$B$47,H17&lt;=$D$47),"ISLA",IF((AND(C17=$B$48,H17&lt;=$D$48)),"ISLA",IF((AND(C17=$B$49,H17&lt;=$D$49)),"ISLA","OSLA")))</f>
        <v>OSLA</v>
      </c>
    </row>
    <row r="47" spans="2:4" x14ac:dyDescent="0.4">
      <c r="B47" s="73" t="s">
        <v>2</v>
      </c>
      <c r="C47" s="73" t="s">
        <v>776</v>
      </c>
      <c r="D47" s="73">
        <v>120</v>
      </c>
    </row>
    <row r="48" spans="2:4" x14ac:dyDescent="0.4">
      <c r="B48" s="73" t="s">
        <v>14</v>
      </c>
      <c r="C48" s="73" t="s">
        <v>777</v>
      </c>
      <c r="D48" s="73">
        <v>240</v>
      </c>
    </row>
    <row r="49" spans="2:4" x14ac:dyDescent="0.4">
      <c r="B49" s="73" t="s">
        <v>158</v>
      </c>
      <c r="C49" s="73" t="s">
        <v>778</v>
      </c>
      <c r="D49" s="73">
        <f>1440*2</f>
        <v>2880</v>
      </c>
    </row>
    <row r="50" spans="2:4" x14ac:dyDescent="0.4">
      <c r="B50" s="73" t="s">
        <v>757</v>
      </c>
      <c r="C50" s="73" t="s">
        <v>779</v>
      </c>
      <c r="D50" s="73">
        <f>3*1440</f>
        <v>4320</v>
      </c>
    </row>
  </sheetData>
  <autoFilter ref="A1:O17" xr:uid="{00000000-0009-0000-0000-00000A000000}"/>
  <dataValidations disablePrompts="1" count="1">
    <dataValidation type="list" allowBlank="1" showInputMessage="1" showErrorMessage="1" promptTitle="Priorité" prompt="La Priorité de l'Incident" sqref="C5:D5 D6 D8 D10 D12:D13" xr:uid="{00000000-0002-0000-0A00-000000000000}">
      <formula1>prio</formula1>
    </dataValidation>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8">
    <tabColor rgb="FFFFFF00"/>
  </sheetPr>
  <dimension ref="A1:O50"/>
  <sheetViews>
    <sheetView workbookViewId="0">
      <pane xSplit="7" topLeftCell="AJ1" activePane="topRight" state="frozen"/>
      <selection pane="topRight" activeCell="AM2" sqref="AM2"/>
    </sheetView>
  </sheetViews>
  <sheetFormatPr baseColWidth="10" defaultRowHeight="14.6" x14ac:dyDescent="0.4"/>
  <cols>
    <col min="1" max="1" width="5" customWidth="1"/>
    <col min="2" max="2" width="9.84375" bestFit="1" customWidth="1"/>
    <col min="3" max="3" width="9.4609375" bestFit="1" customWidth="1"/>
    <col min="4" max="4" width="13" bestFit="1" customWidth="1"/>
    <col min="5" max="5" width="35.07421875" bestFit="1" customWidth="1"/>
    <col min="6" max="6" width="21.69140625" bestFit="1" customWidth="1"/>
    <col min="7" max="7" width="18.3046875" bestFit="1" customWidth="1"/>
    <col min="8" max="8" width="11.69140625" bestFit="1" customWidth="1"/>
    <col min="9" max="9" width="61.69140625" bestFit="1" customWidth="1"/>
    <col min="10" max="10" width="47.07421875" bestFit="1" customWidth="1"/>
    <col min="11" max="11" width="44.84375" bestFit="1" customWidth="1"/>
    <col min="13" max="13" width="10.07421875" bestFit="1" customWidth="1"/>
    <col min="14" max="14" width="48.69140625" bestFit="1" customWidth="1"/>
    <col min="15" max="15" width="10.07421875" bestFit="1" customWidth="1"/>
  </cols>
  <sheetData>
    <row r="1" spans="1:15" x14ac:dyDescent="0.4">
      <c r="A1" s="6" t="s">
        <v>0</v>
      </c>
      <c r="B1" s="6" t="s">
        <v>792</v>
      </c>
      <c r="C1" s="6" t="s">
        <v>793</v>
      </c>
      <c r="D1" s="6" t="s">
        <v>700</v>
      </c>
      <c r="E1" s="7" t="s">
        <v>794</v>
      </c>
      <c r="F1" s="6" t="s">
        <v>795</v>
      </c>
      <c r="G1" s="6" t="s">
        <v>796</v>
      </c>
      <c r="H1" s="6" t="s">
        <v>797</v>
      </c>
      <c r="I1" s="6" t="s">
        <v>395</v>
      </c>
      <c r="J1" s="6" t="s">
        <v>798</v>
      </c>
      <c r="K1" s="36" t="s">
        <v>799</v>
      </c>
      <c r="L1" s="7" t="s">
        <v>699</v>
      </c>
      <c r="M1" s="6" t="s">
        <v>775</v>
      </c>
      <c r="N1" s="7" t="s">
        <v>659</v>
      </c>
      <c r="O1" s="6" t="s">
        <v>888</v>
      </c>
    </row>
    <row r="2" spans="1:15" x14ac:dyDescent="0.4">
      <c r="A2" s="37">
        <v>1</v>
      </c>
      <c r="B2" s="12" t="s">
        <v>800</v>
      </c>
      <c r="C2" s="37" t="s">
        <v>2</v>
      </c>
      <c r="D2" s="10" t="s">
        <v>701</v>
      </c>
      <c r="E2" s="12" t="s">
        <v>801</v>
      </c>
      <c r="F2" s="13">
        <v>43313.445833333331</v>
      </c>
      <c r="G2" s="13">
        <v>43313.890277777777</v>
      </c>
      <c r="H2" s="37">
        <v>340</v>
      </c>
      <c r="I2" s="12" t="s">
        <v>802</v>
      </c>
      <c r="J2" s="12" t="s">
        <v>1299</v>
      </c>
      <c r="K2" s="11" t="s">
        <v>1300</v>
      </c>
      <c r="L2" s="38" t="s">
        <v>701</v>
      </c>
      <c r="M2" s="37" t="s">
        <v>678</v>
      </c>
      <c r="N2" s="12"/>
      <c r="O2" s="14" t="str">
        <f>IF(AND(C2=$B$47,H2&lt;=$D$47),"ISLA",IF((AND(C2=$B$48,H2&lt;=$D$48)),"ISLA",IF((AND(C2=$B$49,H2&lt;=$D$49)),"ISLA","OSLA")))</f>
        <v>OSLA</v>
      </c>
    </row>
    <row r="3" spans="1:15" x14ac:dyDescent="0.4">
      <c r="A3" s="37">
        <v>2</v>
      </c>
      <c r="B3" s="11" t="s">
        <v>804</v>
      </c>
      <c r="C3" s="76" t="s">
        <v>2</v>
      </c>
      <c r="D3" s="10" t="s">
        <v>701</v>
      </c>
      <c r="E3" s="11" t="s">
        <v>581</v>
      </c>
      <c r="F3" s="20">
        <v>43313.614583333336</v>
      </c>
      <c r="G3" s="20">
        <v>43313.667361111111</v>
      </c>
      <c r="H3" s="76">
        <v>76</v>
      </c>
      <c r="I3" s="11" t="s">
        <v>802</v>
      </c>
      <c r="J3" s="11" t="s">
        <v>19</v>
      </c>
      <c r="K3" s="11" t="s">
        <v>209</v>
      </c>
      <c r="L3" s="38" t="s">
        <v>701</v>
      </c>
      <c r="M3" s="37" t="s">
        <v>678</v>
      </c>
      <c r="N3" s="11"/>
      <c r="O3" s="14" t="str">
        <f t="shared" ref="O3:O23" si="0">IF(AND(C3=$B$47,H3&lt;=$D$47),"ISLA",IF((AND(C3=$B$48,H3&lt;=$D$48)),"ISLA",IF((AND(C3=$B$49,H3&lt;=$D$49)),"ISLA","OSLA")))</f>
        <v>ISLA</v>
      </c>
    </row>
    <row r="4" spans="1:15" x14ac:dyDescent="0.4">
      <c r="A4" s="37">
        <v>3</v>
      </c>
      <c r="B4" s="11" t="s">
        <v>805</v>
      </c>
      <c r="C4" s="76" t="s">
        <v>2</v>
      </c>
      <c r="D4" s="10" t="s">
        <v>701</v>
      </c>
      <c r="E4" s="11" t="s">
        <v>581</v>
      </c>
      <c r="F4" s="20">
        <v>43319.727777777778</v>
      </c>
      <c r="G4" s="20">
        <v>43319.874305555553</v>
      </c>
      <c r="H4" s="76">
        <v>211</v>
      </c>
      <c r="I4" s="11" t="s">
        <v>802</v>
      </c>
      <c r="J4" s="11" t="s">
        <v>19</v>
      </c>
      <c r="K4" s="11" t="s">
        <v>209</v>
      </c>
      <c r="L4" s="38" t="s">
        <v>701</v>
      </c>
      <c r="M4" s="37" t="s">
        <v>678</v>
      </c>
      <c r="N4" s="11"/>
      <c r="O4" s="14" t="str">
        <f t="shared" si="0"/>
        <v>OSLA</v>
      </c>
    </row>
    <row r="5" spans="1:15" x14ac:dyDescent="0.4">
      <c r="A5" s="37">
        <v>4</v>
      </c>
      <c r="B5" s="11" t="s">
        <v>806</v>
      </c>
      <c r="C5" s="76" t="s">
        <v>2</v>
      </c>
      <c r="D5" s="10" t="s">
        <v>701</v>
      </c>
      <c r="E5" s="11" t="s">
        <v>801</v>
      </c>
      <c r="F5" s="20">
        <v>43321.333333333336</v>
      </c>
      <c r="G5" s="20">
        <v>43321.704861111109</v>
      </c>
      <c r="H5" s="76" t="s">
        <v>807</v>
      </c>
      <c r="I5" s="11" t="s">
        <v>802</v>
      </c>
      <c r="J5" s="11" t="s">
        <v>1301</v>
      </c>
      <c r="K5" s="11" t="s">
        <v>1302</v>
      </c>
      <c r="L5" s="38" t="s">
        <v>701</v>
      </c>
      <c r="M5" s="37" t="s">
        <v>678</v>
      </c>
      <c r="N5" s="11"/>
      <c r="O5" s="14" t="str">
        <f t="shared" si="0"/>
        <v>OSLA</v>
      </c>
    </row>
    <row r="6" spans="1:15" x14ac:dyDescent="0.4">
      <c r="A6" s="37">
        <v>5</v>
      </c>
      <c r="B6" s="12" t="s">
        <v>808</v>
      </c>
      <c r="C6" s="37" t="s">
        <v>14</v>
      </c>
      <c r="D6" s="10" t="s">
        <v>702</v>
      </c>
      <c r="E6" s="12" t="s">
        <v>57</v>
      </c>
      <c r="F6" s="20">
        <v>43321.81527777778</v>
      </c>
      <c r="G6" s="20">
        <v>43323.722222222219</v>
      </c>
      <c r="H6" s="77">
        <v>2745.9999999927823</v>
      </c>
      <c r="I6" s="12" t="s">
        <v>809</v>
      </c>
      <c r="J6" s="12" t="s">
        <v>810</v>
      </c>
      <c r="K6" s="12" t="s">
        <v>811</v>
      </c>
      <c r="L6" s="38" t="s">
        <v>707</v>
      </c>
      <c r="M6" s="37" t="s">
        <v>678</v>
      </c>
      <c r="N6" s="11" t="s">
        <v>812</v>
      </c>
      <c r="O6" s="14" t="str">
        <f t="shared" si="0"/>
        <v>OSLA</v>
      </c>
    </row>
    <row r="7" spans="1:15" x14ac:dyDescent="0.4">
      <c r="A7" s="37">
        <v>6</v>
      </c>
      <c r="B7" s="12" t="s">
        <v>813</v>
      </c>
      <c r="C7" s="37" t="s">
        <v>2</v>
      </c>
      <c r="D7" s="10" t="s">
        <v>701</v>
      </c>
      <c r="E7" s="12" t="s">
        <v>581</v>
      </c>
      <c r="F7" s="13">
        <v>43325.480555555558</v>
      </c>
      <c r="G7" s="13">
        <v>43325.511111111111</v>
      </c>
      <c r="H7" s="78">
        <v>44</v>
      </c>
      <c r="I7" s="12" t="s">
        <v>802</v>
      </c>
      <c r="J7" s="12" t="s">
        <v>19</v>
      </c>
      <c r="K7" s="12" t="s">
        <v>209</v>
      </c>
      <c r="L7" s="38" t="s">
        <v>701</v>
      </c>
      <c r="M7" s="37" t="s">
        <v>678</v>
      </c>
      <c r="N7" s="12"/>
      <c r="O7" s="14" t="str">
        <f t="shared" si="0"/>
        <v>ISLA</v>
      </c>
    </row>
    <row r="8" spans="1:15" x14ac:dyDescent="0.4">
      <c r="A8" s="37">
        <v>7</v>
      </c>
      <c r="B8" s="12" t="s">
        <v>814</v>
      </c>
      <c r="C8" s="37" t="s">
        <v>14</v>
      </c>
      <c r="D8" s="10" t="s">
        <v>702</v>
      </c>
      <c r="E8" s="12" t="s">
        <v>150</v>
      </c>
      <c r="F8" s="20">
        <v>43325.920138888891</v>
      </c>
      <c r="G8" s="20">
        <v>43327</v>
      </c>
      <c r="H8" s="77">
        <v>1555</v>
      </c>
      <c r="I8" s="12" t="s">
        <v>815</v>
      </c>
      <c r="J8" s="12" t="s">
        <v>816</v>
      </c>
      <c r="K8" s="12" t="s">
        <v>817</v>
      </c>
      <c r="L8" s="38" t="s">
        <v>704</v>
      </c>
      <c r="M8" s="37" t="s">
        <v>678</v>
      </c>
      <c r="N8" s="11" t="s">
        <v>812</v>
      </c>
      <c r="O8" s="14" t="str">
        <f t="shared" si="0"/>
        <v>OSLA</v>
      </c>
    </row>
    <row r="9" spans="1:15" x14ac:dyDescent="0.4">
      <c r="A9" s="37">
        <v>8</v>
      </c>
      <c r="B9" s="12" t="s">
        <v>813</v>
      </c>
      <c r="C9" s="37" t="s">
        <v>2</v>
      </c>
      <c r="D9" s="10" t="s">
        <v>701</v>
      </c>
      <c r="E9" s="12" t="s">
        <v>581</v>
      </c>
      <c r="F9" s="13">
        <v>43327.517361111109</v>
      </c>
      <c r="G9" s="13">
        <v>43327.566666666666</v>
      </c>
      <c r="H9" s="38">
        <v>71</v>
      </c>
      <c r="I9" s="12" t="s">
        <v>802</v>
      </c>
      <c r="J9" s="12" t="s">
        <v>19</v>
      </c>
      <c r="K9" s="12" t="s">
        <v>209</v>
      </c>
      <c r="L9" s="38" t="s">
        <v>701</v>
      </c>
      <c r="M9" s="37" t="s">
        <v>678</v>
      </c>
      <c r="N9" s="12"/>
      <c r="O9" s="14" t="str">
        <f t="shared" si="0"/>
        <v>ISLA</v>
      </c>
    </row>
    <row r="10" spans="1:15" ht="20.6" x14ac:dyDescent="0.4">
      <c r="A10" s="37">
        <v>9</v>
      </c>
      <c r="B10" s="12" t="s">
        <v>818</v>
      </c>
      <c r="C10" s="76" t="s">
        <v>2</v>
      </c>
      <c r="D10" s="10" t="s">
        <v>702</v>
      </c>
      <c r="E10" s="11" t="s">
        <v>27</v>
      </c>
      <c r="F10" s="20">
        <v>43327.972222222219</v>
      </c>
      <c r="G10" s="20">
        <v>43328.248611111114</v>
      </c>
      <c r="H10" s="37">
        <v>398</v>
      </c>
      <c r="I10" s="11" t="s">
        <v>819</v>
      </c>
      <c r="J10" s="8" t="s">
        <v>843</v>
      </c>
      <c r="K10" s="11" t="s">
        <v>820</v>
      </c>
      <c r="L10" s="38" t="s">
        <v>719</v>
      </c>
      <c r="M10" s="37" t="s">
        <v>678</v>
      </c>
      <c r="N10" s="11" t="s">
        <v>821</v>
      </c>
      <c r="O10" s="14" t="str">
        <f t="shared" si="0"/>
        <v>OSLA</v>
      </c>
    </row>
    <row r="11" spans="1:15" x14ac:dyDescent="0.4">
      <c r="A11" s="37">
        <v>10</v>
      </c>
      <c r="B11" s="12" t="s">
        <v>822</v>
      </c>
      <c r="C11" s="76" t="s">
        <v>2</v>
      </c>
      <c r="D11" s="10" t="s">
        <v>701</v>
      </c>
      <c r="E11" s="11" t="s">
        <v>75</v>
      </c>
      <c r="F11" s="20">
        <v>43328.371527777781</v>
      </c>
      <c r="G11" s="20">
        <v>43328.396527777775</v>
      </c>
      <c r="H11" s="37">
        <v>36</v>
      </c>
      <c r="I11" s="11" t="s">
        <v>823</v>
      </c>
      <c r="J11" s="11" t="s">
        <v>20</v>
      </c>
      <c r="K11" s="11" t="s">
        <v>820</v>
      </c>
      <c r="L11" s="38" t="s">
        <v>701</v>
      </c>
      <c r="M11" s="37" t="s">
        <v>678</v>
      </c>
      <c r="N11" s="11"/>
      <c r="O11" s="14" t="str">
        <f t="shared" si="0"/>
        <v>ISLA</v>
      </c>
    </row>
    <row r="12" spans="1:15" x14ac:dyDescent="0.4">
      <c r="A12" s="37">
        <v>11</v>
      </c>
      <c r="B12" s="12" t="s">
        <v>824</v>
      </c>
      <c r="C12" s="76" t="s">
        <v>2</v>
      </c>
      <c r="D12" s="10" t="s">
        <v>701</v>
      </c>
      <c r="E12" s="11" t="s">
        <v>581</v>
      </c>
      <c r="F12" s="20">
        <v>43329.419444444444</v>
      </c>
      <c r="G12" s="20">
        <v>43329.661805555559</v>
      </c>
      <c r="H12" s="37">
        <v>349.0000000060536</v>
      </c>
      <c r="I12" s="11" t="s">
        <v>802</v>
      </c>
      <c r="J12" s="11" t="s">
        <v>19</v>
      </c>
      <c r="K12" s="11" t="s">
        <v>88</v>
      </c>
      <c r="L12" s="38" t="s">
        <v>701</v>
      </c>
      <c r="M12" s="37" t="s">
        <v>678</v>
      </c>
      <c r="N12" s="11"/>
      <c r="O12" s="14" t="str">
        <f t="shared" si="0"/>
        <v>OSLA</v>
      </c>
    </row>
    <row r="13" spans="1:15" x14ac:dyDescent="0.4">
      <c r="A13" s="37">
        <v>12</v>
      </c>
      <c r="B13" s="43" t="s">
        <v>825</v>
      </c>
      <c r="C13" s="76" t="s">
        <v>2</v>
      </c>
      <c r="D13" s="10" t="s">
        <v>702</v>
      </c>
      <c r="E13" s="12" t="s">
        <v>299</v>
      </c>
      <c r="F13" s="13">
        <v>43330.504861111112</v>
      </c>
      <c r="G13" s="13">
        <v>43330.563194444447</v>
      </c>
      <c r="H13" s="37">
        <v>84.000000001396984</v>
      </c>
      <c r="I13" s="12" t="s">
        <v>826</v>
      </c>
      <c r="J13" s="12" t="s">
        <v>827</v>
      </c>
      <c r="K13" s="12" t="s">
        <v>828</v>
      </c>
      <c r="L13" s="38" t="s">
        <v>703</v>
      </c>
      <c r="M13" s="37" t="s">
        <v>678</v>
      </c>
      <c r="N13" s="11"/>
      <c r="O13" s="14" t="str">
        <f t="shared" si="0"/>
        <v>ISLA</v>
      </c>
    </row>
    <row r="14" spans="1:15" ht="20.6" x14ac:dyDescent="0.4">
      <c r="A14" s="37">
        <v>13</v>
      </c>
      <c r="B14" s="43" t="s">
        <v>829</v>
      </c>
      <c r="C14" s="76" t="s">
        <v>2</v>
      </c>
      <c r="D14" s="41" t="s">
        <v>845</v>
      </c>
      <c r="E14" s="12" t="s">
        <v>830</v>
      </c>
      <c r="F14" s="72">
        <v>43332.529166666667</v>
      </c>
      <c r="G14" s="72">
        <v>43343.999988425923</v>
      </c>
      <c r="H14" s="79">
        <f>(G14-F14)*1440</f>
        <v>16517.983333328739</v>
      </c>
      <c r="I14" s="12" t="s">
        <v>831</v>
      </c>
      <c r="J14" s="12" t="s">
        <v>568</v>
      </c>
      <c r="K14" s="12" t="s">
        <v>568</v>
      </c>
      <c r="L14" s="38" t="s">
        <v>704</v>
      </c>
      <c r="M14" s="37" t="s">
        <v>678</v>
      </c>
      <c r="N14" s="8" t="s">
        <v>844</v>
      </c>
      <c r="O14" s="14" t="str">
        <f t="shared" si="0"/>
        <v>OSLA</v>
      </c>
    </row>
    <row r="15" spans="1:15" x14ac:dyDescent="0.4">
      <c r="A15" s="37">
        <v>14</v>
      </c>
      <c r="B15" s="43" t="s">
        <v>832</v>
      </c>
      <c r="C15" s="76" t="s">
        <v>2</v>
      </c>
      <c r="D15" s="10" t="s">
        <v>702</v>
      </c>
      <c r="E15" s="10" t="s">
        <v>101</v>
      </c>
      <c r="F15" s="13">
        <v>43332.570833333331</v>
      </c>
      <c r="G15" s="13">
        <v>43332.601388888892</v>
      </c>
      <c r="H15" s="37">
        <v>44</v>
      </c>
      <c r="I15" s="12" t="s">
        <v>833</v>
      </c>
      <c r="J15" s="11" t="s">
        <v>834</v>
      </c>
      <c r="K15" s="11" t="s">
        <v>219</v>
      </c>
      <c r="L15" s="38" t="s">
        <v>703</v>
      </c>
      <c r="M15" s="37" t="s">
        <v>678</v>
      </c>
      <c r="N15" s="11"/>
      <c r="O15" s="14" t="str">
        <f t="shared" si="0"/>
        <v>ISLA</v>
      </c>
    </row>
    <row r="16" spans="1:15" x14ac:dyDescent="0.4">
      <c r="A16" s="37">
        <v>15</v>
      </c>
      <c r="B16" s="43" t="s">
        <v>835</v>
      </c>
      <c r="C16" s="76" t="s">
        <v>2</v>
      </c>
      <c r="D16" s="10" t="s">
        <v>701</v>
      </c>
      <c r="E16" s="12" t="s">
        <v>581</v>
      </c>
      <c r="F16" s="13">
        <v>43332.69027777778</v>
      </c>
      <c r="G16" s="13">
        <v>43332.728472222225</v>
      </c>
      <c r="H16" s="37">
        <v>55</v>
      </c>
      <c r="I16" s="12" t="s">
        <v>802</v>
      </c>
      <c r="J16" s="12" t="s">
        <v>19</v>
      </c>
      <c r="K16" s="11" t="s">
        <v>88</v>
      </c>
      <c r="L16" s="38" t="s">
        <v>701</v>
      </c>
      <c r="M16" s="37" t="s">
        <v>678</v>
      </c>
      <c r="N16" s="11"/>
      <c r="O16" s="14" t="str">
        <f t="shared" si="0"/>
        <v>ISLA</v>
      </c>
    </row>
    <row r="17" spans="1:15" x14ac:dyDescent="0.4">
      <c r="A17" s="37">
        <v>16</v>
      </c>
      <c r="B17" s="43" t="s">
        <v>836</v>
      </c>
      <c r="C17" s="76" t="s">
        <v>14</v>
      </c>
      <c r="D17" s="10" t="s">
        <v>701</v>
      </c>
      <c r="E17" s="12" t="s">
        <v>581</v>
      </c>
      <c r="F17" s="13">
        <v>43334.292361111111</v>
      </c>
      <c r="G17" s="13">
        <v>43334.331944444442</v>
      </c>
      <c r="H17" s="37">
        <v>57</v>
      </c>
      <c r="I17" s="12" t="s">
        <v>313</v>
      </c>
      <c r="J17" s="12" t="s">
        <v>19</v>
      </c>
      <c r="K17" s="11" t="s">
        <v>88</v>
      </c>
      <c r="L17" s="38" t="s">
        <v>701</v>
      </c>
      <c r="M17" s="37" t="s">
        <v>678</v>
      </c>
      <c r="N17" s="11"/>
      <c r="O17" s="14" t="str">
        <f t="shared" si="0"/>
        <v>ISLA</v>
      </c>
    </row>
    <row r="18" spans="1:15" x14ac:dyDescent="0.4">
      <c r="A18" s="37">
        <v>17</v>
      </c>
      <c r="B18" s="43" t="s">
        <v>837</v>
      </c>
      <c r="C18" s="76" t="s">
        <v>2</v>
      </c>
      <c r="D18" s="10" t="s">
        <v>701</v>
      </c>
      <c r="E18" s="12" t="s">
        <v>581</v>
      </c>
      <c r="F18" s="13">
        <v>43335.549305555556</v>
      </c>
      <c r="G18" s="13">
        <v>43335.59375</v>
      </c>
      <c r="H18" s="37">
        <v>64</v>
      </c>
      <c r="I18" s="12" t="s">
        <v>313</v>
      </c>
      <c r="J18" s="12" t="s">
        <v>19</v>
      </c>
      <c r="K18" s="11" t="s">
        <v>88</v>
      </c>
      <c r="L18" s="38" t="s">
        <v>701</v>
      </c>
      <c r="M18" s="37" t="s">
        <v>678</v>
      </c>
      <c r="N18" s="11"/>
      <c r="O18" s="14" t="str">
        <f t="shared" si="0"/>
        <v>ISLA</v>
      </c>
    </row>
    <row r="19" spans="1:15" x14ac:dyDescent="0.4">
      <c r="A19" s="37">
        <v>18</v>
      </c>
      <c r="B19" s="12" t="s">
        <v>838</v>
      </c>
      <c r="C19" s="37" t="s">
        <v>2</v>
      </c>
      <c r="D19" s="10" t="s">
        <v>701</v>
      </c>
      <c r="E19" s="12" t="s">
        <v>581</v>
      </c>
      <c r="F19" s="13">
        <v>43335.946527777778</v>
      </c>
      <c r="G19" s="13">
        <v>43335.984722222223</v>
      </c>
      <c r="H19" s="37">
        <v>55</v>
      </c>
      <c r="I19" s="12" t="s">
        <v>313</v>
      </c>
      <c r="J19" s="12" t="s">
        <v>19</v>
      </c>
      <c r="K19" s="12" t="s">
        <v>88</v>
      </c>
      <c r="L19" s="38" t="s">
        <v>701</v>
      </c>
      <c r="M19" s="37" t="s">
        <v>678</v>
      </c>
      <c r="N19" s="12"/>
      <c r="O19" s="14" t="str">
        <f t="shared" si="0"/>
        <v>ISLA</v>
      </c>
    </row>
    <row r="20" spans="1:15" x14ac:dyDescent="0.4">
      <c r="A20" s="37">
        <v>19</v>
      </c>
      <c r="B20" s="11" t="s">
        <v>835</v>
      </c>
      <c r="C20" s="76" t="s">
        <v>2</v>
      </c>
      <c r="D20" s="40" t="s">
        <v>846</v>
      </c>
      <c r="E20" s="11" t="s">
        <v>1303</v>
      </c>
      <c r="F20" s="20">
        <v>43341.333333333336</v>
      </c>
      <c r="G20" s="20">
        <v>43342.35833333333</v>
      </c>
      <c r="H20" s="76">
        <v>1475.9999999916181</v>
      </c>
      <c r="I20" s="11" t="s">
        <v>839</v>
      </c>
      <c r="J20" s="11" t="s">
        <v>840</v>
      </c>
      <c r="K20" s="11" t="s">
        <v>841</v>
      </c>
      <c r="L20" s="38" t="s">
        <v>847</v>
      </c>
      <c r="M20" s="37" t="s">
        <v>678</v>
      </c>
      <c r="N20" s="11"/>
      <c r="O20" s="14" t="str">
        <f t="shared" si="0"/>
        <v>OSLA</v>
      </c>
    </row>
    <row r="21" spans="1:15" x14ac:dyDescent="0.4">
      <c r="A21" s="37">
        <v>20</v>
      </c>
      <c r="B21" s="11" t="s">
        <v>832</v>
      </c>
      <c r="C21" s="76" t="s">
        <v>2</v>
      </c>
      <c r="D21" s="10" t="s">
        <v>701</v>
      </c>
      <c r="E21" s="11" t="s">
        <v>581</v>
      </c>
      <c r="F21" s="20">
        <v>43342.62222222222</v>
      </c>
      <c r="G21" s="20">
        <v>43343.434027777781</v>
      </c>
      <c r="H21" s="76">
        <v>1169.0000000072177</v>
      </c>
      <c r="I21" s="11" t="s">
        <v>802</v>
      </c>
      <c r="J21" s="11" t="s">
        <v>19</v>
      </c>
      <c r="K21" s="11" t="s">
        <v>88</v>
      </c>
      <c r="L21" s="38" t="s">
        <v>701</v>
      </c>
      <c r="M21" s="37" t="s">
        <v>678</v>
      </c>
      <c r="N21" s="11"/>
      <c r="O21" s="14" t="str">
        <f t="shared" si="0"/>
        <v>OSLA</v>
      </c>
    </row>
    <row r="22" spans="1:15" x14ac:dyDescent="0.4">
      <c r="A22" s="37">
        <v>21</v>
      </c>
      <c r="B22" s="11" t="s">
        <v>842</v>
      </c>
      <c r="C22" s="76" t="s">
        <v>2</v>
      </c>
      <c r="D22" s="10" t="s">
        <v>701</v>
      </c>
      <c r="E22" s="11" t="s">
        <v>581</v>
      </c>
      <c r="F22" s="20">
        <v>43343.834722222222</v>
      </c>
      <c r="G22" s="20">
        <v>43343.844444444447</v>
      </c>
      <c r="H22" s="76">
        <v>14.00000000372529</v>
      </c>
      <c r="I22" s="11" t="s">
        <v>313</v>
      </c>
      <c r="J22" s="11" t="s">
        <v>19</v>
      </c>
      <c r="K22" s="11" t="s">
        <v>88</v>
      </c>
      <c r="L22" s="38" t="s">
        <v>701</v>
      </c>
      <c r="M22" s="37" t="s">
        <v>678</v>
      </c>
      <c r="N22" s="11"/>
      <c r="O22" s="14" t="str">
        <f t="shared" si="0"/>
        <v>ISLA</v>
      </c>
    </row>
    <row r="23" spans="1:15" x14ac:dyDescent="0.4">
      <c r="A23" s="37">
        <v>22</v>
      </c>
      <c r="B23" s="12" t="s">
        <v>842</v>
      </c>
      <c r="C23" s="37" t="s">
        <v>2</v>
      </c>
      <c r="D23" s="10" t="s">
        <v>701</v>
      </c>
      <c r="E23" s="12" t="s">
        <v>581</v>
      </c>
      <c r="F23" s="20">
        <v>43343.92083333333</v>
      </c>
      <c r="G23" s="20">
        <v>43343.961805555555</v>
      </c>
      <c r="H23" s="77">
        <v>59.00000000372529</v>
      </c>
      <c r="I23" s="12" t="s">
        <v>802</v>
      </c>
      <c r="J23" s="12" t="s">
        <v>19</v>
      </c>
      <c r="K23" s="12" t="s">
        <v>88</v>
      </c>
      <c r="L23" s="38" t="s">
        <v>701</v>
      </c>
      <c r="M23" s="37" t="s">
        <v>678</v>
      </c>
      <c r="N23" s="11"/>
      <c r="O23" s="14" t="str">
        <f t="shared" si="0"/>
        <v>ISLA</v>
      </c>
    </row>
    <row r="47" spans="2:4" x14ac:dyDescent="0.4">
      <c r="B47" s="73" t="s">
        <v>2</v>
      </c>
      <c r="C47" s="73" t="s">
        <v>776</v>
      </c>
      <c r="D47" s="73">
        <v>120</v>
      </c>
    </row>
    <row r="48" spans="2:4" x14ac:dyDescent="0.4">
      <c r="B48" s="73" t="s">
        <v>14</v>
      </c>
      <c r="C48" s="73" t="s">
        <v>777</v>
      </c>
      <c r="D48" s="73">
        <v>240</v>
      </c>
    </row>
    <row r="49" spans="2:4" x14ac:dyDescent="0.4">
      <c r="B49" s="73" t="s">
        <v>158</v>
      </c>
      <c r="C49" s="73" t="s">
        <v>778</v>
      </c>
      <c r="D49" s="73">
        <f>1440*2</f>
        <v>2880</v>
      </c>
    </row>
    <row r="50" spans="2:4" x14ac:dyDescent="0.4">
      <c r="B50" s="73" t="s">
        <v>757</v>
      </c>
      <c r="C50" s="73" t="s">
        <v>779</v>
      </c>
      <c r="D50" s="73">
        <f>3*1440</f>
        <v>4320</v>
      </c>
    </row>
  </sheetData>
  <autoFilter ref="A1:O23" xr:uid="{00000000-0009-0000-0000-00000B000000}"/>
  <conditionalFormatting sqref="F22:H23">
    <cfRule type="cellIs" dxfId="75" priority="2" operator="equal">
      <formula>"NOK"</formula>
    </cfRule>
  </conditionalFormatting>
  <conditionalFormatting sqref="G14">
    <cfRule type="cellIs" dxfId="74" priority="1" operator="equal">
      <formula>"NOK"</formula>
    </cfRule>
  </conditionalFormatting>
  <dataValidations count="1">
    <dataValidation type="list" allowBlank="1" showInputMessage="1" showErrorMessage="1" promptTitle="Priorité" prompt="La Priorité de l'Incident" sqref="C5" xr:uid="{00000000-0002-0000-0B00-000000000000}">
      <formula1>prio</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tabColor theme="1" tint="4.9989318521683403E-2"/>
  </sheetPr>
  <dimension ref="A1:O50"/>
  <sheetViews>
    <sheetView workbookViewId="0">
      <selection activeCell="E21" sqref="E21"/>
    </sheetView>
  </sheetViews>
  <sheetFormatPr baseColWidth="10" defaultRowHeight="14.6" x14ac:dyDescent="0.4"/>
  <cols>
    <col min="1" max="1" width="6.53515625" customWidth="1"/>
    <col min="4" max="4" width="9.07421875" bestFit="1" customWidth="1"/>
    <col min="5" max="5" width="41" customWidth="1"/>
    <col min="6" max="6" width="26.07421875" customWidth="1"/>
    <col min="7" max="7" width="22.3046875" customWidth="1"/>
    <col min="8" max="8" width="11.4609375" customWidth="1"/>
    <col min="9" max="9" width="60.4609375" customWidth="1"/>
    <col min="10" max="10" width="76.4609375" bestFit="1" customWidth="1"/>
    <col min="11" max="11" width="78" customWidth="1"/>
    <col min="12" max="12" width="11.4609375" customWidth="1"/>
    <col min="13" max="13" width="8.3046875" customWidth="1"/>
  </cols>
  <sheetData>
    <row r="1" spans="1:15" x14ac:dyDescent="0.4">
      <c r="A1" s="6" t="s">
        <v>0</v>
      </c>
      <c r="B1" s="6" t="s">
        <v>792</v>
      </c>
      <c r="C1" s="6" t="s">
        <v>793</v>
      </c>
      <c r="D1" s="7" t="s">
        <v>700</v>
      </c>
      <c r="E1" s="7" t="s">
        <v>897</v>
      </c>
      <c r="F1" s="6" t="s">
        <v>795</v>
      </c>
      <c r="G1" s="6" t="s">
        <v>796</v>
      </c>
      <c r="H1" s="6" t="s">
        <v>797</v>
      </c>
      <c r="I1" s="7" t="s">
        <v>898</v>
      </c>
      <c r="J1" s="6" t="s">
        <v>798</v>
      </c>
      <c r="K1" s="6" t="s">
        <v>799</v>
      </c>
      <c r="L1" s="7" t="s">
        <v>699</v>
      </c>
      <c r="M1" s="6" t="s">
        <v>684</v>
      </c>
      <c r="N1" s="7" t="s">
        <v>659</v>
      </c>
      <c r="O1" s="6" t="s">
        <v>888</v>
      </c>
    </row>
    <row r="2" spans="1:15" x14ac:dyDescent="0.4">
      <c r="A2" s="76">
        <v>1</v>
      </c>
      <c r="B2" s="12" t="s">
        <v>850</v>
      </c>
      <c r="C2" s="37" t="s">
        <v>2</v>
      </c>
      <c r="D2" s="37" t="s">
        <v>701</v>
      </c>
      <c r="E2" s="12" t="s">
        <v>581</v>
      </c>
      <c r="F2" s="83">
        <v>43344.157638888886</v>
      </c>
      <c r="G2" s="83">
        <v>43344.194444444445</v>
      </c>
      <c r="H2" s="84">
        <v>53.000000005122274</v>
      </c>
      <c r="I2" s="12" t="s">
        <v>802</v>
      </c>
      <c r="J2" s="12" t="s">
        <v>19</v>
      </c>
      <c r="K2" s="12" t="s">
        <v>88</v>
      </c>
      <c r="L2" s="37" t="s">
        <v>701</v>
      </c>
      <c r="M2" s="37" t="s">
        <v>678</v>
      </c>
      <c r="N2" s="48"/>
      <c r="O2" s="38" t="str">
        <f>IF(AND(C2=$B$47,H2&lt;=$D$47),"ISLA",IF((AND(C2=$B$48,H2&lt;=$D$48)),"ISLA",IF((AND(C2=$B$49,H2&lt;=$D$49)),"ISLA","OSLA")))</f>
        <v>ISLA</v>
      </c>
    </row>
    <row r="3" spans="1:15" x14ac:dyDescent="0.4">
      <c r="A3" s="76">
        <v>2</v>
      </c>
      <c r="B3" s="12" t="s">
        <v>851</v>
      </c>
      <c r="C3" s="37" t="s">
        <v>2</v>
      </c>
      <c r="D3" s="10" t="s">
        <v>702</v>
      </c>
      <c r="E3" s="12" t="s">
        <v>81</v>
      </c>
      <c r="F3" s="83">
        <v>43345.40625</v>
      </c>
      <c r="G3" s="83">
        <v>43347.586805555555</v>
      </c>
      <c r="H3" s="84">
        <v>3140</v>
      </c>
      <c r="I3" s="12" t="s">
        <v>1233</v>
      </c>
      <c r="J3" s="12" t="s">
        <v>852</v>
      </c>
      <c r="K3" s="12" t="s">
        <v>853</v>
      </c>
      <c r="L3" s="37" t="s">
        <v>704</v>
      </c>
      <c r="M3" s="37" t="s">
        <v>678</v>
      </c>
      <c r="N3" s="48"/>
      <c r="O3" s="38" t="str">
        <f t="shared" ref="O3:O16" si="0">IF(AND(C3=$B$47,H3&lt;=$D$47),"ISLA",IF((AND(C3=$B$48,H3&lt;=$D$48)),"ISLA",IF((AND(C3=$B$49,H3&lt;=$D$49)),"ISLA","OSLA")))</f>
        <v>OSLA</v>
      </c>
    </row>
    <row r="4" spans="1:15" x14ac:dyDescent="0.4">
      <c r="A4" s="76">
        <v>3</v>
      </c>
      <c r="B4" s="12" t="s">
        <v>854</v>
      </c>
      <c r="C4" s="37" t="s">
        <v>2</v>
      </c>
      <c r="D4" s="37" t="s">
        <v>701</v>
      </c>
      <c r="E4" s="12" t="s">
        <v>855</v>
      </c>
      <c r="F4" s="83">
        <v>43349.043055555558</v>
      </c>
      <c r="G4" s="83">
        <v>43349.074999999997</v>
      </c>
      <c r="H4" s="84">
        <v>45.99999999278225</v>
      </c>
      <c r="I4" s="12" t="s">
        <v>896</v>
      </c>
      <c r="J4" s="12" t="s">
        <v>856</v>
      </c>
      <c r="K4" s="12" t="s">
        <v>857</v>
      </c>
      <c r="L4" s="37" t="s">
        <v>701</v>
      </c>
      <c r="M4" s="37" t="s">
        <v>678</v>
      </c>
      <c r="N4" s="48"/>
      <c r="O4" s="38" t="str">
        <f t="shared" si="0"/>
        <v>ISLA</v>
      </c>
    </row>
    <row r="5" spans="1:15" x14ac:dyDescent="0.4">
      <c r="A5" s="76">
        <v>4</v>
      </c>
      <c r="B5" s="12" t="s">
        <v>858</v>
      </c>
      <c r="C5" s="37" t="s">
        <v>2</v>
      </c>
      <c r="D5" s="37" t="s">
        <v>701</v>
      </c>
      <c r="E5" s="12" t="s">
        <v>859</v>
      </c>
      <c r="F5" s="83">
        <v>43353.25</v>
      </c>
      <c r="G5" s="83">
        <v>43353.270138888889</v>
      </c>
      <c r="H5" s="84">
        <v>29</v>
      </c>
      <c r="I5" s="12" t="s">
        <v>860</v>
      </c>
      <c r="J5" s="12" t="s">
        <v>20</v>
      </c>
      <c r="K5" s="12" t="s">
        <v>105</v>
      </c>
      <c r="L5" s="37" t="s">
        <v>701</v>
      </c>
      <c r="M5" s="37" t="s">
        <v>678</v>
      </c>
      <c r="N5" s="48"/>
      <c r="O5" s="38" t="str">
        <f t="shared" si="0"/>
        <v>ISLA</v>
      </c>
    </row>
    <row r="6" spans="1:15" x14ac:dyDescent="0.4">
      <c r="A6" s="76">
        <v>5</v>
      </c>
      <c r="B6" s="12" t="s">
        <v>861</v>
      </c>
      <c r="C6" s="37" t="s">
        <v>2</v>
      </c>
      <c r="D6" s="37" t="s">
        <v>701</v>
      </c>
      <c r="E6" s="12" t="s">
        <v>522</v>
      </c>
      <c r="F6" s="83">
        <v>43353.428472222222</v>
      </c>
      <c r="G6" s="83">
        <v>43353.446527777778</v>
      </c>
      <c r="H6" s="84">
        <v>26</v>
      </c>
      <c r="I6" s="12" t="s">
        <v>557</v>
      </c>
      <c r="J6" s="12" t="s">
        <v>20</v>
      </c>
      <c r="K6" s="12" t="s">
        <v>105</v>
      </c>
      <c r="L6" s="37" t="s">
        <v>701</v>
      </c>
      <c r="M6" s="37" t="s">
        <v>678</v>
      </c>
      <c r="N6" s="48"/>
      <c r="O6" s="38" t="str">
        <f t="shared" si="0"/>
        <v>ISLA</v>
      </c>
    </row>
    <row r="7" spans="1:15" x14ac:dyDescent="0.4">
      <c r="A7" s="76">
        <v>6</v>
      </c>
      <c r="B7" s="12" t="s">
        <v>862</v>
      </c>
      <c r="C7" s="37" t="s">
        <v>2</v>
      </c>
      <c r="D7" s="10" t="s">
        <v>702</v>
      </c>
      <c r="E7" s="12" t="s">
        <v>605</v>
      </c>
      <c r="F7" s="83">
        <v>43354.51666666667</v>
      </c>
      <c r="G7" s="83">
        <v>43355.427777777775</v>
      </c>
      <c r="H7" s="84">
        <v>1312</v>
      </c>
      <c r="I7" s="12" t="s">
        <v>863</v>
      </c>
      <c r="J7" s="12" t="s">
        <v>864</v>
      </c>
      <c r="K7" s="12" t="s">
        <v>95</v>
      </c>
      <c r="L7" s="37" t="s">
        <v>889</v>
      </c>
      <c r="M7" s="37" t="s">
        <v>678</v>
      </c>
      <c r="N7" s="48"/>
      <c r="O7" s="38" t="str">
        <f t="shared" si="0"/>
        <v>OSLA</v>
      </c>
    </row>
    <row r="8" spans="1:15" x14ac:dyDescent="0.4">
      <c r="A8" s="76">
        <v>7</v>
      </c>
      <c r="B8" s="12" t="s">
        <v>865</v>
      </c>
      <c r="C8" s="37" t="s">
        <v>2</v>
      </c>
      <c r="D8" s="37" t="s">
        <v>701</v>
      </c>
      <c r="E8" s="12" t="s">
        <v>522</v>
      </c>
      <c r="F8" s="83">
        <v>43355.93472222222</v>
      </c>
      <c r="G8" s="83">
        <v>43355.955555555556</v>
      </c>
      <c r="H8" s="84">
        <v>30</v>
      </c>
      <c r="I8" s="12" t="s">
        <v>557</v>
      </c>
      <c r="J8" s="12" t="s">
        <v>890</v>
      </c>
      <c r="K8" s="12" t="s">
        <v>891</v>
      </c>
      <c r="L8" s="37" t="s">
        <v>701</v>
      </c>
      <c r="M8" s="37" t="s">
        <v>678</v>
      </c>
      <c r="N8" s="48"/>
      <c r="O8" s="38" t="str">
        <f t="shared" si="0"/>
        <v>ISLA</v>
      </c>
    </row>
    <row r="9" spans="1:15" x14ac:dyDescent="0.4">
      <c r="A9" s="76">
        <v>8</v>
      </c>
      <c r="B9" s="12" t="s">
        <v>866</v>
      </c>
      <c r="C9" s="37" t="s">
        <v>14</v>
      </c>
      <c r="D9" s="10" t="s">
        <v>702</v>
      </c>
      <c r="E9" s="12" t="s">
        <v>867</v>
      </c>
      <c r="F9" s="83">
        <v>43356.503472222219</v>
      </c>
      <c r="G9" s="83">
        <v>43356.524305555555</v>
      </c>
      <c r="H9" s="84">
        <v>30</v>
      </c>
      <c r="I9" s="12" t="s">
        <v>868</v>
      </c>
      <c r="J9" s="12" t="s">
        <v>869</v>
      </c>
      <c r="K9" s="12" t="s">
        <v>870</v>
      </c>
      <c r="L9" s="37" t="s">
        <v>713</v>
      </c>
      <c r="M9" s="37" t="s">
        <v>678</v>
      </c>
      <c r="N9" s="48"/>
      <c r="O9" s="38" t="str">
        <f t="shared" si="0"/>
        <v>ISLA</v>
      </c>
    </row>
    <row r="10" spans="1:15" x14ac:dyDescent="0.4">
      <c r="A10" s="76">
        <v>9</v>
      </c>
      <c r="B10" s="12" t="s">
        <v>871</v>
      </c>
      <c r="C10" s="37" t="s">
        <v>2</v>
      </c>
      <c r="D10" s="10" t="s">
        <v>702</v>
      </c>
      <c r="E10" s="12" t="s">
        <v>150</v>
      </c>
      <c r="F10" s="83">
        <v>43357.418749999997</v>
      </c>
      <c r="G10" s="83">
        <v>43357.422222222223</v>
      </c>
      <c r="H10" s="84">
        <v>5</v>
      </c>
      <c r="I10" s="12" t="s">
        <v>872</v>
      </c>
      <c r="J10" s="12" t="s">
        <v>873</v>
      </c>
      <c r="K10" s="12" t="s">
        <v>356</v>
      </c>
      <c r="L10" s="37" t="s">
        <v>704</v>
      </c>
      <c r="M10" s="37" t="s">
        <v>678</v>
      </c>
      <c r="N10" s="48"/>
      <c r="O10" s="38" t="str">
        <f t="shared" si="0"/>
        <v>ISLA</v>
      </c>
    </row>
    <row r="11" spans="1:15" x14ac:dyDescent="0.4">
      <c r="A11" s="76">
        <v>10</v>
      </c>
      <c r="B11" s="12" t="s">
        <v>874</v>
      </c>
      <c r="C11" s="37" t="s">
        <v>14</v>
      </c>
      <c r="D11" s="10" t="s">
        <v>702</v>
      </c>
      <c r="E11" s="12" t="s">
        <v>875</v>
      </c>
      <c r="F11" s="83">
        <v>43328.470833333333</v>
      </c>
      <c r="G11" s="83">
        <v>43328.6875</v>
      </c>
      <c r="H11" s="84">
        <v>312.00000000069849</v>
      </c>
      <c r="I11" s="12" t="s">
        <v>826</v>
      </c>
      <c r="J11" s="12" t="s">
        <v>892</v>
      </c>
      <c r="K11" s="12" t="s">
        <v>893</v>
      </c>
      <c r="L11" s="37" t="s">
        <v>703</v>
      </c>
      <c r="M11" s="37" t="s">
        <v>678</v>
      </c>
      <c r="N11" s="48"/>
      <c r="O11" s="38" t="str">
        <f t="shared" si="0"/>
        <v>OSLA</v>
      </c>
    </row>
    <row r="12" spans="1:15" x14ac:dyDescent="0.4">
      <c r="A12" s="76">
        <v>11</v>
      </c>
      <c r="B12" s="12" t="s">
        <v>876</v>
      </c>
      <c r="C12" s="37" t="s">
        <v>14</v>
      </c>
      <c r="D12" s="37" t="s">
        <v>701</v>
      </c>
      <c r="E12" s="12" t="s">
        <v>894</v>
      </c>
      <c r="F12" s="83">
        <v>43359.332638888889</v>
      </c>
      <c r="G12" s="83">
        <v>43359.357638888891</v>
      </c>
      <c r="H12" s="84">
        <v>36.000000002095476</v>
      </c>
      <c r="I12" s="12" t="s">
        <v>877</v>
      </c>
      <c r="J12" s="12" t="s">
        <v>20</v>
      </c>
      <c r="K12" s="12" t="s">
        <v>105</v>
      </c>
      <c r="L12" s="37" t="s">
        <v>701</v>
      </c>
      <c r="M12" s="37" t="s">
        <v>678</v>
      </c>
      <c r="N12" s="48"/>
      <c r="O12" s="38" t="str">
        <f t="shared" si="0"/>
        <v>ISLA</v>
      </c>
    </row>
    <row r="13" spans="1:15" x14ac:dyDescent="0.4">
      <c r="A13" s="76">
        <v>12</v>
      </c>
      <c r="B13" s="12" t="s">
        <v>878</v>
      </c>
      <c r="C13" s="37" t="s">
        <v>2</v>
      </c>
      <c r="D13" s="37" t="s">
        <v>701</v>
      </c>
      <c r="E13" s="12" t="s">
        <v>581</v>
      </c>
      <c r="F13" s="83">
        <v>43360.884027777778</v>
      </c>
      <c r="G13" s="83">
        <v>43360.929861111108</v>
      </c>
      <c r="H13" s="84">
        <v>66</v>
      </c>
      <c r="I13" s="12" t="s">
        <v>313</v>
      </c>
      <c r="J13" s="12" t="s">
        <v>19</v>
      </c>
      <c r="K13" s="12" t="s">
        <v>209</v>
      </c>
      <c r="L13" s="37" t="s">
        <v>701</v>
      </c>
      <c r="M13" s="37" t="s">
        <v>678</v>
      </c>
      <c r="N13" s="48"/>
      <c r="O13" s="38" t="str">
        <f t="shared" si="0"/>
        <v>ISLA</v>
      </c>
    </row>
    <row r="14" spans="1:15" x14ac:dyDescent="0.4">
      <c r="A14" s="76">
        <v>13</v>
      </c>
      <c r="B14" s="12" t="s">
        <v>880</v>
      </c>
      <c r="C14" s="37" t="s">
        <v>2</v>
      </c>
      <c r="D14" s="37" t="s">
        <v>701</v>
      </c>
      <c r="E14" s="12" t="s">
        <v>881</v>
      </c>
      <c r="F14" s="83">
        <v>43365.369444444441</v>
      </c>
      <c r="G14" s="83">
        <v>43365.413194444445</v>
      </c>
      <c r="H14" s="84">
        <v>63</v>
      </c>
      <c r="I14" s="12" t="s">
        <v>895</v>
      </c>
      <c r="J14" s="12" t="s">
        <v>1305</v>
      </c>
      <c r="K14" s="12" t="s">
        <v>1304</v>
      </c>
      <c r="L14" s="37" t="s">
        <v>701</v>
      </c>
      <c r="M14" s="37" t="s">
        <v>678</v>
      </c>
      <c r="N14" s="48"/>
      <c r="O14" s="38" t="str">
        <f t="shared" si="0"/>
        <v>ISLA</v>
      </c>
    </row>
    <row r="15" spans="1:15" x14ac:dyDescent="0.4">
      <c r="A15" s="76">
        <v>14</v>
      </c>
      <c r="B15" s="12" t="s">
        <v>882</v>
      </c>
      <c r="C15" s="37" t="s">
        <v>2</v>
      </c>
      <c r="D15" s="10" t="s">
        <v>702</v>
      </c>
      <c r="E15" s="12" t="s">
        <v>883</v>
      </c>
      <c r="F15" s="83">
        <v>43367.041666666664</v>
      </c>
      <c r="G15" s="83">
        <v>43367.265972222223</v>
      </c>
      <c r="H15" s="84">
        <v>323</v>
      </c>
      <c r="I15" s="12" t="s">
        <v>884</v>
      </c>
      <c r="J15" s="12" t="s">
        <v>885</v>
      </c>
      <c r="K15" s="12" t="s">
        <v>886</v>
      </c>
      <c r="L15" s="37" t="s">
        <v>707</v>
      </c>
      <c r="M15" s="37" t="s">
        <v>678</v>
      </c>
      <c r="N15" s="48"/>
      <c r="O15" s="38" t="str">
        <f t="shared" si="0"/>
        <v>OSLA</v>
      </c>
    </row>
    <row r="16" spans="1:15" x14ac:dyDescent="0.4">
      <c r="A16" s="76">
        <v>15</v>
      </c>
      <c r="B16" s="12" t="s">
        <v>887</v>
      </c>
      <c r="C16" s="37" t="s">
        <v>2</v>
      </c>
      <c r="D16" s="10" t="s">
        <v>702</v>
      </c>
      <c r="E16" s="12" t="s">
        <v>150</v>
      </c>
      <c r="F16" s="83">
        <v>43371.899305555555</v>
      </c>
      <c r="G16" s="83">
        <v>43371.913194444445</v>
      </c>
      <c r="H16" s="84">
        <v>20.000000002328306</v>
      </c>
      <c r="I16" s="12" t="s">
        <v>872</v>
      </c>
      <c r="J16" s="12" t="s">
        <v>20</v>
      </c>
      <c r="K16" s="12" t="s">
        <v>105</v>
      </c>
      <c r="L16" s="37" t="s">
        <v>704</v>
      </c>
      <c r="M16" s="37" t="s">
        <v>678</v>
      </c>
      <c r="N16" s="48"/>
      <c r="O16" s="38" t="str">
        <f t="shared" si="0"/>
        <v>ISLA</v>
      </c>
    </row>
    <row r="47" spans="2:4" x14ac:dyDescent="0.4">
      <c r="B47" s="73" t="s">
        <v>2</v>
      </c>
      <c r="C47" s="73" t="s">
        <v>776</v>
      </c>
      <c r="D47" s="73">
        <v>120</v>
      </c>
    </row>
    <row r="48" spans="2:4" x14ac:dyDescent="0.4">
      <c r="B48" s="73" t="s">
        <v>14</v>
      </c>
      <c r="C48" s="73" t="s">
        <v>777</v>
      </c>
      <c r="D48" s="73">
        <v>240</v>
      </c>
    </row>
    <row r="49" spans="2:4" x14ac:dyDescent="0.4">
      <c r="B49" s="73" t="s">
        <v>158</v>
      </c>
      <c r="C49" s="73" t="s">
        <v>778</v>
      </c>
      <c r="D49" s="73">
        <f>1440*2</f>
        <v>2880</v>
      </c>
    </row>
    <row r="50" spans="2:4" x14ac:dyDescent="0.4">
      <c r="B50" s="73" t="s">
        <v>757</v>
      </c>
      <c r="C50" s="73" t="s">
        <v>779</v>
      </c>
      <c r="D50" s="73">
        <f>3*1440</f>
        <v>4320</v>
      </c>
    </row>
  </sheetData>
  <autoFilter ref="A1:O16" xr:uid="{00000000-0009-0000-0000-00000C000000}"/>
  <conditionalFormatting sqref="F2:H16">
    <cfRule type="cellIs" dxfId="73" priority="29" operator="equal">
      <formula>"NOK"</formula>
    </cfRule>
  </conditionalFormatting>
  <dataValidations count="1">
    <dataValidation type="list" allowBlank="1" showInputMessage="1" showErrorMessage="1" promptTitle="Priorité" prompt="La Priorité de l'Incident" sqref="C11:C12" xr:uid="{00000000-0002-0000-0C00-000000000000}">
      <formula1>prio</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tabColor theme="5" tint="0.59999389629810485"/>
  </sheetPr>
  <dimension ref="A1:O51"/>
  <sheetViews>
    <sheetView workbookViewId="0">
      <selection activeCell="B11" sqref="B11"/>
    </sheetView>
  </sheetViews>
  <sheetFormatPr baseColWidth="10" defaultRowHeight="14.6" x14ac:dyDescent="0.4"/>
  <cols>
    <col min="1" max="1" width="4.84375" customWidth="1"/>
    <col min="2" max="2" width="10.3046875" bestFit="1" customWidth="1"/>
    <col min="3" max="3" width="9.4609375" bestFit="1" customWidth="1"/>
    <col min="4" max="4" width="13" bestFit="1" customWidth="1"/>
    <col min="5" max="5" width="44.4609375" customWidth="1"/>
    <col min="6" max="6" width="21.69140625" bestFit="1" customWidth="1"/>
    <col min="7" max="7" width="18.3046875" bestFit="1" customWidth="1"/>
    <col min="9" max="9" width="41" customWidth="1"/>
    <col min="10" max="10" width="62" customWidth="1"/>
    <col min="11" max="11" width="47.3046875" bestFit="1" customWidth="1"/>
    <col min="12" max="12" width="9.53515625" bestFit="1" customWidth="1"/>
    <col min="13" max="13" width="8.3046875" bestFit="1" customWidth="1"/>
    <col min="14" max="14" width="32" customWidth="1"/>
  </cols>
  <sheetData>
    <row r="1" spans="1:15" x14ac:dyDescent="0.4">
      <c r="A1" s="6" t="s">
        <v>0</v>
      </c>
      <c r="B1" s="6" t="s">
        <v>792</v>
      </c>
      <c r="C1" s="6" t="s">
        <v>793</v>
      </c>
      <c r="D1" s="7" t="s">
        <v>700</v>
      </c>
      <c r="E1" s="7" t="s">
        <v>897</v>
      </c>
      <c r="F1" s="6" t="s">
        <v>795</v>
      </c>
      <c r="G1" s="6" t="s">
        <v>796</v>
      </c>
      <c r="H1" s="6" t="s">
        <v>797</v>
      </c>
      <c r="I1" s="7" t="s">
        <v>898</v>
      </c>
      <c r="J1" s="6" t="s">
        <v>798</v>
      </c>
      <c r="K1" s="6" t="s">
        <v>799</v>
      </c>
      <c r="L1" s="7" t="s">
        <v>699</v>
      </c>
      <c r="M1" s="6" t="s">
        <v>684</v>
      </c>
      <c r="N1" s="7" t="s">
        <v>659</v>
      </c>
      <c r="O1" s="6" t="s">
        <v>888</v>
      </c>
    </row>
    <row r="2" spans="1:15" x14ac:dyDescent="0.4">
      <c r="A2" s="93">
        <v>1</v>
      </c>
      <c r="B2" s="37" t="s">
        <v>899</v>
      </c>
      <c r="C2" s="37" t="s">
        <v>2</v>
      </c>
      <c r="D2" s="37" t="s">
        <v>701</v>
      </c>
      <c r="E2" s="12" t="s">
        <v>581</v>
      </c>
      <c r="F2" s="83">
        <v>43374.93472222222</v>
      </c>
      <c r="G2" s="83">
        <v>43374.974999999999</v>
      </c>
      <c r="H2" s="76">
        <v>58.000000000465661</v>
      </c>
      <c r="I2" s="12" t="s">
        <v>313</v>
      </c>
      <c r="J2" s="12" t="s">
        <v>19</v>
      </c>
      <c r="K2" s="12" t="s">
        <v>88</v>
      </c>
      <c r="L2" s="37" t="s">
        <v>701</v>
      </c>
      <c r="M2" s="37" t="s">
        <v>678</v>
      </c>
      <c r="N2" s="48"/>
      <c r="O2" s="38" t="str">
        <f t="shared" ref="O2:O38" si="0">IF(AND(C2=$B$48,H2&lt;=$D$48),"ISLA",IF((AND(C2=$B$49,H2&lt;=$D$49)),"ISLA",IF((AND(C2=$B$50,H2&lt;=$D$50)),"ISLA","OSLA")))</f>
        <v>ISLA</v>
      </c>
    </row>
    <row r="3" spans="1:15" x14ac:dyDescent="0.4">
      <c r="A3" s="93">
        <v>2</v>
      </c>
      <c r="B3" s="37" t="s">
        <v>900</v>
      </c>
      <c r="C3" s="37" t="s">
        <v>2</v>
      </c>
      <c r="D3" s="37" t="s">
        <v>701</v>
      </c>
      <c r="E3" s="12" t="s">
        <v>581</v>
      </c>
      <c r="F3" s="83">
        <v>43375.423611111109</v>
      </c>
      <c r="G3" s="83">
        <v>43375.457638888889</v>
      </c>
      <c r="H3" s="76">
        <v>49.000000002561137</v>
      </c>
      <c r="I3" s="12" t="s">
        <v>313</v>
      </c>
      <c r="J3" s="12" t="s">
        <v>19</v>
      </c>
      <c r="K3" s="12" t="s">
        <v>88</v>
      </c>
      <c r="L3" s="37" t="s">
        <v>701</v>
      </c>
      <c r="M3" s="37" t="s">
        <v>678</v>
      </c>
      <c r="N3" s="48"/>
      <c r="O3" s="38" t="str">
        <f t="shared" si="0"/>
        <v>ISLA</v>
      </c>
    </row>
    <row r="4" spans="1:15" x14ac:dyDescent="0.4">
      <c r="A4" s="93">
        <v>3</v>
      </c>
      <c r="B4" s="37" t="s">
        <v>899</v>
      </c>
      <c r="C4" s="37" t="s">
        <v>2</v>
      </c>
      <c r="D4" s="37" t="s">
        <v>701</v>
      </c>
      <c r="E4" s="12" t="s">
        <v>581</v>
      </c>
      <c r="F4" s="83">
        <v>43375.893055555556</v>
      </c>
      <c r="G4" s="83">
        <v>43375.938888888886</v>
      </c>
      <c r="H4" s="76">
        <v>65.999999995110556</v>
      </c>
      <c r="I4" s="12" t="s">
        <v>313</v>
      </c>
      <c r="J4" s="12" t="s">
        <v>19</v>
      </c>
      <c r="K4" s="12" t="s">
        <v>88</v>
      </c>
      <c r="L4" s="37" t="s">
        <v>701</v>
      </c>
      <c r="M4" s="37" t="s">
        <v>678</v>
      </c>
      <c r="N4" s="48"/>
      <c r="O4" s="38" t="str">
        <f t="shared" si="0"/>
        <v>ISLA</v>
      </c>
    </row>
    <row r="5" spans="1:15" x14ac:dyDescent="0.4">
      <c r="A5" s="93">
        <v>4</v>
      </c>
      <c r="B5" s="37" t="s">
        <v>901</v>
      </c>
      <c r="C5" s="37" t="s">
        <v>2</v>
      </c>
      <c r="D5" s="37" t="s">
        <v>701</v>
      </c>
      <c r="E5" s="12" t="s">
        <v>581</v>
      </c>
      <c r="F5" s="83">
        <v>43376.17083333333</v>
      </c>
      <c r="G5" s="83">
        <v>43376.268055555556</v>
      </c>
      <c r="H5" s="76">
        <v>140.00000000582077</v>
      </c>
      <c r="I5" s="12" t="s">
        <v>313</v>
      </c>
      <c r="J5" s="12" t="s">
        <v>19</v>
      </c>
      <c r="K5" s="12" t="s">
        <v>88</v>
      </c>
      <c r="L5" s="37" t="s">
        <v>701</v>
      </c>
      <c r="M5" s="37" t="s">
        <v>678</v>
      </c>
      <c r="N5" s="48"/>
      <c r="O5" s="38" t="str">
        <f t="shared" si="0"/>
        <v>OSLA</v>
      </c>
    </row>
    <row r="6" spans="1:15" ht="41.15" x14ac:dyDescent="0.4">
      <c r="A6" s="93">
        <v>5</v>
      </c>
      <c r="B6" s="37" t="s">
        <v>1202</v>
      </c>
      <c r="C6" s="37" t="s">
        <v>2</v>
      </c>
      <c r="D6" s="38" t="s">
        <v>702</v>
      </c>
      <c r="E6" s="9" t="s">
        <v>902</v>
      </c>
      <c r="F6" s="83">
        <v>43376.503472222219</v>
      </c>
      <c r="G6" s="83">
        <v>43376.565972222219</v>
      </c>
      <c r="H6" s="76">
        <v>90</v>
      </c>
      <c r="I6" s="12" t="s">
        <v>903</v>
      </c>
      <c r="J6" s="9" t="s">
        <v>904</v>
      </c>
      <c r="K6" s="12" t="s">
        <v>905</v>
      </c>
      <c r="L6" s="37" t="s">
        <v>703</v>
      </c>
      <c r="M6" s="37" t="s">
        <v>678</v>
      </c>
      <c r="N6" s="48"/>
      <c r="O6" s="38" t="str">
        <f t="shared" si="0"/>
        <v>ISLA</v>
      </c>
    </row>
    <row r="7" spans="1:15" x14ac:dyDescent="0.4">
      <c r="A7" s="93">
        <v>6</v>
      </c>
      <c r="B7" s="37" t="s">
        <v>906</v>
      </c>
      <c r="C7" s="37" t="s">
        <v>2</v>
      </c>
      <c r="D7" s="37" t="s">
        <v>701</v>
      </c>
      <c r="E7" s="12" t="s">
        <v>907</v>
      </c>
      <c r="F7" s="83">
        <v>43377.208333333336</v>
      </c>
      <c r="G7" s="83">
        <v>43377.226388888892</v>
      </c>
      <c r="H7" s="76">
        <v>26.000000000931323</v>
      </c>
      <c r="I7" s="12" t="s">
        <v>860</v>
      </c>
      <c r="J7" s="12" t="s">
        <v>20</v>
      </c>
      <c r="K7" s="12" t="s">
        <v>105</v>
      </c>
      <c r="L7" s="37" t="s">
        <v>701</v>
      </c>
      <c r="M7" s="37" t="s">
        <v>678</v>
      </c>
      <c r="N7" s="48"/>
      <c r="O7" s="38" t="str">
        <f t="shared" si="0"/>
        <v>ISLA</v>
      </c>
    </row>
    <row r="8" spans="1:15" x14ac:dyDescent="0.4">
      <c r="A8" s="93">
        <v>7</v>
      </c>
      <c r="B8" s="37" t="s">
        <v>908</v>
      </c>
      <c r="C8" s="37" t="s">
        <v>2</v>
      </c>
      <c r="D8" s="38" t="s">
        <v>702</v>
      </c>
      <c r="E8" s="12" t="s">
        <v>27</v>
      </c>
      <c r="F8" s="83">
        <v>43377.277777777781</v>
      </c>
      <c r="G8" s="83">
        <v>43377.319444444445</v>
      </c>
      <c r="H8" s="76">
        <v>59.99999999650754</v>
      </c>
      <c r="I8" s="12" t="s">
        <v>909</v>
      </c>
      <c r="J8" s="12" t="s">
        <v>979</v>
      </c>
      <c r="K8" s="12" t="s">
        <v>105</v>
      </c>
      <c r="L8" s="38" t="s">
        <v>719</v>
      </c>
      <c r="M8" s="37" t="s">
        <v>678</v>
      </c>
      <c r="N8" s="48"/>
      <c r="O8" s="38" t="str">
        <f t="shared" si="0"/>
        <v>ISLA</v>
      </c>
    </row>
    <row r="9" spans="1:15" x14ac:dyDescent="0.4">
      <c r="A9" s="93">
        <v>8</v>
      </c>
      <c r="B9" s="37" t="s">
        <v>910</v>
      </c>
      <c r="C9" s="37" t="s">
        <v>2</v>
      </c>
      <c r="D9" s="38" t="s">
        <v>716</v>
      </c>
      <c r="E9" s="12" t="s">
        <v>605</v>
      </c>
      <c r="F9" s="83">
        <v>43378.323611111111</v>
      </c>
      <c r="G9" s="83">
        <v>43378.453472222223</v>
      </c>
      <c r="H9" s="76">
        <v>187.00000000186265</v>
      </c>
      <c r="I9" s="12" t="s">
        <v>911</v>
      </c>
      <c r="J9" s="12" t="s">
        <v>912</v>
      </c>
      <c r="K9" s="12" t="s">
        <v>68</v>
      </c>
      <c r="L9" s="37" t="s">
        <v>716</v>
      </c>
      <c r="M9" s="37" t="s">
        <v>678</v>
      </c>
      <c r="N9" s="48"/>
      <c r="O9" s="38" t="str">
        <f t="shared" si="0"/>
        <v>OSLA</v>
      </c>
    </row>
    <row r="10" spans="1:15" x14ac:dyDescent="0.4">
      <c r="A10" s="93">
        <v>9</v>
      </c>
      <c r="B10" s="37" t="s">
        <v>913</v>
      </c>
      <c r="C10" s="37" t="s">
        <v>2</v>
      </c>
      <c r="D10" s="37" t="s">
        <v>701</v>
      </c>
      <c r="E10" s="12" t="s">
        <v>907</v>
      </c>
      <c r="F10" s="83">
        <v>43378.4375</v>
      </c>
      <c r="G10" s="83">
        <v>43378.463194444441</v>
      </c>
      <c r="H10" s="94">
        <v>36.999999994877726</v>
      </c>
      <c r="I10" s="12" t="s">
        <v>860</v>
      </c>
      <c r="J10" s="12" t="s">
        <v>20</v>
      </c>
      <c r="K10" s="12" t="s">
        <v>105</v>
      </c>
      <c r="L10" s="37" t="s">
        <v>701</v>
      </c>
      <c r="M10" s="37" t="s">
        <v>678</v>
      </c>
      <c r="N10" s="48"/>
      <c r="O10" s="38" t="str">
        <f t="shared" si="0"/>
        <v>ISLA</v>
      </c>
    </row>
    <row r="11" spans="1:15" x14ac:dyDescent="0.4">
      <c r="A11" s="93">
        <v>10</v>
      </c>
      <c r="B11" s="37" t="s">
        <v>901</v>
      </c>
      <c r="C11" s="37" t="s">
        <v>2</v>
      </c>
      <c r="D11" s="37" t="s">
        <v>701</v>
      </c>
      <c r="E11" s="12" t="s">
        <v>581</v>
      </c>
      <c r="F11" s="83">
        <v>43378.630555555559</v>
      </c>
      <c r="G11" s="83">
        <v>43378.669444444444</v>
      </c>
      <c r="H11" s="94">
        <v>55.999999993946403</v>
      </c>
      <c r="I11" s="12" t="s">
        <v>313</v>
      </c>
      <c r="J11" s="12" t="s">
        <v>19</v>
      </c>
      <c r="K11" s="12" t="s">
        <v>88</v>
      </c>
      <c r="L11" s="37" t="s">
        <v>701</v>
      </c>
      <c r="M11" s="37" t="s">
        <v>678</v>
      </c>
      <c r="N11" s="48"/>
      <c r="O11" s="38" t="str">
        <f t="shared" si="0"/>
        <v>ISLA</v>
      </c>
    </row>
    <row r="12" spans="1:15" x14ac:dyDescent="0.4">
      <c r="A12" s="93">
        <v>11</v>
      </c>
      <c r="B12" s="37" t="s">
        <v>914</v>
      </c>
      <c r="C12" s="37" t="s">
        <v>2</v>
      </c>
      <c r="D12" s="37" t="s">
        <v>701</v>
      </c>
      <c r="E12" s="12" t="s">
        <v>907</v>
      </c>
      <c r="F12" s="83">
        <v>43379.005555555559</v>
      </c>
      <c r="G12" s="83">
        <v>43379.107638888891</v>
      </c>
      <c r="H12" s="76">
        <v>146.99999999720603</v>
      </c>
      <c r="I12" s="12" t="s">
        <v>860</v>
      </c>
      <c r="J12" s="12" t="s">
        <v>20</v>
      </c>
      <c r="K12" s="12" t="s">
        <v>105</v>
      </c>
      <c r="L12" s="37" t="s">
        <v>701</v>
      </c>
      <c r="M12" s="37" t="s">
        <v>678</v>
      </c>
      <c r="N12" s="48"/>
      <c r="O12" s="38" t="str">
        <f t="shared" si="0"/>
        <v>OSLA</v>
      </c>
    </row>
    <row r="13" spans="1:15" x14ac:dyDescent="0.4">
      <c r="A13" s="93">
        <v>12</v>
      </c>
      <c r="B13" s="37" t="s">
        <v>915</v>
      </c>
      <c r="C13" s="37" t="s">
        <v>2</v>
      </c>
      <c r="D13" s="37" t="s">
        <v>701</v>
      </c>
      <c r="E13" s="12" t="s">
        <v>581</v>
      </c>
      <c r="F13" s="83">
        <v>43380.523611111108</v>
      </c>
      <c r="G13" s="83">
        <v>43380.554861111108</v>
      </c>
      <c r="H13" s="76">
        <v>45</v>
      </c>
      <c r="I13" s="12" t="s">
        <v>313</v>
      </c>
      <c r="J13" s="12" t="s">
        <v>19</v>
      </c>
      <c r="K13" s="12" t="s">
        <v>88</v>
      </c>
      <c r="L13" s="37" t="s">
        <v>701</v>
      </c>
      <c r="M13" s="37" t="s">
        <v>678</v>
      </c>
      <c r="N13" s="48"/>
      <c r="O13" s="38" t="str">
        <f t="shared" si="0"/>
        <v>ISLA</v>
      </c>
    </row>
    <row r="14" spans="1:15" x14ac:dyDescent="0.4">
      <c r="A14" s="93">
        <v>13</v>
      </c>
      <c r="B14" s="37" t="s">
        <v>916</v>
      </c>
      <c r="C14" s="37" t="s">
        <v>2</v>
      </c>
      <c r="D14" s="37" t="s">
        <v>701</v>
      </c>
      <c r="E14" s="12" t="s">
        <v>581</v>
      </c>
      <c r="F14" s="83">
        <v>43381.365277777775</v>
      </c>
      <c r="G14" s="83">
        <v>43381.398611111108</v>
      </c>
      <c r="H14" s="77">
        <v>47.999999999301508</v>
      </c>
      <c r="I14" s="12" t="s">
        <v>313</v>
      </c>
      <c r="J14" s="12" t="s">
        <v>19</v>
      </c>
      <c r="K14" s="12" t="s">
        <v>88</v>
      </c>
      <c r="L14" s="37" t="s">
        <v>701</v>
      </c>
      <c r="M14" s="37" t="s">
        <v>678</v>
      </c>
      <c r="N14" s="48"/>
      <c r="O14" s="38" t="str">
        <f t="shared" si="0"/>
        <v>ISLA</v>
      </c>
    </row>
    <row r="15" spans="1:15" x14ac:dyDescent="0.4">
      <c r="A15" s="93">
        <v>14</v>
      </c>
      <c r="B15" s="37" t="s">
        <v>917</v>
      </c>
      <c r="C15" s="37" t="s">
        <v>2</v>
      </c>
      <c r="D15" s="38" t="s">
        <v>702</v>
      </c>
      <c r="E15" s="12" t="s">
        <v>918</v>
      </c>
      <c r="F15" s="83">
        <v>43381.385416666664</v>
      </c>
      <c r="G15" s="83">
        <v>43381.420138888891</v>
      </c>
      <c r="H15" s="84">
        <v>50.000000005820766</v>
      </c>
      <c r="I15" s="12" t="s">
        <v>247</v>
      </c>
      <c r="J15" s="12" t="s">
        <v>68</v>
      </c>
      <c r="K15" s="12" t="s">
        <v>68</v>
      </c>
      <c r="L15" s="37" t="s">
        <v>716</v>
      </c>
      <c r="M15" s="37" t="s">
        <v>678</v>
      </c>
      <c r="N15" s="48"/>
      <c r="O15" s="38" t="str">
        <f t="shared" si="0"/>
        <v>ISLA</v>
      </c>
    </row>
    <row r="16" spans="1:15" ht="20.6" x14ac:dyDescent="0.4">
      <c r="A16" s="93">
        <v>15</v>
      </c>
      <c r="B16" s="37" t="s">
        <v>919</v>
      </c>
      <c r="C16" s="37" t="s">
        <v>2</v>
      </c>
      <c r="D16" s="38" t="s">
        <v>702</v>
      </c>
      <c r="E16" s="9" t="s">
        <v>920</v>
      </c>
      <c r="F16" s="83">
        <v>43383.90347222222</v>
      </c>
      <c r="G16" s="83">
        <v>43384.038194444445</v>
      </c>
      <c r="H16" s="77">
        <v>194.00000000372529</v>
      </c>
      <c r="I16" s="12" t="s">
        <v>921</v>
      </c>
      <c r="J16" s="12" t="s">
        <v>922</v>
      </c>
      <c r="K16" s="12" t="s">
        <v>923</v>
      </c>
      <c r="L16" s="37" t="s">
        <v>703</v>
      </c>
      <c r="M16" s="37" t="s">
        <v>678</v>
      </c>
      <c r="N16" s="48"/>
      <c r="O16" s="38" t="str">
        <f t="shared" si="0"/>
        <v>OSLA</v>
      </c>
    </row>
    <row r="17" spans="1:15" ht="20.6" x14ac:dyDescent="0.4">
      <c r="A17" s="93">
        <v>16</v>
      </c>
      <c r="B17" s="37" t="s">
        <v>919</v>
      </c>
      <c r="C17" s="37" t="s">
        <v>2</v>
      </c>
      <c r="D17" s="38" t="s">
        <v>702</v>
      </c>
      <c r="E17" s="9" t="s">
        <v>920</v>
      </c>
      <c r="F17" s="83">
        <v>43384.1875</v>
      </c>
      <c r="G17" s="83">
        <v>43384.302083333336</v>
      </c>
      <c r="H17" s="77">
        <v>165.00000000349246</v>
      </c>
      <c r="I17" s="12" t="s">
        <v>921</v>
      </c>
      <c r="J17" s="12" t="s">
        <v>922</v>
      </c>
      <c r="K17" s="12" t="s">
        <v>923</v>
      </c>
      <c r="L17" s="37" t="s">
        <v>703</v>
      </c>
      <c r="M17" s="37" t="s">
        <v>678</v>
      </c>
      <c r="N17" s="48"/>
      <c r="O17" s="38" t="str">
        <f t="shared" si="0"/>
        <v>OSLA</v>
      </c>
    </row>
    <row r="18" spans="1:15" x14ac:dyDescent="0.4">
      <c r="A18" s="93">
        <v>17</v>
      </c>
      <c r="B18" s="37" t="s">
        <v>924</v>
      </c>
      <c r="C18" s="37" t="s">
        <v>2</v>
      </c>
      <c r="D18" s="37" t="s">
        <v>701</v>
      </c>
      <c r="E18" s="12" t="s">
        <v>522</v>
      </c>
      <c r="F18" s="83">
        <v>43384.311111111114</v>
      </c>
      <c r="G18" s="83">
        <v>43384.326388888891</v>
      </c>
      <c r="H18" s="77">
        <v>21.999999998370185</v>
      </c>
      <c r="I18" s="12" t="s">
        <v>557</v>
      </c>
      <c r="J18" s="12" t="s">
        <v>879</v>
      </c>
      <c r="K18" s="12" t="s">
        <v>88</v>
      </c>
      <c r="L18" s="37" t="s">
        <v>701</v>
      </c>
      <c r="M18" s="37" t="s">
        <v>678</v>
      </c>
      <c r="N18" s="48"/>
      <c r="O18" s="38" t="str">
        <f t="shared" si="0"/>
        <v>ISLA</v>
      </c>
    </row>
    <row r="19" spans="1:15" ht="20.6" x14ac:dyDescent="0.4">
      <c r="A19" s="93">
        <v>18</v>
      </c>
      <c r="B19" s="37" t="s">
        <v>919</v>
      </c>
      <c r="C19" s="37" t="s">
        <v>2</v>
      </c>
      <c r="D19" s="38" t="s">
        <v>702</v>
      </c>
      <c r="E19" s="9" t="s">
        <v>920</v>
      </c>
      <c r="F19" s="83">
        <v>43384.340277777781</v>
      </c>
      <c r="G19" s="83">
        <v>43384.46597222222</v>
      </c>
      <c r="H19" s="77">
        <v>180.99999999278225</v>
      </c>
      <c r="I19" s="12" t="s">
        <v>921</v>
      </c>
      <c r="J19" s="12" t="s">
        <v>922</v>
      </c>
      <c r="K19" s="12" t="s">
        <v>923</v>
      </c>
      <c r="L19" s="37" t="s">
        <v>703</v>
      </c>
      <c r="M19" s="37" t="s">
        <v>678</v>
      </c>
      <c r="N19" s="48"/>
      <c r="O19" s="38" t="str">
        <f t="shared" si="0"/>
        <v>OSLA</v>
      </c>
    </row>
    <row r="20" spans="1:15" ht="20.6" x14ac:dyDescent="0.4">
      <c r="A20" s="93">
        <v>19</v>
      </c>
      <c r="B20" s="37" t="s">
        <v>919</v>
      </c>
      <c r="C20" s="37" t="s">
        <v>2</v>
      </c>
      <c r="D20" s="38" t="s">
        <v>702</v>
      </c>
      <c r="E20" s="9" t="s">
        <v>920</v>
      </c>
      <c r="F20" s="83">
        <v>43384.779166666667</v>
      </c>
      <c r="G20" s="83">
        <v>43384.803472222222</v>
      </c>
      <c r="H20" s="77">
        <v>34.999999998835847</v>
      </c>
      <c r="I20" s="12" t="s">
        <v>921</v>
      </c>
      <c r="J20" s="12" t="s">
        <v>922</v>
      </c>
      <c r="K20" s="12" t="s">
        <v>923</v>
      </c>
      <c r="L20" s="37" t="s">
        <v>703</v>
      </c>
      <c r="M20" s="37" t="s">
        <v>678</v>
      </c>
      <c r="N20" s="48"/>
      <c r="O20" s="38" t="str">
        <f t="shared" si="0"/>
        <v>ISLA</v>
      </c>
    </row>
    <row r="21" spans="1:15" ht="20.6" x14ac:dyDescent="0.4">
      <c r="A21" s="93">
        <v>20</v>
      </c>
      <c r="B21" s="37" t="s">
        <v>925</v>
      </c>
      <c r="C21" s="37" t="s">
        <v>2</v>
      </c>
      <c r="D21" s="38" t="s">
        <v>847</v>
      </c>
      <c r="E21" s="12" t="s">
        <v>930</v>
      </c>
      <c r="F21" s="83">
        <v>43385.431944444441</v>
      </c>
      <c r="G21" s="83">
        <v>43385.518750000003</v>
      </c>
      <c r="H21" s="77">
        <v>125.00000000931323</v>
      </c>
      <c r="I21" s="12" t="s">
        <v>926</v>
      </c>
      <c r="J21" s="12" t="s">
        <v>932</v>
      </c>
      <c r="K21" s="9" t="s">
        <v>970</v>
      </c>
      <c r="L21" s="37" t="s">
        <v>703</v>
      </c>
      <c r="M21" s="37" t="s">
        <v>678</v>
      </c>
      <c r="N21" s="48"/>
      <c r="O21" s="38" t="str">
        <f t="shared" si="0"/>
        <v>OSLA</v>
      </c>
    </row>
    <row r="22" spans="1:15" ht="20.6" x14ac:dyDescent="0.4">
      <c r="A22" s="93">
        <v>21</v>
      </c>
      <c r="B22" s="37" t="s">
        <v>919</v>
      </c>
      <c r="C22" s="37" t="s">
        <v>2</v>
      </c>
      <c r="D22" s="38" t="s">
        <v>702</v>
      </c>
      <c r="E22" s="9" t="s">
        <v>920</v>
      </c>
      <c r="F22" s="83">
        <v>43385.470833333333</v>
      </c>
      <c r="G22" s="83">
        <v>43385.537499999999</v>
      </c>
      <c r="H22" s="77">
        <v>95.999999998603016</v>
      </c>
      <c r="I22" s="12" t="s">
        <v>921</v>
      </c>
      <c r="J22" s="12" t="s">
        <v>922</v>
      </c>
      <c r="K22" s="12" t="s">
        <v>923</v>
      </c>
      <c r="L22" s="37" t="s">
        <v>703</v>
      </c>
      <c r="M22" s="37" t="s">
        <v>678</v>
      </c>
      <c r="N22" s="48"/>
      <c r="O22" s="38" t="str">
        <f t="shared" si="0"/>
        <v>ISLA</v>
      </c>
    </row>
    <row r="23" spans="1:15" x14ac:dyDescent="0.4">
      <c r="A23" s="93">
        <v>22</v>
      </c>
      <c r="B23" s="37" t="s">
        <v>927</v>
      </c>
      <c r="C23" s="37" t="s">
        <v>2</v>
      </c>
      <c r="D23" s="38" t="s">
        <v>702</v>
      </c>
      <c r="E23" s="12" t="s">
        <v>918</v>
      </c>
      <c r="F23" s="83">
        <v>43386.590277777781</v>
      </c>
      <c r="G23" s="83">
        <v>43386.633333333331</v>
      </c>
      <c r="H23" s="84">
        <v>61.999999992549419</v>
      </c>
      <c r="I23" s="12" t="s">
        <v>247</v>
      </c>
      <c r="J23" s="12" t="s">
        <v>68</v>
      </c>
      <c r="K23" s="12" t="s">
        <v>68</v>
      </c>
      <c r="L23" s="37" t="s">
        <v>716</v>
      </c>
      <c r="M23" s="37" t="s">
        <v>678</v>
      </c>
      <c r="N23" s="48"/>
      <c r="O23" s="38" t="str">
        <f t="shared" si="0"/>
        <v>ISLA</v>
      </c>
    </row>
    <row r="24" spans="1:15" x14ac:dyDescent="0.4">
      <c r="A24" s="93">
        <v>23</v>
      </c>
      <c r="B24" s="37" t="s">
        <v>928</v>
      </c>
      <c r="C24" s="37" t="s">
        <v>2</v>
      </c>
      <c r="D24" s="37" t="s">
        <v>701</v>
      </c>
      <c r="E24" s="12" t="s">
        <v>581</v>
      </c>
      <c r="F24" s="83">
        <v>43387.240277777775</v>
      </c>
      <c r="G24" s="83">
        <v>43387.277083333334</v>
      </c>
      <c r="H24" s="84">
        <v>53.000000005122274</v>
      </c>
      <c r="I24" s="12" t="s">
        <v>313</v>
      </c>
      <c r="J24" s="12" t="s">
        <v>19</v>
      </c>
      <c r="K24" s="12" t="s">
        <v>88</v>
      </c>
      <c r="L24" s="37" t="s">
        <v>701</v>
      </c>
      <c r="M24" s="37" t="s">
        <v>678</v>
      </c>
      <c r="N24" s="48"/>
      <c r="O24" s="38" t="str">
        <f t="shared" si="0"/>
        <v>ISLA</v>
      </c>
    </row>
    <row r="25" spans="1:15" ht="20.6" x14ac:dyDescent="0.4">
      <c r="A25" s="93">
        <v>24</v>
      </c>
      <c r="B25" s="37" t="s">
        <v>929</v>
      </c>
      <c r="C25" s="37" t="s">
        <v>2</v>
      </c>
      <c r="D25" s="38" t="s">
        <v>702</v>
      </c>
      <c r="E25" s="12" t="s">
        <v>930</v>
      </c>
      <c r="F25" s="83">
        <v>43388.368055555555</v>
      </c>
      <c r="G25" s="83">
        <v>43388.506249999999</v>
      </c>
      <c r="H25" s="94">
        <v>199</v>
      </c>
      <c r="I25" s="12" t="s">
        <v>931</v>
      </c>
      <c r="J25" s="12" t="s">
        <v>932</v>
      </c>
      <c r="K25" s="9" t="s">
        <v>970</v>
      </c>
      <c r="L25" s="37" t="s">
        <v>703</v>
      </c>
      <c r="M25" s="37" t="s">
        <v>678</v>
      </c>
      <c r="N25" s="48"/>
      <c r="O25" s="38" t="str">
        <f t="shared" si="0"/>
        <v>OSLA</v>
      </c>
    </row>
    <row r="26" spans="1:15" x14ac:dyDescent="0.4">
      <c r="A26" s="93">
        <v>25</v>
      </c>
      <c r="B26" s="37" t="s">
        <v>933</v>
      </c>
      <c r="C26" s="37" t="s">
        <v>2</v>
      </c>
      <c r="D26" s="37" t="s">
        <v>701</v>
      </c>
      <c r="E26" s="12" t="s">
        <v>581</v>
      </c>
      <c r="F26" s="83">
        <v>43389.427777777775</v>
      </c>
      <c r="G26" s="83">
        <v>43389.46597222222</v>
      </c>
      <c r="H26" s="94">
        <v>55</v>
      </c>
      <c r="I26" s="12" t="s">
        <v>313</v>
      </c>
      <c r="J26" s="12" t="s">
        <v>19</v>
      </c>
      <c r="K26" s="12" t="s">
        <v>88</v>
      </c>
      <c r="L26" s="37" t="s">
        <v>701</v>
      </c>
      <c r="M26" s="37" t="s">
        <v>678</v>
      </c>
      <c r="N26" s="48"/>
      <c r="O26" s="38" t="str">
        <f t="shared" si="0"/>
        <v>ISLA</v>
      </c>
    </row>
    <row r="27" spans="1:15" x14ac:dyDescent="0.4">
      <c r="A27" s="93">
        <v>26</v>
      </c>
      <c r="B27" s="37" t="s">
        <v>934</v>
      </c>
      <c r="C27" s="37" t="s">
        <v>2</v>
      </c>
      <c r="D27" s="38" t="s">
        <v>702</v>
      </c>
      <c r="E27" s="12" t="s">
        <v>930</v>
      </c>
      <c r="F27" s="83">
        <v>43390.495138888888</v>
      </c>
      <c r="G27" s="83">
        <v>43390.509027777778</v>
      </c>
      <c r="H27" s="94">
        <v>20</v>
      </c>
      <c r="I27" s="12" t="s">
        <v>935</v>
      </c>
      <c r="J27" s="12" t="s">
        <v>20</v>
      </c>
      <c r="K27" s="12" t="s">
        <v>105</v>
      </c>
      <c r="L27" s="37" t="s">
        <v>703</v>
      </c>
      <c r="M27" s="37" t="s">
        <v>678</v>
      </c>
      <c r="N27" s="48"/>
      <c r="O27" s="38" t="str">
        <f t="shared" si="0"/>
        <v>ISLA</v>
      </c>
    </row>
    <row r="28" spans="1:15" x14ac:dyDescent="0.4">
      <c r="A28" s="93">
        <v>27</v>
      </c>
      <c r="B28" s="37" t="s">
        <v>936</v>
      </c>
      <c r="C28" s="37" t="s">
        <v>2</v>
      </c>
      <c r="D28" s="37" t="s">
        <v>701</v>
      </c>
      <c r="E28" s="12" t="s">
        <v>937</v>
      </c>
      <c r="F28" s="83">
        <v>43391.327777777777</v>
      </c>
      <c r="G28" s="83">
        <v>43391.365277777775</v>
      </c>
      <c r="H28" s="94">
        <v>54</v>
      </c>
      <c r="I28" s="12" t="s">
        <v>313</v>
      </c>
      <c r="J28" s="12" t="s">
        <v>19</v>
      </c>
      <c r="K28" s="12" t="s">
        <v>88</v>
      </c>
      <c r="L28" s="37" t="s">
        <v>701</v>
      </c>
      <c r="M28" s="37" t="s">
        <v>678</v>
      </c>
      <c r="N28" s="48"/>
      <c r="O28" s="38" t="str">
        <f t="shared" si="0"/>
        <v>ISLA</v>
      </c>
    </row>
    <row r="29" spans="1:15" x14ac:dyDescent="0.4">
      <c r="A29" s="93">
        <v>28</v>
      </c>
      <c r="B29" s="37" t="s">
        <v>938</v>
      </c>
      <c r="C29" s="37" t="s">
        <v>14</v>
      </c>
      <c r="D29" s="38" t="s">
        <v>702</v>
      </c>
      <c r="E29" s="12" t="s">
        <v>150</v>
      </c>
      <c r="F29" s="83">
        <v>43392.513888888891</v>
      </c>
      <c r="G29" s="83">
        <v>43392.527777777781</v>
      </c>
      <c r="H29" s="94">
        <v>20</v>
      </c>
      <c r="I29" s="12" t="s">
        <v>939</v>
      </c>
      <c r="J29" s="12" t="s">
        <v>940</v>
      </c>
      <c r="K29" s="12" t="s">
        <v>941</v>
      </c>
      <c r="L29" s="37" t="s">
        <v>703</v>
      </c>
      <c r="M29" s="37" t="s">
        <v>678</v>
      </c>
      <c r="N29" s="48"/>
      <c r="O29" s="38" t="str">
        <f t="shared" si="0"/>
        <v>ISLA</v>
      </c>
    </row>
    <row r="30" spans="1:15" ht="20.6" x14ac:dyDescent="0.4">
      <c r="A30" s="93">
        <v>29</v>
      </c>
      <c r="B30" s="37" t="s">
        <v>942</v>
      </c>
      <c r="C30" s="37" t="s">
        <v>2</v>
      </c>
      <c r="D30" s="37" t="s">
        <v>701</v>
      </c>
      <c r="E30" s="12" t="s">
        <v>138</v>
      </c>
      <c r="F30" s="83">
        <v>43394.324999999997</v>
      </c>
      <c r="G30" s="83">
        <v>43394.331944444442</v>
      </c>
      <c r="H30" s="94">
        <v>10.000000001164153</v>
      </c>
      <c r="I30" s="12" t="s">
        <v>943</v>
      </c>
      <c r="J30" s="12" t="s">
        <v>1227</v>
      </c>
      <c r="K30" s="12" t="s">
        <v>105</v>
      </c>
      <c r="L30" s="37" t="s">
        <v>701</v>
      </c>
      <c r="M30" s="37" t="s">
        <v>678</v>
      </c>
      <c r="N30" s="9" t="s">
        <v>978</v>
      </c>
      <c r="O30" s="38" t="str">
        <f t="shared" si="0"/>
        <v>ISLA</v>
      </c>
    </row>
    <row r="31" spans="1:15" x14ac:dyDescent="0.4">
      <c r="A31" s="93">
        <v>30</v>
      </c>
      <c r="B31" s="37" t="s">
        <v>944</v>
      </c>
      <c r="C31" s="37" t="s">
        <v>2</v>
      </c>
      <c r="D31" s="38" t="s">
        <v>702</v>
      </c>
      <c r="E31" s="9" t="s">
        <v>945</v>
      </c>
      <c r="F31" s="83">
        <v>43395.388888888891</v>
      </c>
      <c r="G31" s="83">
        <v>43395.604166666664</v>
      </c>
      <c r="H31" s="94">
        <v>310</v>
      </c>
      <c r="I31" s="12" t="s">
        <v>945</v>
      </c>
      <c r="J31" s="12" t="s">
        <v>946</v>
      </c>
      <c r="K31" s="12" t="s">
        <v>947</v>
      </c>
      <c r="L31" s="37" t="s">
        <v>703</v>
      </c>
      <c r="M31" s="37" t="s">
        <v>678</v>
      </c>
      <c r="N31" s="48"/>
      <c r="O31" s="38" t="str">
        <f t="shared" si="0"/>
        <v>OSLA</v>
      </c>
    </row>
    <row r="32" spans="1:15" x14ac:dyDescent="0.4">
      <c r="A32" s="93">
        <v>31</v>
      </c>
      <c r="B32" s="37" t="s">
        <v>948</v>
      </c>
      <c r="C32" s="37" t="s">
        <v>14</v>
      </c>
      <c r="D32" s="38" t="s">
        <v>702</v>
      </c>
      <c r="E32" s="12" t="s">
        <v>949</v>
      </c>
      <c r="F32" s="83">
        <v>43396.277777777781</v>
      </c>
      <c r="G32" s="83">
        <v>43396.34375</v>
      </c>
      <c r="H32" s="94">
        <v>95</v>
      </c>
      <c r="I32" s="12" t="s">
        <v>950</v>
      </c>
      <c r="J32" s="12" t="s">
        <v>951</v>
      </c>
      <c r="K32" s="12" t="s">
        <v>952</v>
      </c>
      <c r="L32" s="37" t="s">
        <v>977</v>
      </c>
      <c r="M32" s="37" t="s">
        <v>678</v>
      </c>
      <c r="N32" s="48"/>
      <c r="O32" s="38" t="str">
        <f t="shared" si="0"/>
        <v>ISLA</v>
      </c>
    </row>
    <row r="33" spans="1:15" x14ac:dyDescent="0.4">
      <c r="A33" s="93">
        <v>32</v>
      </c>
      <c r="B33" s="37" t="s">
        <v>953</v>
      </c>
      <c r="C33" s="37" t="s">
        <v>2</v>
      </c>
      <c r="D33" s="37" t="s">
        <v>701</v>
      </c>
      <c r="E33" s="12" t="s">
        <v>954</v>
      </c>
      <c r="F33" s="83">
        <v>43396.399305555555</v>
      </c>
      <c r="G33" s="83">
        <v>43396.62222222222</v>
      </c>
      <c r="H33" s="94">
        <v>321</v>
      </c>
      <c r="I33" s="12" t="s">
        <v>313</v>
      </c>
      <c r="J33" s="12" t="s">
        <v>803</v>
      </c>
      <c r="K33" s="12" t="s">
        <v>209</v>
      </c>
      <c r="L33" s="37" t="s">
        <v>701</v>
      </c>
      <c r="M33" s="37" t="s">
        <v>678</v>
      </c>
      <c r="N33" s="48"/>
      <c r="O33" s="38" t="str">
        <f t="shared" si="0"/>
        <v>OSLA</v>
      </c>
    </row>
    <row r="34" spans="1:15" x14ac:dyDescent="0.4">
      <c r="A34" s="93">
        <v>33</v>
      </c>
      <c r="B34" s="37" t="s">
        <v>955</v>
      </c>
      <c r="C34" s="37" t="s">
        <v>2</v>
      </c>
      <c r="D34" s="38" t="s">
        <v>702</v>
      </c>
      <c r="E34" s="12" t="s">
        <v>956</v>
      </c>
      <c r="F34" s="83">
        <v>43396.920138888891</v>
      </c>
      <c r="G34" s="83">
        <v>43397.013888888891</v>
      </c>
      <c r="H34" s="94">
        <v>135</v>
      </c>
      <c r="I34" s="12" t="s">
        <v>957</v>
      </c>
      <c r="J34" s="12" t="s">
        <v>958</v>
      </c>
      <c r="K34" s="12" t="s">
        <v>959</v>
      </c>
      <c r="L34" s="37" t="s">
        <v>711</v>
      </c>
      <c r="M34" s="37" t="s">
        <v>678</v>
      </c>
      <c r="N34" s="48"/>
      <c r="O34" s="38" t="str">
        <f t="shared" si="0"/>
        <v>OSLA</v>
      </c>
    </row>
    <row r="35" spans="1:15" x14ac:dyDescent="0.4">
      <c r="A35" s="93">
        <v>34</v>
      </c>
      <c r="B35" s="37" t="s">
        <v>960</v>
      </c>
      <c r="C35" s="37" t="s">
        <v>2</v>
      </c>
      <c r="D35" s="37" t="s">
        <v>701</v>
      </c>
      <c r="E35" s="12" t="s">
        <v>581</v>
      </c>
      <c r="F35" s="83">
        <v>43398.637499999997</v>
      </c>
      <c r="G35" s="83">
        <v>43398.678472222222</v>
      </c>
      <c r="H35" s="94">
        <v>59</v>
      </c>
      <c r="I35" s="12" t="s">
        <v>313</v>
      </c>
      <c r="J35" s="12" t="s">
        <v>19</v>
      </c>
      <c r="K35" s="12" t="s">
        <v>209</v>
      </c>
      <c r="L35" s="37" t="s">
        <v>701</v>
      </c>
      <c r="M35" s="37" t="s">
        <v>678</v>
      </c>
      <c r="N35" s="48"/>
      <c r="O35" s="38" t="str">
        <f t="shared" si="0"/>
        <v>ISLA</v>
      </c>
    </row>
    <row r="36" spans="1:15" x14ac:dyDescent="0.4">
      <c r="A36" s="93">
        <v>35</v>
      </c>
      <c r="B36" s="37" t="s">
        <v>961</v>
      </c>
      <c r="C36" s="37" t="s">
        <v>2</v>
      </c>
      <c r="D36" s="95" t="s">
        <v>846</v>
      </c>
      <c r="E36" s="12" t="s">
        <v>1306</v>
      </c>
      <c r="F36" s="83">
        <v>43398.534722222219</v>
      </c>
      <c r="G36" s="83">
        <v>43399.454861111109</v>
      </c>
      <c r="H36" s="94">
        <v>1325</v>
      </c>
      <c r="I36" s="12" t="s">
        <v>962</v>
      </c>
      <c r="J36" s="12" t="s">
        <v>972</v>
      </c>
      <c r="K36" s="12" t="s">
        <v>963</v>
      </c>
      <c r="L36" s="37" t="s">
        <v>701</v>
      </c>
      <c r="M36" s="37" t="s">
        <v>678</v>
      </c>
      <c r="N36" s="48"/>
      <c r="O36" s="38" t="str">
        <f t="shared" si="0"/>
        <v>OSLA</v>
      </c>
    </row>
    <row r="37" spans="1:15" ht="20.6" x14ac:dyDescent="0.4">
      <c r="A37" s="93">
        <v>36</v>
      </c>
      <c r="B37" s="37" t="s">
        <v>964</v>
      </c>
      <c r="C37" s="37" t="s">
        <v>14</v>
      </c>
      <c r="D37" s="38" t="s">
        <v>702</v>
      </c>
      <c r="E37" s="12" t="s">
        <v>766</v>
      </c>
      <c r="F37" s="83">
        <v>43399.96597222222</v>
      </c>
      <c r="G37" s="83">
        <v>43401.25</v>
      </c>
      <c r="H37" s="94">
        <f>(G37-F37)*1440</f>
        <v>1849.0000000025611</v>
      </c>
      <c r="I37" s="12" t="s">
        <v>965</v>
      </c>
      <c r="J37" s="9" t="s">
        <v>973</v>
      </c>
      <c r="K37" s="9" t="s">
        <v>971</v>
      </c>
      <c r="L37" s="37" t="s">
        <v>704</v>
      </c>
      <c r="M37" s="37" t="s">
        <v>678</v>
      </c>
      <c r="N37" s="48"/>
      <c r="O37" s="38" t="str">
        <f t="shared" si="0"/>
        <v>OSLA</v>
      </c>
    </row>
    <row r="38" spans="1:15" x14ac:dyDescent="0.4">
      <c r="A38" s="93">
        <v>37</v>
      </c>
      <c r="B38" s="37" t="s">
        <v>966</v>
      </c>
      <c r="C38" s="37" t="s">
        <v>2</v>
      </c>
      <c r="D38" s="37" t="s">
        <v>707</v>
      </c>
      <c r="E38" s="12" t="s">
        <v>147</v>
      </c>
      <c r="F38" s="83">
        <v>43401.200694444444</v>
      </c>
      <c r="G38" s="83">
        <v>43401.348611111112</v>
      </c>
      <c r="H38" s="94">
        <f>(G38-F38)*1440</f>
        <v>213.00000000279397</v>
      </c>
      <c r="I38" s="12" t="s">
        <v>967</v>
      </c>
      <c r="J38" s="12" t="s">
        <v>968</v>
      </c>
      <c r="K38" s="12" t="s">
        <v>969</v>
      </c>
      <c r="L38" s="37" t="s">
        <v>707</v>
      </c>
      <c r="M38" s="37" t="s">
        <v>678</v>
      </c>
      <c r="N38" s="48"/>
      <c r="O38" s="38" t="str">
        <f t="shared" si="0"/>
        <v>OSLA</v>
      </c>
    </row>
    <row r="39" spans="1:15" x14ac:dyDescent="0.4">
      <c r="A39" s="93">
        <v>38</v>
      </c>
      <c r="B39" s="37" t="s">
        <v>982</v>
      </c>
      <c r="C39" s="37" t="s">
        <v>2</v>
      </c>
      <c r="D39" s="37" t="s">
        <v>701</v>
      </c>
      <c r="E39" s="12" t="s">
        <v>522</v>
      </c>
      <c r="F39" s="83">
        <v>43402.595833333333</v>
      </c>
      <c r="G39" s="83">
        <v>43402.612500000003</v>
      </c>
      <c r="H39" s="84">
        <v>24</v>
      </c>
      <c r="I39" s="12" t="s">
        <v>983</v>
      </c>
      <c r="J39" s="12" t="s">
        <v>20</v>
      </c>
      <c r="K39" s="12" t="s">
        <v>984</v>
      </c>
      <c r="L39" s="37" t="s">
        <v>701</v>
      </c>
      <c r="M39" s="37" t="s">
        <v>981</v>
      </c>
      <c r="N39" s="12"/>
      <c r="O39" s="37"/>
    </row>
    <row r="40" spans="1:15" x14ac:dyDescent="0.4">
      <c r="A40" s="93">
        <v>39</v>
      </c>
      <c r="B40" s="37" t="s">
        <v>974</v>
      </c>
      <c r="C40" s="37" t="s">
        <v>2</v>
      </c>
      <c r="D40" s="37" t="s">
        <v>701</v>
      </c>
      <c r="E40" s="12" t="s">
        <v>367</v>
      </c>
      <c r="F40" s="83">
        <v>43404.632638888892</v>
      </c>
      <c r="G40" s="83">
        <v>43404.668749999997</v>
      </c>
      <c r="H40" s="94">
        <f>(G40-F40)*1440</f>
        <v>51.999999991385266</v>
      </c>
      <c r="I40" s="12" t="s">
        <v>976</v>
      </c>
      <c r="J40" s="12" t="s">
        <v>627</v>
      </c>
      <c r="K40" s="12" t="s">
        <v>627</v>
      </c>
      <c r="L40" s="37" t="s">
        <v>707</v>
      </c>
      <c r="M40" s="37" t="s">
        <v>678</v>
      </c>
      <c r="N40" s="48"/>
      <c r="O40" s="38" t="str">
        <f>IF(AND(C40=$B$48,H40&lt;=$D$48),"ISLA",IF((AND(C40=$B$49,H40&lt;=$D$49)),"ISLA",IF((AND(C40=$B$50,H40&lt;=$D$50)),"ISLA","OSLA")))</f>
        <v>ISLA</v>
      </c>
    </row>
    <row r="41" spans="1:15" ht="20.6" x14ac:dyDescent="0.4">
      <c r="A41" s="93">
        <v>40</v>
      </c>
      <c r="B41" s="37" t="s">
        <v>975</v>
      </c>
      <c r="C41" s="37" t="s">
        <v>14</v>
      </c>
      <c r="D41" s="37" t="s">
        <v>701</v>
      </c>
      <c r="E41" s="12" t="s">
        <v>138</v>
      </c>
      <c r="F41" s="83">
        <v>43404.470138888886</v>
      </c>
      <c r="G41" s="83">
        <v>43404.501388888886</v>
      </c>
      <c r="H41" s="94">
        <f>(G41-F41)*1440</f>
        <v>45</v>
      </c>
      <c r="I41" s="12" t="s">
        <v>943</v>
      </c>
      <c r="J41" s="12" t="s">
        <v>1227</v>
      </c>
      <c r="K41" s="12" t="s">
        <v>105</v>
      </c>
      <c r="L41" s="37" t="s">
        <v>704</v>
      </c>
      <c r="M41" s="37" t="s">
        <v>678</v>
      </c>
      <c r="N41" s="9" t="s">
        <v>978</v>
      </c>
      <c r="O41" s="38" t="str">
        <f>IF(AND(C41=$B$48,H41&lt;=$D$48),"ISLA",IF((AND(C41=$B$49,H41&lt;=$D$49)),"ISLA",IF((AND(C41=$B$50,H41&lt;=$D$50)),"ISLA","OSLA")))</f>
        <v>ISLA</v>
      </c>
    </row>
    <row r="48" spans="1:15" x14ac:dyDescent="0.4">
      <c r="B48" s="73" t="s">
        <v>2</v>
      </c>
      <c r="C48" s="73" t="s">
        <v>776</v>
      </c>
      <c r="D48" s="73">
        <v>120</v>
      </c>
    </row>
    <row r="49" spans="2:4" x14ac:dyDescent="0.4">
      <c r="B49" s="73" t="s">
        <v>14</v>
      </c>
      <c r="C49" s="73" t="s">
        <v>777</v>
      </c>
      <c r="D49" s="73">
        <v>240</v>
      </c>
    </row>
    <row r="50" spans="2:4" x14ac:dyDescent="0.4">
      <c r="B50" s="73" t="s">
        <v>158</v>
      </c>
      <c r="C50" s="73" t="s">
        <v>778</v>
      </c>
      <c r="D50" s="73">
        <f>1440*2</f>
        <v>2880</v>
      </c>
    </row>
    <row r="51" spans="2:4" x14ac:dyDescent="0.4">
      <c r="B51" s="73" t="s">
        <v>757</v>
      </c>
      <c r="C51" s="73" t="s">
        <v>779</v>
      </c>
      <c r="D51" s="73">
        <f>3*1440</f>
        <v>4320</v>
      </c>
    </row>
  </sheetData>
  <autoFilter ref="A1:O41" xr:uid="{00000000-0009-0000-0000-00000D000000}"/>
  <conditionalFormatting sqref="F2:H41">
    <cfRule type="cellIs" dxfId="72" priority="1" operator="equal">
      <formula>"NOK"</formula>
    </cfRule>
  </conditionalFormatting>
  <hyperlinks>
    <hyperlink ref="I36" r:id="rId1" display="http://www.webpayement.orange-money.com/" xr:uid="{00000000-0004-0000-0D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tabColor theme="6" tint="-0.249977111117893"/>
  </sheetPr>
  <dimension ref="A1:O56"/>
  <sheetViews>
    <sheetView workbookViewId="0">
      <selection activeCell="A4" sqref="A4:XFD4"/>
    </sheetView>
  </sheetViews>
  <sheetFormatPr baseColWidth="10" defaultRowHeight="14.6" x14ac:dyDescent="0.4"/>
  <cols>
    <col min="1" max="1" width="5.3046875" bestFit="1" customWidth="1"/>
    <col min="2" max="2" width="29" bestFit="1" customWidth="1"/>
    <col min="5" max="5" width="37.4609375" bestFit="1" customWidth="1"/>
    <col min="6" max="6" width="21.69140625" bestFit="1" customWidth="1"/>
    <col min="7" max="7" width="18.3046875" bestFit="1" customWidth="1"/>
    <col min="9" max="9" width="46" bestFit="1" customWidth="1"/>
    <col min="10" max="10" width="78.3046875" bestFit="1" customWidth="1"/>
    <col min="11" max="11" width="23" bestFit="1" customWidth="1"/>
    <col min="13" max="13" width="8.3046875" bestFit="1" customWidth="1"/>
  </cols>
  <sheetData>
    <row r="1" spans="1:15" x14ac:dyDescent="0.4">
      <c r="A1" s="6" t="s">
        <v>0</v>
      </c>
      <c r="B1" s="6" t="s">
        <v>792</v>
      </c>
      <c r="C1" s="6" t="s">
        <v>793</v>
      </c>
      <c r="D1" s="7" t="s">
        <v>700</v>
      </c>
      <c r="E1" s="7" t="s">
        <v>897</v>
      </c>
      <c r="F1" s="6" t="s">
        <v>795</v>
      </c>
      <c r="G1" s="6" t="s">
        <v>796</v>
      </c>
      <c r="H1" s="6" t="s">
        <v>797</v>
      </c>
      <c r="I1" s="7" t="s">
        <v>898</v>
      </c>
      <c r="J1" s="6" t="s">
        <v>798</v>
      </c>
      <c r="K1" s="6" t="s">
        <v>799</v>
      </c>
      <c r="L1" s="7" t="s">
        <v>699</v>
      </c>
      <c r="M1" s="6" t="s">
        <v>684</v>
      </c>
      <c r="N1" s="7" t="s">
        <v>659</v>
      </c>
      <c r="O1" s="6" t="s">
        <v>888</v>
      </c>
    </row>
    <row r="2" spans="1:15" x14ac:dyDescent="0.4">
      <c r="A2" s="37">
        <v>1</v>
      </c>
      <c r="B2" s="37" t="s">
        <v>985</v>
      </c>
      <c r="C2" s="37" t="s">
        <v>2</v>
      </c>
      <c r="D2" s="37" t="s">
        <v>702</v>
      </c>
      <c r="E2" s="12" t="s">
        <v>986</v>
      </c>
      <c r="F2" s="83">
        <v>43405.44027777778</v>
      </c>
      <c r="G2" s="83">
        <v>43405.461805555555</v>
      </c>
      <c r="H2" s="84">
        <v>31</v>
      </c>
      <c r="I2" s="12" t="s">
        <v>987</v>
      </c>
      <c r="J2" s="12" t="s">
        <v>1307</v>
      </c>
      <c r="K2" s="12" t="s">
        <v>105</v>
      </c>
      <c r="L2" s="12" t="s">
        <v>703</v>
      </c>
      <c r="M2" s="37" t="s">
        <v>678</v>
      </c>
      <c r="N2" s="12"/>
      <c r="O2" s="38" t="str">
        <f>IF(AND(C2=$B$51,H2&lt;=$D$51),"ISLA",IF((AND(C2=$B$52,H2&lt;=$D$52)),"ISLA",IF((AND(C2=$B$53,H2&lt;=$D$53)),"ISLA","OSLA")))</f>
        <v>ISLA</v>
      </c>
    </row>
    <row r="3" spans="1:15" x14ac:dyDescent="0.4">
      <c r="A3" s="37">
        <v>2</v>
      </c>
      <c r="B3" s="37" t="s">
        <v>988</v>
      </c>
      <c r="C3" s="37" t="s">
        <v>2</v>
      </c>
      <c r="D3" s="37" t="s">
        <v>701</v>
      </c>
      <c r="E3" s="12" t="s">
        <v>367</v>
      </c>
      <c r="F3" s="83">
        <v>43405.856249999997</v>
      </c>
      <c r="G3" s="83">
        <v>43405.890972222223</v>
      </c>
      <c r="H3" s="84">
        <v>50</v>
      </c>
      <c r="I3" s="12" t="s">
        <v>989</v>
      </c>
      <c r="J3" s="12" t="s">
        <v>627</v>
      </c>
      <c r="K3" s="12" t="s">
        <v>627</v>
      </c>
      <c r="L3" s="12" t="s">
        <v>707</v>
      </c>
      <c r="M3" s="37" t="s">
        <v>678</v>
      </c>
      <c r="N3" s="12"/>
      <c r="O3" s="38" t="str">
        <f t="shared" ref="O3:O48" si="0">IF(AND(C3=$B$51,H3&lt;=$D$51),"ISLA",IF((AND(C3=$B$52,H3&lt;=$D$52)),"ISLA",IF((AND(C3=$B$53,H3&lt;=$D$53)),"ISLA","OSLA")))</f>
        <v>ISLA</v>
      </c>
    </row>
    <row r="4" spans="1:15" x14ac:dyDescent="0.4">
      <c r="A4" s="37">
        <v>3</v>
      </c>
      <c r="B4" s="37" t="s">
        <v>990</v>
      </c>
      <c r="C4" s="37" t="s">
        <v>2</v>
      </c>
      <c r="D4" s="37" t="s">
        <v>702</v>
      </c>
      <c r="E4" s="12" t="s">
        <v>991</v>
      </c>
      <c r="F4" s="83">
        <v>43406.628472222219</v>
      </c>
      <c r="G4" s="83">
        <v>43406.895833333336</v>
      </c>
      <c r="H4" s="84">
        <v>192.00000000069849</v>
      </c>
      <c r="I4" s="12" t="s">
        <v>992</v>
      </c>
      <c r="J4" s="12" t="s">
        <v>993</v>
      </c>
      <c r="K4" s="12" t="s">
        <v>105</v>
      </c>
      <c r="L4" s="12" t="s">
        <v>704</v>
      </c>
      <c r="M4" s="37" t="s">
        <v>678</v>
      </c>
      <c r="N4" s="12"/>
      <c r="O4" s="38" t="str">
        <f t="shared" si="0"/>
        <v>OSLA</v>
      </c>
    </row>
    <row r="5" spans="1:15" x14ac:dyDescent="0.4">
      <c r="A5" s="37">
        <v>4</v>
      </c>
      <c r="B5" s="37" t="s">
        <v>994</v>
      </c>
      <c r="C5" s="37" t="s">
        <v>2</v>
      </c>
      <c r="D5" s="37" t="s">
        <v>701</v>
      </c>
      <c r="E5" s="12" t="s">
        <v>581</v>
      </c>
      <c r="F5" s="83">
        <v>43408.548611111109</v>
      </c>
      <c r="G5" s="83">
        <v>43408.584722222222</v>
      </c>
      <c r="H5" s="84">
        <v>52.000000001862645</v>
      </c>
      <c r="I5" s="12" t="s">
        <v>313</v>
      </c>
      <c r="J5" s="9" t="s">
        <v>879</v>
      </c>
      <c r="K5" s="9" t="s">
        <v>995</v>
      </c>
      <c r="L5" s="12" t="s">
        <v>701</v>
      </c>
      <c r="M5" s="37" t="s">
        <v>678</v>
      </c>
      <c r="N5" s="9"/>
      <c r="O5" s="38" t="str">
        <f t="shared" si="0"/>
        <v>ISLA</v>
      </c>
    </row>
    <row r="6" spans="1:15" x14ac:dyDescent="0.4">
      <c r="A6" s="37">
        <v>5</v>
      </c>
      <c r="B6" s="37" t="s">
        <v>996</v>
      </c>
      <c r="C6" s="37" t="s">
        <v>2</v>
      </c>
      <c r="D6" s="37" t="s">
        <v>702</v>
      </c>
      <c r="E6" s="12" t="s">
        <v>997</v>
      </c>
      <c r="F6" s="83">
        <v>43410.445833333331</v>
      </c>
      <c r="G6" s="83">
        <v>43410.449305555558</v>
      </c>
      <c r="H6" s="84">
        <v>5</v>
      </c>
      <c r="I6" s="12" t="s">
        <v>998</v>
      </c>
      <c r="J6" s="12" t="s">
        <v>999</v>
      </c>
      <c r="K6" s="12" t="s">
        <v>105</v>
      </c>
      <c r="L6" s="12" t="s">
        <v>701</v>
      </c>
      <c r="M6" s="37" t="s">
        <v>678</v>
      </c>
      <c r="N6" s="12"/>
      <c r="O6" s="38" t="str">
        <f t="shared" si="0"/>
        <v>ISLA</v>
      </c>
    </row>
    <row r="7" spans="1:15" x14ac:dyDescent="0.4">
      <c r="A7" s="37">
        <v>6</v>
      </c>
      <c r="B7" s="37" t="s">
        <v>1000</v>
      </c>
      <c r="C7" s="37" t="s">
        <v>2</v>
      </c>
      <c r="D7" s="37" t="s">
        <v>701</v>
      </c>
      <c r="E7" s="12" t="s">
        <v>581</v>
      </c>
      <c r="F7" s="83">
        <v>43410.472222222219</v>
      </c>
      <c r="G7" s="83">
        <v>43410.533333333333</v>
      </c>
      <c r="H7" s="84">
        <v>88</v>
      </c>
      <c r="I7" s="12" t="s">
        <v>313</v>
      </c>
      <c r="J7" s="12" t="s">
        <v>879</v>
      </c>
      <c r="K7" s="12" t="s">
        <v>209</v>
      </c>
      <c r="L7" s="12" t="s">
        <v>701</v>
      </c>
      <c r="M7" s="37" t="s">
        <v>678</v>
      </c>
      <c r="N7" s="12"/>
      <c r="O7" s="38" t="str">
        <f t="shared" si="0"/>
        <v>ISLA</v>
      </c>
    </row>
    <row r="8" spans="1:15" x14ac:dyDescent="0.4">
      <c r="A8" s="37">
        <v>7</v>
      </c>
      <c r="B8" s="37" t="s">
        <v>1001</v>
      </c>
      <c r="C8" s="37" t="s">
        <v>2</v>
      </c>
      <c r="D8" s="37" t="s">
        <v>702</v>
      </c>
      <c r="E8" s="12" t="s">
        <v>997</v>
      </c>
      <c r="F8" s="83">
        <v>43411.368055555555</v>
      </c>
      <c r="G8" s="83">
        <v>43411.40625</v>
      </c>
      <c r="H8" s="84">
        <v>55</v>
      </c>
      <c r="I8" s="12" t="s">
        <v>998</v>
      </c>
      <c r="J8" s="12" t="s">
        <v>1002</v>
      </c>
      <c r="K8" s="12" t="s">
        <v>1003</v>
      </c>
      <c r="L8" s="12" t="s">
        <v>703</v>
      </c>
      <c r="M8" s="37" t="s">
        <v>678</v>
      </c>
      <c r="N8" s="12"/>
      <c r="O8" s="38" t="str">
        <f t="shared" si="0"/>
        <v>ISLA</v>
      </c>
    </row>
    <row r="9" spans="1:15" x14ac:dyDescent="0.4">
      <c r="A9" s="37">
        <v>8</v>
      </c>
      <c r="B9" s="37" t="s">
        <v>1004</v>
      </c>
      <c r="C9" s="37" t="s">
        <v>2</v>
      </c>
      <c r="D9" s="37" t="s">
        <v>702</v>
      </c>
      <c r="E9" s="12" t="s">
        <v>75</v>
      </c>
      <c r="F9" s="83">
        <v>43412.260416666664</v>
      </c>
      <c r="G9" s="83">
        <v>43412.354861111111</v>
      </c>
      <c r="H9" s="84">
        <v>136</v>
      </c>
      <c r="I9" s="12" t="s">
        <v>983</v>
      </c>
      <c r="J9" s="12" t="s">
        <v>1005</v>
      </c>
      <c r="K9" s="12" t="s">
        <v>1006</v>
      </c>
      <c r="L9" s="12" t="s">
        <v>701</v>
      </c>
      <c r="M9" s="37" t="s">
        <v>678</v>
      </c>
      <c r="N9" s="12"/>
      <c r="O9" s="38" t="str">
        <f t="shared" si="0"/>
        <v>OSLA</v>
      </c>
    </row>
    <row r="10" spans="1:15" x14ac:dyDescent="0.4">
      <c r="A10" s="37">
        <v>9</v>
      </c>
      <c r="B10" s="37" t="s">
        <v>1007</v>
      </c>
      <c r="C10" s="37" t="s">
        <v>2</v>
      </c>
      <c r="D10" s="37" t="s">
        <v>702</v>
      </c>
      <c r="E10" s="12" t="s">
        <v>594</v>
      </c>
      <c r="F10" s="83">
        <v>43412.260416666664</v>
      </c>
      <c r="G10" s="83">
        <v>43412.354861111111</v>
      </c>
      <c r="H10" s="84">
        <v>136</v>
      </c>
      <c r="I10" s="12" t="s">
        <v>1008</v>
      </c>
      <c r="J10" s="12" t="s">
        <v>1005</v>
      </c>
      <c r="K10" s="12" t="s">
        <v>1006</v>
      </c>
      <c r="L10" s="12" t="s">
        <v>701</v>
      </c>
      <c r="M10" s="37" t="s">
        <v>678</v>
      </c>
      <c r="N10" s="12"/>
      <c r="O10" s="38" t="str">
        <f t="shared" si="0"/>
        <v>OSLA</v>
      </c>
    </row>
    <row r="11" spans="1:15" x14ac:dyDescent="0.4">
      <c r="A11" s="37">
        <v>10</v>
      </c>
      <c r="B11" s="37" t="s">
        <v>1009</v>
      </c>
      <c r="C11" s="37" t="s">
        <v>2</v>
      </c>
      <c r="D11" s="37" t="s">
        <v>701</v>
      </c>
      <c r="E11" s="12" t="s">
        <v>1010</v>
      </c>
      <c r="F11" s="83">
        <v>43412.260416666664</v>
      </c>
      <c r="G11" s="83">
        <v>43412.354861111111</v>
      </c>
      <c r="H11" s="84">
        <v>136</v>
      </c>
      <c r="I11" s="12" t="s">
        <v>1011</v>
      </c>
      <c r="J11" s="12" t="s">
        <v>1005</v>
      </c>
      <c r="K11" s="12" t="s">
        <v>1006</v>
      </c>
      <c r="L11" s="12" t="s">
        <v>701</v>
      </c>
      <c r="M11" s="37" t="s">
        <v>678</v>
      </c>
      <c r="N11" s="12"/>
      <c r="O11" s="38" t="str">
        <f t="shared" si="0"/>
        <v>OSLA</v>
      </c>
    </row>
    <row r="12" spans="1:15" x14ac:dyDescent="0.4">
      <c r="A12" s="37">
        <v>11</v>
      </c>
      <c r="B12" s="37" t="s">
        <v>1009</v>
      </c>
      <c r="C12" s="37" t="s">
        <v>2</v>
      </c>
      <c r="D12" s="37" t="s">
        <v>702</v>
      </c>
      <c r="E12" s="12" t="s">
        <v>33</v>
      </c>
      <c r="F12" s="83">
        <v>43412.260416666664</v>
      </c>
      <c r="G12" s="83">
        <v>43412.354861111111</v>
      </c>
      <c r="H12" s="84">
        <v>136</v>
      </c>
      <c r="I12" s="12" t="s">
        <v>1012</v>
      </c>
      <c r="J12" s="12" t="s">
        <v>1005</v>
      </c>
      <c r="K12" s="12" t="s">
        <v>1006</v>
      </c>
      <c r="L12" s="12" t="s">
        <v>701</v>
      </c>
      <c r="M12" s="37" t="s">
        <v>678</v>
      </c>
      <c r="N12" s="12"/>
      <c r="O12" s="38" t="str">
        <f t="shared" si="0"/>
        <v>OSLA</v>
      </c>
    </row>
    <row r="13" spans="1:15" x14ac:dyDescent="0.4">
      <c r="A13" s="37">
        <v>12</v>
      </c>
      <c r="B13" s="37" t="s">
        <v>1013</v>
      </c>
      <c r="C13" s="37" t="s">
        <v>14</v>
      </c>
      <c r="D13" s="37" t="s">
        <v>701</v>
      </c>
      <c r="E13" s="12" t="s">
        <v>252</v>
      </c>
      <c r="F13" s="83">
        <v>43412.260416666664</v>
      </c>
      <c r="G13" s="83">
        <v>43412.354861111111</v>
      </c>
      <c r="H13" s="84">
        <v>136</v>
      </c>
      <c r="I13" s="12" t="s">
        <v>1014</v>
      </c>
      <c r="J13" s="12" t="s">
        <v>1005</v>
      </c>
      <c r="K13" s="12" t="s">
        <v>1006</v>
      </c>
      <c r="L13" s="12" t="s">
        <v>701</v>
      </c>
      <c r="M13" s="37" t="s">
        <v>678</v>
      </c>
      <c r="N13" s="12"/>
      <c r="O13" s="38" t="str">
        <f t="shared" si="0"/>
        <v>ISLA</v>
      </c>
    </row>
    <row r="14" spans="1:15" x14ac:dyDescent="0.4">
      <c r="A14" s="37">
        <v>13</v>
      </c>
      <c r="B14" s="37" t="s">
        <v>1015</v>
      </c>
      <c r="C14" s="37" t="s">
        <v>2</v>
      </c>
      <c r="D14" s="37" t="s">
        <v>702</v>
      </c>
      <c r="E14" s="12" t="s">
        <v>75</v>
      </c>
      <c r="F14" s="83">
        <v>43413.239583333336</v>
      </c>
      <c r="G14" s="83">
        <v>43413.4</v>
      </c>
      <c r="H14" s="84">
        <v>231</v>
      </c>
      <c r="I14" s="12" t="s">
        <v>983</v>
      </c>
      <c r="J14" s="12" t="s">
        <v>1309</v>
      </c>
      <c r="K14" s="12" t="s">
        <v>1308</v>
      </c>
      <c r="L14" s="12" t="s">
        <v>701</v>
      </c>
      <c r="M14" s="37" t="s">
        <v>678</v>
      </c>
      <c r="N14" s="12"/>
      <c r="O14" s="38" t="str">
        <f t="shared" si="0"/>
        <v>OSLA</v>
      </c>
    </row>
    <row r="15" spans="1:15" x14ac:dyDescent="0.4">
      <c r="A15" s="37">
        <v>14</v>
      </c>
      <c r="B15" s="37" t="s">
        <v>1015</v>
      </c>
      <c r="C15" s="37" t="s">
        <v>2</v>
      </c>
      <c r="D15" s="37" t="s">
        <v>702</v>
      </c>
      <c r="E15" s="12" t="s">
        <v>594</v>
      </c>
      <c r="F15" s="83">
        <v>43413.239583333336</v>
      </c>
      <c r="G15" s="83">
        <v>43413.4</v>
      </c>
      <c r="H15" s="84">
        <v>231</v>
      </c>
      <c r="I15" s="12" t="s">
        <v>1008</v>
      </c>
      <c r="J15" s="12" t="s">
        <v>1309</v>
      </c>
      <c r="K15" s="12" t="s">
        <v>1308</v>
      </c>
      <c r="L15" s="12" t="s">
        <v>701</v>
      </c>
      <c r="M15" s="37" t="s">
        <v>678</v>
      </c>
      <c r="N15" s="12"/>
      <c r="O15" s="38" t="str">
        <f t="shared" si="0"/>
        <v>OSLA</v>
      </c>
    </row>
    <row r="16" spans="1:15" x14ac:dyDescent="0.4">
      <c r="A16" s="37">
        <v>15</v>
      </c>
      <c r="B16" s="37" t="s">
        <v>1015</v>
      </c>
      <c r="C16" s="37" t="s">
        <v>2</v>
      </c>
      <c r="D16" s="37" t="s">
        <v>702</v>
      </c>
      <c r="E16" s="12" t="s">
        <v>1010</v>
      </c>
      <c r="F16" s="83">
        <v>43413.239583333336</v>
      </c>
      <c r="G16" s="83">
        <v>43413.4</v>
      </c>
      <c r="H16" s="84">
        <v>231</v>
      </c>
      <c r="I16" s="12" t="s">
        <v>1011</v>
      </c>
      <c r="J16" s="12" t="s">
        <v>1309</v>
      </c>
      <c r="K16" s="12" t="s">
        <v>1308</v>
      </c>
      <c r="L16" s="12" t="s">
        <v>701</v>
      </c>
      <c r="M16" s="37" t="s">
        <v>678</v>
      </c>
      <c r="N16" s="12"/>
      <c r="O16" s="38" t="str">
        <f t="shared" si="0"/>
        <v>OSLA</v>
      </c>
    </row>
    <row r="17" spans="1:15" x14ac:dyDescent="0.4">
      <c r="A17" s="37">
        <v>16</v>
      </c>
      <c r="B17" s="37" t="s">
        <v>1016</v>
      </c>
      <c r="C17" s="37" t="s">
        <v>2</v>
      </c>
      <c r="D17" s="37" t="s">
        <v>702</v>
      </c>
      <c r="E17" s="12" t="s">
        <v>1017</v>
      </c>
      <c r="F17" s="83">
        <v>43413.344444444447</v>
      </c>
      <c r="G17" s="83">
        <v>43413.38958333333</v>
      </c>
      <c r="H17" s="84">
        <v>64.999999991850927</v>
      </c>
      <c r="I17" s="12" t="s">
        <v>1018</v>
      </c>
      <c r="J17" s="12" t="s">
        <v>1019</v>
      </c>
      <c r="K17" s="12" t="s">
        <v>1020</v>
      </c>
      <c r="L17" s="12" t="s">
        <v>703</v>
      </c>
      <c r="M17" s="37" t="s">
        <v>678</v>
      </c>
      <c r="N17" s="12"/>
      <c r="O17" s="38" t="str">
        <f t="shared" si="0"/>
        <v>ISLA</v>
      </c>
    </row>
    <row r="18" spans="1:15" x14ac:dyDescent="0.4">
      <c r="A18" s="37">
        <v>17</v>
      </c>
      <c r="B18" s="37" t="s">
        <v>1021</v>
      </c>
      <c r="C18" s="37" t="s">
        <v>14</v>
      </c>
      <c r="D18" s="37" t="s">
        <v>701</v>
      </c>
      <c r="E18" s="12" t="s">
        <v>581</v>
      </c>
      <c r="F18" s="83">
        <v>43416.537499999999</v>
      </c>
      <c r="G18" s="83">
        <v>43416.576388888891</v>
      </c>
      <c r="H18" s="84">
        <v>56</v>
      </c>
      <c r="I18" s="12" t="s">
        <v>313</v>
      </c>
      <c r="J18" s="12" t="s">
        <v>879</v>
      </c>
      <c r="K18" s="12" t="s">
        <v>1022</v>
      </c>
      <c r="L18" s="12" t="s">
        <v>701</v>
      </c>
      <c r="M18" s="37" t="s">
        <v>678</v>
      </c>
      <c r="N18" s="12"/>
      <c r="O18" s="38" t="str">
        <f t="shared" si="0"/>
        <v>ISLA</v>
      </c>
    </row>
    <row r="19" spans="1:15" x14ac:dyDescent="0.4">
      <c r="A19" s="37">
        <v>18</v>
      </c>
      <c r="B19" s="37" t="s">
        <v>1023</v>
      </c>
      <c r="C19" s="37" t="s">
        <v>2</v>
      </c>
      <c r="D19" s="37" t="s">
        <v>702</v>
      </c>
      <c r="E19" s="12" t="s">
        <v>1025</v>
      </c>
      <c r="F19" s="83">
        <v>43417.508333333331</v>
      </c>
      <c r="G19" s="83">
        <v>43417.795138888891</v>
      </c>
      <c r="H19" s="84">
        <v>413</v>
      </c>
      <c r="I19" s="12" t="s">
        <v>1024</v>
      </c>
      <c r="J19" s="12" t="s">
        <v>1026</v>
      </c>
      <c r="K19" s="12" t="s">
        <v>1027</v>
      </c>
      <c r="L19" s="12" t="s">
        <v>1028</v>
      </c>
      <c r="M19" s="37" t="s">
        <v>678</v>
      </c>
      <c r="N19" s="12"/>
      <c r="O19" s="38" t="str">
        <f t="shared" si="0"/>
        <v>OSLA</v>
      </c>
    </row>
    <row r="20" spans="1:15" x14ac:dyDescent="0.4">
      <c r="A20" s="37">
        <v>19</v>
      </c>
      <c r="B20" s="37" t="s">
        <v>1029</v>
      </c>
      <c r="C20" s="37" t="s">
        <v>2</v>
      </c>
      <c r="D20" s="37" t="s">
        <v>701</v>
      </c>
      <c r="E20" s="12" t="s">
        <v>594</v>
      </c>
      <c r="F20" s="83">
        <v>43417.615277777775</v>
      </c>
      <c r="G20" s="83">
        <v>43417.680555555555</v>
      </c>
      <c r="H20" s="84">
        <v>94</v>
      </c>
      <c r="I20" s="12" t="s">
        <v>313</v>
      </c>
      <c r="J20" s="12" t="s">
        <v>1310</v>
      </c>
      <c r="K20" s="12" t="s">
        <v>1311</v>
      </c>
      <c r="L20" s="12" t="s">
        <v>701</v>
      </c>
      <c r="M20" s="37" t="s">
        <v>678</v>
      </c>
      <c r="N20" s="12"/>
      <c r="O20" s="38" t="str">
        <f t="shared" si="0"/>
        <v>ISLA</v>
      </c>
    </row>
    <row r="21" spans="1:15" x14ac:dyDescent="0.4">
      <c r="A21" s="37">
        <v>20</v>
      </c>
      <c r="B21" s="37" t="s">
        <v>1029</v>
      </c>
      <c r="C21" s="37" t="s">
        <v>2</v>
      </c>
      <c r="D21" s="37" t="s">
        <v>701</v>
      </c>
      <c r="E21" s="12" t="s">
        <v>75</v>
      </c>
      <c r="F21" s="83">
        <v>43417.615277777775</v>
      </c>
      <c r="G21" s="83">
        <v>43417.680555555555</v>
      </c>
      <c r="H21" s="84">
        <v>94</v>
      </c>
      <c r="I21" s="12" t="s">
        <v>983</v>
      </c>
      <c r="J21" s="12" t="s">
        <v>1310</v>
      </c>
      <c r="K21" s="12" t="s">
        <v>1311</v>
      </c>
      <c r="L21" s="12" t="s">
        <v>701</v>
      </c>
      <c r="M21" s="37" t="s">
        <v>678</v>
      </c>
      <c r="N21" s="12"/>
      <c r="O21" s="38" t="str">
        <f t="shared" si="0"/>
        <v>ISLA</v>
      </c>
    </row>
    <row r="22" spans="1:15" x14ac:dyDescent="0.4">
      <c r="A22" s="37">
        <v>21</v>
      </c>
      <c r="B22" s="37" t="s">
        <v>1030</v>
      </c>
      <c r="C22" s="37" t="s">
        <v>2</v>
      </c>
      <c r="D22" s="37" t="s">
        <v>701</v>
      </c>
      <c r="E22" s="12" t="s">
        <v>581</v>
      </c>
      <c r="F22" s="83">
        <v>43417.902777777781</v>
      </c>
      <c r="G22" s="83">
        <v>43417.9375</v>
      </c>
      <c r="H22" s="84">
        <v>50</v>
      </c>
      <c r="I22" s="12" t="s">
        <v>313</v>
      </c>
      <c r="J22" s="12" t="s">
        <v>879</v>
      </c>
      <c r="K22" s="12" t="s">
        <v>1022</v>
      </c>
      <c r="L22" s="12" t="s">
        <v>701</v>
      </c>
      <c r="M22" s="37" t="s">
        <v>678</v>
      </c>
      <c r="N22" s="12"/>
      <c r="O22" s="38" t="str">
        <f t="shared" si="0"/>
        <v>ISLA</v>
      </c>
    </row>
    <row r="23" spans="1:15" x14ac:dyDescent="0.4">
      <c r="A23" s="37">
        <v>22</v>
      </c>
      <c r="B23" s="37" t="s">
        <v>1031</v>
      </c>
      <c r="C23" s="37" t="s">
        <v>2</v>
      </c>
      <c r="D23" s="37" t="s">
        <v>702</v>
      </c>
      <c r="E23" s="12" t="s">
        <v>930</v>
      </c>
      <c r="F23" s="83">
        <v>43418.086805555555</v>
      </c>
      <c r="G23" s="83">
        <v>43421.427083333336</v>
      </c>
      <c r="H23" s="84">
        <v>1035</v>
      </c>
      <c r="I23" s="12" t="s">
        <v>1032</v>
      </c>
      <c r="J23" s="12" t="s">
        <v>1104</v>
      </c>
      <c r="K23" s="12" t="s">
        <v>665</v>
      </c>
      <c r="L23" s="12" t="s">
        <v>1033</v>
      </c>
      <c r="M23" s="37" t="s">
        <v>678</v>
      </c>
      <c r="N23" s="12"/>
      <c r="O23" s="38" t="str">
        <f t="shared" si="0"/>
        <v>OSLA</v>
      </c>
    </row>
    <row r="24" spans="1:15" x14ac:dyDescent="0.4">
      <c r="A24" s="37">
        <v>23</v>
      </c>
      <c r="B24" s="37" t="s">
        <v>1034</v>
      </c>
      <c r="C24" s="37" t="s">
        <v>2</v>
      </c>
      <c r="D24" s="37" t="s">
        <v>701</v>
      </c>
      <c r="E24" s="12" t="s">
        <v>581</v>
      </c>
      <c r="F24" s="83">
        <v>43419.544444444444</v>
      </c>
      <c r="G24" s="83">
        <v>43419.584722222222</v>
      </c>
      <c r="H24" s="84">
        <v>58</v>
      </c>
      <c r="I24" s="12" t="s">
        <v>313</v>
      </c>
      <c r="J24" s="12" t="s">
        <v>879</v>
      </c>
      <c r="K24" s="12" t="s">
        <v>1022</v>
      </c>
      <c r="L24" s="12" t="s">
        <v>701</v>
      </c>
      <c r="M24" s="37" t="s">
        <v>678</v>
      </c>
      <c r="N24" s="12"/>
      <c r="O24" s="38" t="str">
        <f t="shared" si="0"/>
        <v>ISLA</v>
      </c>
    </row>
    <row r="25" spans="1:15" x14ac:dyDescent="0.4">
      <c r="A25" s="37">
        <v>24</v>
      </c>
      <c r="B25" s="37" t="s">
        <v>1035</v>
      </c>
      <c r="C25" s="37" t="s">
        <v>2</v>
      </c>
      <c r="D25" s="37" t="s">
        <v>702</v>
      </c>
      <c r="E25" s="12" t="s">
        <v>542</v>
      </c>
      <c r="F25" s="83">
        <v>43420.060416666667</v>
      </c>
      <c r="G25" s="83">
        <v>43421.291666666664</v>
      </c>
      <c r="H25" s="84">
        <v>332.99999999580905</v>
      </c>
      <c r="I25" s="12" t="s">
        <v>1103</v>
      </c>
      <c r="J25" s="12" t="s">
        <v>1036</v>
      </c>
      <c r="K25" s="12" t="s">
        <v>1037</v>
      </c>
      <c r="L25" s="12" t="s">
        <v>704</v>
      </c>
      <c r="M25" s="37" t="s">
        <v>678</v>
      </c>
      <c r="N25" s="12"/>
      <c r="O25" s="38" t="str">
        <f t="shared" si="0"/>
        <v>OSLA</v>
      </c>
    </row>
    <row r="26" spans="1:15" x14ac:dyDescent="0.4">
      <c r="A26" s="37">
        <v>25</v>
      </c>
      <c r="B26" s="37" t="s">
        <v>1038</v>
      </c>
      <c r="C26" s="37" t="s">
        <v>2</v>
      </c>
      <c r="D26" s="37" t="s">
        <v>707</v>
      </c>
      <c r="E26" s="12" t="s">
        <v>1040</v>
      </c>
      <c r="F26" s="83">
        <v>43420.714583333334</v>
      </c>
      <c r="G26" s="83">
        <v>43421.433333333334</v>
      </c>
      <c r="H26" s="84">
        <v>1035</v>
      </c>
      <c r="I26" s="97" t="s">
        <v>1039</v>
      </c>
      <c r="J26" s="12" t="s">
        <v>1105</v>
      </c>
      <c r="K26" s="12" t="s">
        <v>1106</v>
      </c>
      <c r="L26" s="12" t="s">
        <v>707</v>
      </c>
      <c r="M26" s="37" t="s">
        <v>678</v>
      </c>
      <c r="N26" s="12"/>
      <c r="O26" s="38" t="str">
        <f t="shared" si="0"/>
        <v>OSLA</v>
      </c>
    </row>
    <row r="27" spans="1:15" ht="15.9" x14ac:dyDescent="0.4">
      <c r="A27" s="37">
        <v>26</v>
      </c>
      <c r="B27" s="37" t="s">
        <v>1041</v>
      </c>
      <c r="C27" s="37" t="s">
        <v>2</v>
      </c>
      <c r="D27" s="37" t="s">
        <v>702</v>
      </c>
      <c r="E27" s="12" t="s">
        <v>1043</v>
      </c>
      <c r="F27" s="83">
        <v>43420.954861111109</v>
      </c>
      <c r="G27" s="83">
        <v>43421.131944444445</v>
      </c>
      <c r="H27" s="84">
        <v>255.00000000349246</v>
      </c>
      <c r="I27" s="12" t="s">
        <v>1042</v>
      </c>
      <c r="J27" s="12" t="s">
        <v>1044</v>
      </c>
      <c r="K27" s="12" t="s">
        <v>1045</v>
      </c>
      <c r="L27" s="12" t="s">
        <v>704</v>
      </c>
      <c r="M27" s="37" t="s">
        <v>678</v>
      </c>
      <c r="N27" s="12"/>
      <c r="O27" s="38" t="str">
        <f t="shared" si="0"/>
        <v>OSLA</v>
      </c>
    </row>
    <row r="28" spans="1:15" x14ac:dyDescent="0.4">
      <c r="A28" s="37">
        <v>27</v>
      </c>
      <c r="B28" s="37" t="s">
        <v>1046</v>
      </c>
      <c r="C28" s="37" t="s">
        <v>2</v>
      </c>
      <c r="D28" s="37" t="s">
        <v>701</v>
      </c>
      <c r="E28" s="12" t="s">
        <v>581</v>
      </c>
      <c r="F28" s="83">
        <v>43422.053472222222</v>
      </c>
      <c r="G28" s="83">
        <v>43422.065972222219</v>
      </c>
      <c r="H28" s="84">
        <v>17.999999995809048</v>
      </c>
      <c r="I28" s="12" t="s">
        <v>313</v>
      </c>
      <c r="J28" s="12" t="s">
        <v>879</v>
      </c>
      <c r="K28" s="12" t="s">
        <v>1047</v>
      </c>
      <c r="L28" s="12" t="s">
        <v>701</v>
      </c>
      <c r="M28" s="37" t="s">
        <v>678</v>
      </c>
      <c r="N28" s="12"/>
      <c r="O28" s="38" t="str">
        <f t="shared" si="0"/>
        <v>ISLA</v>
      </c>
    </row>
    <row r="29" spans="1:15" x14ac:dyDescent="0.4">
      <c r="A29" s="37">
        <v>28</v>
      </c>
      <c r="B29" s="37" t="s">
        <v>1048</v>
      </c>
      <c r="C29" s="37" t="s">
        <v>14</v>
      </c>
      <c r="D29" s="37" t="s">
        <v>707</v>
      </c>
      <c r="E29" s="12" t="s">
        <v>228</v>
      </c>
      <c r="F29" s="83">
        <v>43422.520833333336</v>
      </c>
      <c r="G29" s="83">
        <v>43422.578472222223</v>
      </c>
      <c r="H29" s="84">
        <f t="shared" ref="H29:H42" si="1">(G29-F29)*1440</f>
        <v>82.999999998137355</v>
      </c>
      <c r="I29" s="12" t="s">
        <v>1049</v>
      </c>
      <c r="J29" s="12" t="s">
        <v>1107</v>
      </c>
      <c r="K29" s="12" t="s">
        <v>1108</v>
      </c>
      <c r="L29" s="12" t="s">
        <v>707</v>
      </c>
      <c r="M29" s="37" t="s">
        <v>678</v>
      </c>
      <c r="N29" s="12"/>
      <c r="O29" s="38" t="str">
        <f t="shared" si="0"/>
        <v>ISLA</v>
      </c>
    </row>
    <row r="30" spans="1:15" x14ac:dyDescent="0.4">
      <c r="A30" s="37">
        <v>29</v>
      </c>
      <c r="B30" s="37" t="s">
        <v>1050</v>
      </c>
      <c r="C30" s="37" t="s">
        <v>2</v>
      </c>
      <c r="D30" s="37" t="s">
        <v>701</v>
      </c>
      <c r="E30" s="12" t="s">
        <v>581</v>
      </c>
      <c r="F30" s="83">
        <v>43422.742361111108</v>
      </c>
      <c r="G30" s="83">
        <v>43425.760416666664</v>
      </c>
      <c r="H30" s="84">
        <f t="shared" si="1"/>
        <v>4346.0000000009313</v>
      </c>
      <c r="I30" s="12" t="s">
        <v>313</v>
      </c>
      <c r="J30" s="12" t="s">
        <v>1053</v>
      </c>
      <c r="K30" s="12" t="s">
        <v>1047</v>
      </c>
      <c r="L30" s="12" t="s">
        <v>701</v>
      </c>
      <c r="M30" s="37" t="s">
        <v>678</v>
      </c>
      <c r="N30" s="12"/>
      <c r="O30" s="38" t="str">
        <f t="shared" si="0"/>
        <v>OSLA</v>
      </c>
    </row>
    <row r="31" spans="1:15" x14ac:dyDescent="0.4">
      <c r="A31" s="37">
        <v>30</v>
      </c>
      <c r="B31" s="37" t="s">
        <v>1051</v>
      </c>
      <c r="C31" s="37" t="s">
        <v>2</v>
      </c>
      <c r="D31" s="37" t="s">
        <v>701</v>
      </c>
      <c r="E31" s="12" t="s">
        <v>138</v>
      </c>
      <c r="F31" s="83">
        <v>43422.895138888889</v>
      </c>
      <c r="G31" s="83">
        <v>43422.943749999999</v>
      </c>
      <c r="H31" s="84">
        <f t="shared" si="1"/>
        <v>69.999999997671694</v>
      </c>
      <c r="I31" s="12" t="s">
        <v>1052</v>
      </c>
      <c r="J31" s="12" t="s">
        <v>1227</v>
      </c>
      <c r="K31" s="12" t="s">
        <v>105</v>
      </c>
      <c r="L31" s="12" t="s">
        <v>704</v>
      </c>
      <c r="M31" s="37" t="s">
        <v>678</v>
      </c>
      <c r="N31" s="12"/>
      <c r="O31" s="38" t="str">
        <f t="shared" si="0"/>
        <v>ISLA</v>
      </c>
    </row>
    <row r="32" spans="1:15" x14ac:dyDescent="0.4">
      <c r="A32" s="37">
        <v>31</v>
      </c>
      <c r="B32" s="37" t="s">
        <v>1054</v>
      </c>
      <c r="C32" s="37" t="s">
        <v>2</v>
      </c>
      <c r="D32" s="37" t="s">
        <v>701</v>
      </c>
      <c r="E32" s="12" t="s">
        <v>138</v>
      </c>
      <c r="F32" s="83">
        <v>43425.654861111114</v>
      </c>
      <c r="G32" s="83">
        <v>43425.675000000003</v>
      </c>
      <c r="H32" s="84">
        <f t="shared" si="1"/>
        <v>29.000000000232831</v>
      </c>
      <c r="I32" s="12" t="s">
        <v>1055</v>
      </c>
      <c r="J32" s="12" t="s">
        <v>1227</v>
      </c>
      <c r="K32" s="12" t="s">
        <v>105</v>
      </c>
      <c r="L32" s="12" t="s">
        <v>704</v>
      </c>
      <c r="M32" s="37" t="s">
        <v>678</v>
      </c>
      <c r="N32" s="12"/>
      <c r="O32" s="38" t="str">
        <f t="shared" si="0"/>
        <v>ISLA</v>
      </c>
    </row>
    <row r="33" spans="1:15" x14ac:dyDescent="0.4">
      <c r="A33" s="37">
        <v>32</v>
      </c>
      <c r="B33" s="37" t="s">
        <v>1056</v>
      </c>
      <c r="C33" s="37" t="s">
        <v>2</v>
      </c>
      <c r="D33" s="37" t="s">
        <v>702</v>
      </c>
      <c r="E33" s="12" t="s">
        <v>40</v>
      </c>
      <c r="F33" s="83">
        <v>43426.494444444441</v>
      </c>
      <c r="G33" s="83">
        <v>43426.529166666667</v>
      </c>
      <c r="H33" s="84">
        <f t="shared" si="1"/>
        <v>50.000000005820766</v>
      </c>
      <c r="I33" s="12" t="s">
        <v>1057</v>
      </c>
      <c r="J33" s="12" t="s">
        <v>1058</v>
      </c>
      <c r="K33" s="12" t="s">
        <v>1059</v>
      </c>
      <c r="L33" s="12" t="s">
        <v>703</v>
      </c>
      <c r="M33" s="37" t="s">
        <v>678</v>
      </c>
      <c r="N33" s="12"/>
      <c r="O33" s="38" t="str">
        <f t="shared" si="0"/>
        <v>ISLA</v>
      </c>
    </row>
    <row r="34" spans="1:15" x14ac:dyDescent="0.4">
      <c r="A34" s="37">
        <v>33</v>
      </c>
      <c r="B34" s="37" t="s">
        <v>1056</v>
      </c>
      <c r="C34" s="37" t="s">
        <v>2</v>
      </c>
      <c r="D34" s="37" t="s">
        <v>702</v>
      </c>
      <c r="E34" s="12" t="s">
        <v>33</v>
      </c>
      <c r="F34" s="83">
        <v>43426.494444444441</v>
      </c>
      <c r="G34" s="83">
        <v>43426.529166666667</v>
      </c>
      <c r="H34" s="84">
        <f t="shared" si="1"/>
        <v>50.000000005820766</v>
      </c>
      <c r="I34" s="12" t="s">
        <v>1060</v>
      </c>
      <c r="J34" s="12" t="s">
        <v>1058</v>
      </c>
      <c r="K34" s="12" t="s">
        <v>1059</v>
      </c>
      <c r="L34" s="12" t="s">
        <v>703</v>
      </c>
      <c r="M34" s="37" t="s">
        <v>678</v>
      </c>
      <c r="N34" s="12"/>
      <c r="O34" s="38" t="str">
        <f t="shared" si="0"/>
        <v>ISLA</v>
      </c>
    </row>
    <row r="35" spans="1:15" ht="15.45" x14ac:dyDescent="0.4">
      <c r="A35" s="37">
        <v>34</v>
      </c>
      <c r="B35" s="37" t="s">
        <v>1061</v>
      </c>
      <c r="C35" s="37" t="s">
        <v>2</v>
      </c>
      <c r="D35" s="37" t="s">
        <v>702</v>
      </c>
      <c r="E35" s="12" t="s">
        <v>1062</v>
      </c>
      <c r="F35" s="83">
        <v>43426.538194444445</v>
      </c>
      <c r="G35" s="83">
        <v>43426.59375</v>
      </c>
      <c r="H35" s="84">
        <f t="shared" si="1"/>
        <v>79.999999998835847</v>
      </c>
      <c r="I35" s="98" t="s">
        <v>1130</v>
      </c>
      <c r="J35" s="12" t="s">
        <v>1102</v>
      </c>
      <c r="K35" s="12" t="s">
        <v>1063</v>
      </c>
      <c r="L35" s="12" t="s">
        <v>704</v>
      </c>
      <c r="M35" s="37" t="s">
        <v>678</v>
      </c>
      <c r="N35" s="12"/>
      <c r="O35" s="38" t="str">
        <f t="shared" si="0"/>
        <v>ISLA</v>
      </c>
    </row>
    <row r="36" spans="1:15" x14ac:dyDescent="0.4">
      <c r="A36" s="37">
        <v>35</v>
      </c>
      <c r="B36" s="37" t="s">
        <v>1050</v>
      </c>
      <c r="C36" s="37" t="s">
        <v>2</v>
      </c>
      <c r="D36" s="37" t="s">
        <v>701</v>
      </c>
      <c r="E36" s="12" t="s">
        <v>581</v>
      </c>
      <c r="F36" s="83">
        <v>43427.602777777778</v>
      </c>
      <c r="G36" s="83">
        <v>43427.630555555559</v>
      </c>
      <c r="H36" s="84">
        <f t="shared" si="1"/>
        <v>40.000000004656613</v>
      </c>
      <c r="I36" s="12" t="s">
        <v>313</v>
      </c>
      <c r="J36" s="12" t="s">
        <v>1064</v>
      </c>
      <c r="K36" s="12" t="s">
        <v>1022</v>
      </c>
      <c r="L36" s="12" t="s">
        <v>701</v>
      </c>
      <c r="M36" s="37" t="s">
        <v>678</v>
      </c>
      <c r="N36" s="12"/>
      <c r="O36" s="38" t="str">
        <f t="shared" si="0"/>
        <v>ISLA</v>
      </c>
    </row>
    <row r="37" spans="1:15" x14ac:dyDescent="0.4">
      <c r="A37" s="37">
        <v>36</v>
      </c>
      <c r="B37" s="37" t="s">
        <v>1065</v>
      </c>
      <c r="C37" s="37" t="s">
        <v>2</v>
      </c>
      <c r="D37" s="37" t="s">
        <v>701</v>
      </c>
      <c r="E37" s="12" t="s">
        <v>581</v>
      </c>
      <c r="F37" s="83">
        <v>43427.895833333336</v>
      </c>
      <c r="G37" s="83">
        <v>43427.972222222219</v>
      </c>
      <c r="H37" s="84">
        <f t="shared" si="1"/>
        <v>109.99999999185093</v>
      </c>
      <c r="I37" s="12" t="s">
        <v>1066</v>
      </c>
      <c r="J37" s="12" t="s">
        <v>1067</v>
      </c>
      <c r="K37" s="12" t="s">
        <v>105</v>
      </c>
      <c r="L37" s="12" t="s">
        <v>701</v>
      </c>
      <c r="M37" s="37" t="s">
        <v>678</v>
      </c>
      <c r="N37" s="12"/>
      <c r="O37" s="38" t="str">
        <f t="shared" si="0"/>
        <v>ISLA</v>
      </c>
    </row>
    <row r="38" spans="1:15" x14ac:dyDescent="0.4">
      <c r="A38" s="37">
        <v>37</v>
      </c>
      <c r="B38" s="37" t="s">
        <v>1068</v>
      </c>
      <c r="C38" s="37" t="s">
        <v>2</v>
      </c>
      <c r="D38" s="37" t="s">
        <v>701</v>
      </c>
      <c r="E38" s="12" t="s">
        <v>594</v>
      </c>
      <c r="F38" s="83">
        <v>43427.895833333336</v>
      </c>
      <c r="G38" s="83">
        <v>43427.972222222219</v>
      </c>
      <c r="H38" s="84">
        <f t="shared" si="1"/>
        <v>109.99999999185093</v>
      </c>
      <c r="I38" s="12" t="s">
        <v>1069</v>
      </c>
      <c r="J38" s="12" t="s">
        <v>1067</v>
      </c>
      <c r="K38" s="12" t="s">
        <v>105</v>
      </c>
      <c r="L38" s="12" t="s">
        <v>701</v>
      </c>
      <c r="M38" s="37" t="s">
        <v>678</v>
      </c>
      <c r="N38" s="12"/>
      <c r="O38" s="38" t="str">
        <f t="shared" si="0"/>
        <v>ISLA</v>
      </c>
    </row>
    <row r="39" spans="1:15" x14ac:dyDescent="0.4">
      <c r="A39" s="37">
        <v>38</v>
      </c>
      <c r="B39" s="37" t="s">
        <v>1065</v>
      </c>
      <c r="C39" s="37" t="s">
        <v>2</v>
      </c>
      <c r="D39" s="37" t="s">
        <v>702</v>
      </c>
      <c r="E39" s="12" t="s">
        <v>1071</v>
      </c>
      <c r="F39" s="83">
        <v>43427.895833333336</v>
      </c>
      <c r="G39" s="83">
        <v>43427.972222222219</v>
      </c>
      <c r="H39" s="84">
        <f t="shared" si="1"/>
        <v>109.99999999185093</v>
      </c>
      <c r="I39" s="12" t="s">
        <v>1070</v>
      </c>
      <c r="J39" s="12" t="s">
        <v>1067</v>
      </c>
      <c r="K39" s="12" t="s">
        <v>105</v>
      </c>
      <c r="L39" s="12" t="s">
        <v>1286</v>
      </c>
      <c r="M39" s="37" t="s">
        <v>678</v>
      </c>
      <c r="N39" s="12"/>
      <c r="O39" s="38" t="str">
        <f t="shared" si="0"/>
        <v>ISLA</v>
      </c>
    </row>
    <row r="40" spans="1:15" x14ac:dyDescent="0.4">
      <c r="A40" s="37">
        <v>39</v>
      </c>
      <c r="B40" s="37" t="s">
        <v>1072</v>
      </c>
      <c r="C40" s="37" t="s">
        <v>2</v>
      </c>
      <c r="D40" s="37" t="s">
        <v>702</v>
      </c>
      <c r="E40" s="12" t="s">
        <v>138</v>
      </c>
      <c r="F40" s="83">
        <v>43428.135416666664</v>
      </c>
      <c r="G40" s="83">
        <v>43428.158333333333</v>
      </c>
      <c r="H40" s="84">
        <f t="shared" si="1"/>
        <v>33.000000002793968</v>
      </c>
      <c r="I40" s="12" t="s">
        <v>1052</v>
      </c>
      <c r="J40" s="12" t="s">
        <v>1073</v>
      </c>
      <c r="K40" s="12" t="s">
        <v>105</v>
      </c>
      <c r="L40" s="12" t="s">
        <v>704</v>
      </c>
      <c r="M40" s="37" t="s">
        <v>678</v>
      </c>
      <c r="N40" s="12"/>
      <c r="O40" s="38" t="str">
        <f t="shared" si="0"/>
        <v>ISLA</v>
      </c>
    </row>
    <row r="41" spans="1:15" x14ac:dyDescent="0.4">
      <c r="A41" s="37">
        <v>40</v>
      </c>
      <c r="B41" s="37" t="s">
        <v>1074</v>
      </c>
      <c r="C41" s="37" t="s">
        <v>2</v>
      </c>
      <c r="D41" s="37" t="s">
        <v>702</v>
      </c>
      <c r="E41" s="12" t="s">
        <v>138</v>
      </c>
      <c r="F41" s="83">
        <v>43428.324305555558</v>
      </c>
      <c r="G41" s="83">
        <v>43428.34097222222</v>
      </c>
      <c r="H41" s="84">
        <f t="shared" si="1"/>
        <v>23.999999994412065</v>
      </c>
      <c r="I41" s="12" t="s">
        <v>1052</v>
      </c>
      <c r="J41" s="12" t="s">
        <v>1073</v>
      </c>
      <c r="K41" s="12" t="s">
        <v>105</v>
      </c>
      <c r="L41" s="12" t="s">
        <v>704</v>
      </c>
      <c r="M41" s="37" t="s">
        <v>678</v>
      </c>
      <c r="N41" s="12"/>
      <c r="O41" s="38" t="str">
        <f t="shared" si="0"/>
        <v>ISLA</v>
      </c>
    </row>
    <row r="42" spans="1:15" x14ac:dyDescent="0.4">
      <c r="A42" s="37">
        <v>41</v>
      </c>
      <c r="B42" s="37" t="s">
        <v>1074</v>
      </c>
      <c r="C42" s="37" t="s">
        <v>2</v>
      </c>
      <c r="D42" s="37" t="s">
        <v>702</v>
      </c>
      <c r="E42" s="12" t="s">
        <v>138</v>
      </c>
      <c r="F42" s="83">
        <v>43428.397222222222</v>
      </c>
      <c r="G42" s="83">
        <v>43428.402083333334</v>
      </c>
      <c r="H42" s="84">
        <f t="shared" si="1"/>
        <v>7.0000000018626451</v>
      </c>
      <c r="I42" s="12" t="s">
        <v>1052</v>
      </c>
      <c r="J42" s="12" t="s">
        <v>1073</v>
      </c>
      <c r="K42" s="12" t="s">
        <v>105</v>
      </c>
      <c r="L42" s="12" t="s">
        <v>704</v>
      </c>
      <c r="M42" s="37" t="s">
        <v>678</v>
      </c>
      <c r="N42" s="12"/>
      <c r="O42" s="38" t="str">
        <f t="shared" si="0"/>
        <v>ISLA</v>
      </c>
    </row>
    <row r="43" spans="1:15" x14ac:dyDescent="0.4">
      <c r="A43" s="37">
        <v>42</v>
      </c>
      <c r="B43" s="37" t="s">
        <v>1075</v>
      </c>
      <c r="C43" s="37" t="s">
        <v>2</v>
      </c>
      <c r="D43" s="37" t="s">
        <v>702</v>
      </c>
      <c r="E43" s="12" t="s">
        <v>930</v>
      </c>
      <c r="F43" s="83">
        <v>43430.008333333331</v>
      </c>
      <c r="G43" s="83">
        <v>43430.265972222223</v>
      </c>
      <c r="H43" s="84">
        <v>371</v>
      </c>
      <c r="I43" s="12" t="s">
        <v>1076</v>
      </c>
      <c r="J43" s="12" t="s">
        <v>1077</v>
      </c>
      <c r="K43" s="12" t="s">
        <v>1078</v>
      </c>
      <c r="L43" s="12" t="s">
        <v>1033</v>
      </c>
      <c r="M43" s="37" t="s">
        <v>678</v>
      </c>
      <c r="N43" s="12"/>
      <c r="O43" s="38" t="str">
        <f t="shared" si="0"/>
        <v>OSLA</v>
      </c>
    </row>
    <row r="44" spans="1:15" x14ac:dyDescent="0.4">
      <c r="A44" s="37">
        <v>43</v>
      </c>
      <c r="B44" s="37" t="s">
        <v>1079</v>
      </c>
      <c r="C44" s="37" t="s">
        <v>2</v>
      </c>
      <c r="D44" s="37" t="s">
        <v>702</v>
      </c>
      <c r="E44" s="12" t="s">
        <v>177</v>
      </c>
      <c r="F44" s="83">
        <v>43430.734027777777</v>
      </c>
      <c r="G44" s="83">
        <v>43433.691666666666</v>
      </c>
      <c r="H44" s="84">
        <v>4259</v>
      </c>
      <c r="I44" s="12" t="s">
        <v>1080</v>
      </c>
      <c r="J44" s="12" t="s">
        <v>1081</v>
      </c>
      <c r="K44" s="12" t="s">
        <v>1082</v>
      </c>
      <c r="L44" s="12" t="s">
        <v>1028</v>
      </c>
      <c r="M44" s="37" t="s">
        <v>678</v>
      </c>
      <c r="N44" s="12"/>
      <c r="O44" s="38" t="str">
        <f t="shared" si="0"/>
        <v>OSLA</v>
      </c>
    </row>
    <row r="45" spans="1:15" x14ac:dyDescent="0.4">
      <c r="A45" s="37">
        <v>44</v>
      </c>
      <c r="B45" s="37" t="s">
        <v>1083</v>
      </c>
      <c r="C45" s="37" t="s">
        <v>2</v>
      </c>
      <c r="D45" s="37" t="s">
        <v>702</v>
      </c>
      <c r="E45" s="12" t="s">
        <v>1232</v>
      </c>
      <c r="F45" s="102">
        <v>43431.298611111109</v>
      </c>
      <c r="G45" s="102">
        <v>43431.315972222219</v>
      </c>
      <c r="H45" s="103">
        <v>25</v>
      </c>
      <c r="I45" s="12" t="s">
        <v>1084</v>
      </c>
      <c r="J45" s="12" t="s">
        <v>1085</v>
      </c>
      <c r="K45" s="12" t="s">
        <v>105</v>
      </c>
      <c r="L45" s="12" t="s">
        <v>704</v>
      </c>
      <c r="M45" s="37" t="s">
        <v>678</v>
      </c>
      <c r="N45" s="12"/>
      <c r="O45" s="38" t="str">
        <f t="shared" si="0"/>
        <v>ISLA</v>
      </c>
    </row>
    <row r="46" spans="1:15" x14ac:dyDescent="0.4">
      <c r="A46" s="37">
        <v>45</v>
      </c>
      <c r="B46" s="37" t="s">
        <v>1086</v>
      </c>
      <c r="C46" s="37" t="s">
        <v>2</v>
      </c>
      <c r="D46" s="37" t="s">
        <v>702</v>
      </c>
      <c r="E46" s="12" t="s">
        <v>57</v>
      </c>
      <c r="F46" s="102">
        <v>43434.456944444442</v>
      </c>
      <c r="G46" s="102">
        <v>43438.551388888889</v>
      </c>
      <c r="H46" s="103">
        <v>5896.0000000032596</v>
      </c>
      <c r="I46" s="12" t="s">
        <v>1087</v>
      </c>
      <c r="J46" s="12" t="s">
        <v>1109</v>
      </c>
      <c r="K46" s="12" t="s">
        <v>1110</v>
      </c>
      <c r="L46" s="12" t="s">
        <v>1088</v>
      </c>
      <c r="M46" s="37" t="s">
        <v>678</v>
      </c>
      <c r="N46" s="12"/>
      <c r="O46" s="38" t="str">
        <f>IF(AND(C46=$B$51,H46&lt;=$D$51),"ISLA",IF((AND(C46=$B$52,H46&lt;=$D$52)),"ISLA",IF((AND(C46=$B$53,H46&lt;=$D$53)),"ISLA","OSLA")))</f>
        <v>OSLA</v>
      </c>
    </row>
    <row r="47" spans="1:15" x14ac:dyDescent="0.4">
      <c r="A47" s="37">
        <v>46</v>
      </c>
      <c r="B47" s="37" t="s">
        <v>1089</v>
      </c>
      <c r="C47" s="37" t="s">
        <v>14</v>
      </c>
      <c r="D47" s="37" t="s">
        <v>701</v>
      </c>
      <c r="E47" s="12" t="s">
        <v>138</v>
      </c>
      <c r="F47" s="102">
        <v>43434.826388888891</v>
      </c>
      <c r="G47" s="102">
        <v>43434.946527777778</v>
      </c>
      <c r="H47" s="103">
        <f>(G47-F47)*1440</f>
        <v>172.99999999813735</v>
      </c>
      <c r="I47" s="12" t="s">
        <v>1090</v>
      </c>
      <c r="J47" s="12" t="s">
        <v>1091</v>
      </c>
      <c r="K47" s="12" t="s">
        <v>105</v>
      </c>
      <c r="L47" s="12" t="s">
        <v>704</v>
      </c>
      <c r="M47" s="37" t="s">
        <v>678</v>
      </c>
      <c r="N47" s="12"/>
      <c r="O47" s="38" t="str">
        <f t="shared" si="0"/>
        <v>ISLA</v>
      </c>
    </row>
    <row r="48" spans="1:15" x14ac:dyDescent="0.4">
      <c r="A48" s="37">
        <v>47</v>
      </c>
      <c r="B48" s="37" t="s">
        <v>1092</v>
      </c>
      <c r="C48" s="37" t="s">
        <v>2</v>
      </c>
      <c r="D48" s="37" t="s">
        <v>702</v>
      </c>
      <c r="E48" s="12" t="s">
        <v>1094</v>
      </c>
      <c r="F48" s="83">
        <v>43434.84097222222</v>
      </c>
      <c r="G48" s="83">
        <v>43434.938194444447</v>
      </c>
      <c r="H48" s="84">
        <f>(G48-F48)*1440</f>
        <v>140.00000000582077</v>
      </c>
      <c r="I48" s="12" t="s">
        <v>1093</v>
      </c>
      <c r="J48" s="12" t="s">
        <v>1095</v>
      </c>
      <c r="K48" s="12" t="s">
        <v>105</v>
      </c>
      <c r="L48" s="12" t="s">
        <v>703</v>
      </c>
      <c r="M48" s="37" t="s">
        <v>678</v>
      </c>
      <c r="N48" s="12"/>
      <c r="O48" s="38" t="str">
        <f t="shared" si="0"/>
        <v>OSLA</v>
      </c>
    </row>
    <row r="51" spans="2:4" s="73" customFormat="1" x14ac:dyDescent="0.4">
      <c r="B51" s="73" t="s">
        <v>2</v>
      </c>
      <c r="C51" s="73" t="s">
        <v>776</v>
      </c>
      <c r="D51" s="73">
        <v>120</v>
      </c>
    </row>
    <row r="52" spans="2:4" s="73" customFormat="1" x14ac:dyDescent="0.4">
      <c r="B52" s="73" t="s">
        <v>14</v>
      </c>
      <c r="C52" s="73" t="s">
        <v>777</v>
      </c>
      <c r="D52" s="73">
        <v>240</v>
      </c>
    </row>
    <row r="53" spans="2:4" s="73" customFormat="1" x14ac:dyDescent="0.4">
      <c r="B53" s="73" t="s">
        <v>158</v>
      </c>
      <c r="C53" s="73" t="s">
        <v>778</v>
      </c>
      <c r="D53" s="73">
        <f>1440*2</f>
        <v>2880</v>
      </c>
    </row>
    <row r="54" spans="2:4" s="73" customFormat="1" x14ac:dyDescent="0.4">
      <c r="B54" s="73" t="s">
        <v>757</v>
      </c>
      <c r="C54" s="73" t="s">
        <v>779</v>
      </c>
      <c r="D54" s="73">
        <f>3*1440</f>
        <v>4320</v>
      </c>
    </row>
    <row r="55" spans="2:4" s="99" customFormat="1" x14ac:dyDescent="0.4"/>
    <row r="56" spans="2:4" s="99" customFormat="1" x14ac:dyDescent="0.4"/>
  </sheetData>
  <autoFilter ref="A1:O48" xr:uid="{00000000-0009-0000-0000-00000E000000}"/>
  <conditionalFormatting sqref="F2:H48">
    <cfRule type="cellIs" dxfId="71" priority="1" operator="equal">
      <formula>"NOK"</formula>
    </cfRule>
  </conditionalFormatting>
  <hyperlinks>
    <hyperlink ref="I4" r:id="rId1" display="http://www.webpayement.orange-money.com/" xr:uid="{00000000-0004-0000-0E00-000000000000}"/>
    <hyperlink ref="I26" r:id="rId2" display="https://flottesmobiles.orange-guinee.com/home" xr:uid="{00000000-0004-0000-0E00-000001000000}"/>
  </hyperlinks>
  <pageMargins left="0.7" right="0.7" top="0.75" bottom="0.75" header="0.3" footer="0.3"/>
  <pageSetup paperSize="9"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6">
    <tabColor rgb="FF7030A0"/>
  </sheetPr>
  <dimension ref="A1:O61"/>
  <sheetViews>
    <sheetView topLeftCell="H41" workbookViewId="0">
      <selection activeCell="L54" sqref="L54"/>
    </sheetView>
  </sheetViews>
  <sheetFormatPr baseColWidth="10" defaultRowHeight="14.6" x14ac:dyDescent="0.4"/>
  <cols>
    <col min="1" max="1" width="7.53515625" customWidth="1"/>
    <col min="2" max="2" width="18.84375" bestFit="1" customWidth="1"/>
    <col min="4" max="4" width="11.4609375" customWidth="1"/>
    <col min="5" max="5" width="43.3046875" customWidth="1"/>
    <col min="6" max="6" width="21.69140625" bestFit="1" customWidth="1"/>
    <col min="7" max="7" width="18.3046875" bestFit="1" customWidth="1"/>
    <col min="9" max="9" width="34.4609375" bestFit="1" customWidth="1"/>
    <col min="10" max="10" width="48.84375" customWidth="1"/>
    <col min="11" max="11" width="43.3046875" customWidth="1"/>
    <col min="12" max="12" width="8.53515625" bestFit="1" customWidth="1"/>
    <col min="13" max="13" width="8.3046875" bestFit="1" customWidth="1"/>
  </cols>
  <sheetData>
    <row r="1" spans="1:15" x14ac:dyDescent="0.4">
      <c r="A1" s="6" t="s">
        <v>0</v>
      </c>
      <c r="B1" s="6" t="s">
        <v>792</v>
      </c>
      <c r="C1" s="6" t="s">
        <v>793</v>
      </c>
      <c r="D1" s="7" t="s">
        <v>700</v>
      </c>
      <c r="E1" s="7" t="s">
        <v>897</v>
      </c>
      <c r="F1" s="6" t="s">
        <v>795</v>
      </c>
      <c r="G1" s="6" t="s">
        <v>796</v>
      </c>
      <c r="H1" s="6" t="s">
        <v>797</v>
      </c>
      <c r="I1" s="7" t="s">
        <v>898</v>
      </c>
      <c r="J1" s="6" t="s">
        <v>798</v>
      </c>
      <c r="K1" s="6" t="s">
        <v>799</v>
      </c>
      <c r="L1" s="7" t="s">
        <v>699</v>
      </c>
      <c r="M1" s="6" t="s">
        <v>684</v>
      </c>
      <c r="N1" s="7" t="s">
        <v>659</v>
      </c>
      <c r="O1" s="6" t="s">
        <v>888</v>
      </c>
    </row>
    <row r="2" spans="1:15" x14ac:dyDescent="0.4">
      <c r="A2" s="37">
        <v>1</v>
      </c>
      <c r="B2" s="37" t="s">
        <v>1096</v>
      </c>
      <c r="C2" s="37" t="s">
        <v>2</v>
      </c>
      <c r="D2" s="38" t="s">
        <v>702</v>
      </c>
      <c r="E2" s="12" t="s">
        <v>1098</v>
      </c>
      <c r="F2" s="83">
        <v>43435.427083333336</v>
      </c>
      <c r="G2" s="83">
        <v>43435.5</v>
      </c>
      <c r="H2" s="84">
        <f>(G2-F2)*1440</f>
        <v>104.99999999650754</v>
      </c>
      <c r="I2" s="12" t="s">
        <v>1097</v>
      </c>
      <c r="J2" s="12" t="s">
        <v>1099</v>
      </c>
      <c r="K2" s="100" t="s">
        <v>1100</v>
      </c>
      <c r="L2" s="38" t="s">
        <v>707</v>
      </c>
      <c r="M2" s="37" t="s">
        <v>678</v>
      </c>
      <c r="N2" s="12"/>
      <c r="O2" s="37" t="str">
        <f>IF(AND(C2=$B$58,H2&lt;=$D$58),"ISLA",IF((AND(C2=$B$59,H2&lt;=$D$59)),"ISLA",IF((AND(C2=$B$60,H2&lt;=$D$60)),"ISLA","OSLA")))</f>
        <v>ISLA</v>
      </c>
    </row>
    <row r="3" spans="1:15" x14ac:dyDescent="0.4">
      <c r="A3" s="37">
        <v>2</v>
      </c>
      <c r="B3" s="37" t="s">
        <v>1096</v>
      </c>
      <c r="C3" s="37" t="s">
        <v>2</v>
      </c>
      <c r="D3" s="38" t="s">
        <v>702</v>
      </c>
      <c r="E3" s="12" t="s">
        <v>44</v>
      </c>
      <c r="F3" s="83">
        <v>43435.427083333336</v>
      </c>
      <c r="G3" s="83">
        <v>43435.957638888889</v>
      </c>
      <c r="H3" s="84">
        <f>(G3-F3)*1440</f>
        <v>763.99999999674037</v>
      </c>
      <c r="I3" s="12" t="s">
        <v>1097</v>
      </c>
      <c r="J3" s="12" t="s">
        <v>1099</v>
      </c>
      <c r="K3" s="100" t="s">
        <v>1101</v>
      </c>
      <c r="L3" s="38" t="s">
        <v>707</v>
      </c>
      <c r="M3" s="37" t="s">
        <v>678</v>
      </c>
      <c r="N3" s="12"/>
      <c r="O3" s="37" t="str">
        <f t="shared" ref="O3:O54" si="0">IF(AND(C3=$B$58,H3&lt;=$D$58),"ISLA",IF((AND(C3=$B$59,H3&lt;=$D$59)),"ISLA",IF((AND(C3=$B$60,H3&lt;=$D$60)),"ISLA","OSLA")))</f>
        <v>OSLA</v>
      </c>
    </row>
    <row r="4" spans="1:15" x14ac:dyDescent="0.4">
      <c r="A4" s="37">
        <v>3</v>
      </c>
      <c r="B4" s="37" t="s">
        <v>1111</v>
      </c>
      <c r="C4" s="37" t="s">
        <v>2</v>
      </c>
      <c r="D4" s="38" t="s">
        <v>702</v>
      </c>
      <c r="E4" s="12" t="s">
        <v>138</v>
      </c>
      <c r="F4" s="102">
        <v>43436.625</v>
      </c>
      <c r="G4" s="102">
        <v>43436.635416666664</v>
      </c>
      <c r="H4" s="103">
        <v>15</v>
      </c>
      <c r="I4" s="12" t="s">
        <v>1112</v>
      </c>
      <c r="J4" s="12" t="s">
        <v>1091</v>
      </c>
      <c r="K4" s="100" t="s">
        <v>105</v>
      </c>
      <c r="L4" s="38" t="s">
        <v>704</v>
      </c>
      <c r="M4" s="37" t="s">
        <v>678</v>
      </c>
      <c r="N4" s="12"/>
      <c r="O4" s="37" t="str">
        <f t="shared" si="0"/>
        <v>ISLA</v>
      </c>
    </row>
    <row r="5" spans="1:15" x14ac:dyDescent="0.4">
      <c r="A5" s="37">
        <v>4</v>
      </c>
      <c r="B5" s="37" t="s">
        <v>1114</v>
      </c>
      <c r="C5" s="37" t="s">
        <v>2</v>
      </c>
      <c r="D5" s="38" t="s">
        <v>705</v>
      </c>
      <c r="E5" s="12" t="s">
        <v>443</v>
      </c>
      <c r="F5" s="83">
        <v>43437.413194444445</v>
      </c>
      <c r="G5" s="83">
        <v>43438.505555555559</v>
      </c>
      <c r="H5" s="84">
        <v>1573</v>
      </c>
      <c r="I5" s="12" t="s">
        <v>1115</v>
      </c>
      <c r="J5" s="12" t="s">
        <v>1129</v>
      </c>
      <c r="K5" s="100" t="s">
        <v>105</v>
      </c>
      <c r="L5" s="38" t="s">
        <v>703</v>
      </c>
      <c r="M5" s="37" t="s">
        <v>678</v>
      </c>
      <c r="N5" s="12"/>
      <c r="O5" s="37" t="str">
        <f t="shared" si="0"/>
        <v>OSLA</v>
      </c>
    </row>
    <row r="6" spans="1:15" x14ac:dyDescent="0.4">
      <c r="A6" s="37">
        <v>5</v>
      </c>
      <c r="B6" s="37" t="s">
        <v>1113</v>
      </c>
      <c r="C6" s="37" t="s">
        <v>2</v>
      </c>
      <c r="D6" s="37" t="s">
        <v>701</v>
      </c>
      <c r="E6" s="12" t="s">
        <v>581</v>
      </c>
      <c r="F6" s="83">
        <v>43437.486111111109</v>
      </c>
      <c r="G6" s="83">
        <v>43437.521527777775</v>
      </c>
      <c r="H6" s="84">
        <v>51</v>
      </c>
      <c r="I6" s="12" t="s">
        <v>313</v>
      </c>
      <c r="J6" s="12" t="s">
        <v>879</v>
      </c>
      <c r="K6" s="100" t="s">
        <v>351</v>
      </c>
      <c r="L6" s="38" t="s">
        <v>701</v>
      </c>
      <c r="M6" s="37" t="s">
        <v>678</v>
      </c>
      <c r="N6" s="12"/>
      <c r="O6" s="37" t="str">
        <f t="shared" si="0"/>
        <v>ISLA</v>
      </c>
    </row>
    <row r="7" spans="1:15" x14ac:dyDescent="0.4">
      <c r="A7" s="37">
        <v>6</v>
      </c>
      <c r="B7" s="37" t="s">
        <v>1116</v>
      </c>
      <c r="C7" s="37" t="s">
        <v>2</v>
      </c>
      <c r="D7" s="37" t="s">
        <v>701</v>
      </c>
      <c r="E7" s="12" t="s">
        <v>581</v>
      </c>
      <c r="F7" s="83">
        <v>43437.736111111109</v>
      </c>
      <c r="G7" s="83">
        <v>43437.772222222222</v>
      </c>
      <c r="H7" s="84">
        <v>52</v>
      </c>
      <c r="I7" s="12" t="s">
        <v>313</v>
      </c>
      <c r="J7" s="12" t="s">
        <v>879</v>
      </c>
      <c r="K7" s="100" t="s">
        <v>351</v>
      </c>
      <c r="L7" s="38" t="s">
        <v>701</v>
      </c>
      <c r="M7" s="37" t="s">
        <v>678</v>
      </c>
      <c r="N7" s="12"/>
      <c r="O7" s="37" t="str">
        <f t="shared" si="0"/>
        <v>ISLA</v>
      </c>
    </row>
    <row r="8" spans="1:15" x14ac:dyDescent="0.4">
      <c r="A8" s="37">
        <v>7</v>
      </c>
      <c r="B8" s="37" t="s">
        <v>1117</v>
      </c>
      <c r="C8" s="37" t="s">
        <v>2</v>
      </c>
      <c r="D8" s="37" t="s">
        <v>701</v>
      </c>
      <c r="E8" s="12" t="s">
        <v>581</v>
      </c>
      <c r="F8" s="83">
        <v>43437.926388888889</v>
      </c>
      <c r="G8" s="83">
        <v>43437.96597222222</v>
      </c>
      <c r="H8" s="84">
        <v>57</v>
      </c>
      <c r="I8" s="12" t="s">
        <v>313</v>
      </c>
      <c r="J8" s="12" t="s">
        <v>879</v>
      </c>
      <c r="K8" s="100" t="s">
        <v>351</v>
      </c>
      <c r="L8" s="38" t="s">
        <v>701</v>
      </c>
      <c r="M8" s="37" t="s">
        <v>678</v>
      </c>
      <c r="N8" s="12"/>
      <c r="O8" s="37" t="str">
        <f t="shared" si="0"/>
        <v>ISLA</v>
      </c>
    </row>
    <row r="9" spans="1:15" x14ac:dyDescent="0.4">
      <c r="A9" s="37">
        <v>8</v>
      </c>
      <c r="B9" s="37" t="s">
        <v>1224</v>
      </c>
      <c r="C9" s="37" t="s">
        <v>2</v>
      </c>
      <c r="D9" s="37" t="s">
        <v>701</v>
      </c>
      <c r="E9" s="12" t="s">
        <v>522</v>
      </c>
      <c r="F9" s="83">
        <v>43439.510416666664</v>
      </c>
      <c r="G9" s="83">
        <v>43439.600694444445</v>
      </c>
      <c r="H9" s="84">
        <v>130</v>
      </c>
      <c r="I9" s="12" t="s">
        <v>1118</v>
      </c>
      <c r="J9" s="12" t="s">
        <v>1119</v>
      </c>
      <c r="K9" s="100" t="s">
        <v>1120</v>
      </c>
      <c r="L9" s="38" t="s">
        <v>701</v>
      </c>
      <c r="M9" s="37" t="s">
        <v>678</v>
      </c>
      <c r="N9" s="12"/>
      <c r="O9" s="37" t="str">
        <f t="shared" si="0"/>
        <v>OSLA</v>
      </c>
    </row>
    <row r="10" spans="1:15" x14ac:dyDescent="0.4">
      <c r="A10" s="37">
        <v>9</v>
      </c>
      <c r="B10" s="37" t="s">
        <v>1121</v>
      </c>
      <c r="C10" s="37" t="s">
        <v>2</v>
      </c>
      <c r="D10" s="37" t="s">
        <v>707</v>
      </c>
      <c r="E10" s="12" t="s">
        <v>514</v>
      </c>
      <c r="F10" s="83">
        <v>43439.622916666667</v>
      </c>
      <c r="G10" s="83">
        <v>43439.688888888886</v>
      </c>
      <c r="H10" s="84">
        <f>(G10-F10)*1440</f>
        <v>94.999999995343387</v>
      </c>
      <c r="I10" s="12" t="s">
        <v>1122</v>
      </c>
      <c r="J10" s="12" t="s">
        <v>1123</v>
      </c>
      <c r="K10" s="100" t="s">
        <v>1225</v>
      </c>
      <c r="L10" s="38" t="s">
        <v>707</v>
      </c>
      <c r="M10" s="37" t="s">
        <v>678</v>
      </c>
      <c r="N10" s="12"/>
      <c r="O10" s="37" t="str">
        <f t="shared" si="0"/>
        <v>ISLA</v>
      </c>
    </row>
    <row r="11" spans="1:15" x14ac:dyDescent="0.4">
      <c r="A11" s="37">
        <v>10</v>
      </c>
      <c r="B11" s="37" t="s">
        <v>1124</v>
      </c>
      <c r="C11" s="37" t="s">
        <v>2</v>
      </c>
      <c r="D11" s="37" t="s">
        <v>701</v>
      </c>
      <c r="E11" s="12" t="s">
        <v>581</v>
      </c>
      <c r="F11" s="83">
        <v>43441.211111111108</v>
      </c>
      <c r="G11" s="83">
        <v>43441.247916666667</v>
      </c>
      <c r="H11" s="84">
        <f>(G11-F11)*1440</f>
        <v>53.000000005122274</v>
      </c>
      <c r="I11" s="12" t="s">
        <v>313</v>
      </c>
      <c r="J11" s="12" t="s">
        <v>879</v>
      </c>
      <c r="K11" s="100" t="s">
        <v>351</v>
      </c>
      <c r="L11" s="38" t="s">
        <v>701</v>
      </c>
      <c r="M11" s="37" t="s">
        <v>678</v>
      </c>
      <c r="N11" s="12"/>
      <c r="O11" s="37" t="str">
        <f t="shared" si="0"/>
        <v>ISLA</v>
      </c>
    </row>
    <row r="12" spans="1:15" x14ac:dyDescent="0.4">
      <c r="A12" s="37">
        <v>11</v>
      </c>
      <c r="B12" s="37" t="s">
        <v>1226</v>
      </c>
      <c r="C12" s="37" t="s">
        <v>2</v>
      </c>
      <c r="D12" s="37" t="s">
        <v>701</v>
      </c>
      <c r="E12" s="12" t="s">
        <v>1125</v>
      </c>
      <c r="F12" s="102">
        <v>43441.802777777775</v>
      </c>
      <c r="G12" s="102">
        <v>43441.888888888891</v>
      </c>
      <c r="H12" s="103">
        <f>(G12-F12)*1440</f>
        <v>124.0000000060536</v>
      </c>
      <c r="I12" s="12" t="s">
        <v>1234</v>
      </c>
      <c r="J12" s="12" t="s">
        <v>1126</v>
      </c>
      <c r="K12" s="100" t="s">
        <v>1127</v>
      </c>
      <c r="L12" s="38" t="s">
        <v>1128</v>
      </c>
      <c r="M12" s="37" t="s">
        <v>678</v>
      </c>
      <c r="N12" s="12"/>
      <c r="O12" s="37" t="str">
        <f t="shared" si="0"/>
        <v>OSLA</v>
      </c>
    </row>
    <row r="13" spans="1:15" x14ac:dyDescent="0.4">
      <c r="A13" s="37">
        <v>12</v>
      </c>
      <c r="B13" s="37" t="s">
        <v>1131</v>
      </c>
      <c r="C13" s="37" t="s">
        <v>2</v>
      </c>
      <c r="D13" s="38" t="s">
        <v>702</v>
      </c>
      <c r="E13" s="12" t="s">
        <v>1133</v>
      </c>
      <c r="F13" s="83">
        <v>43445.708333333336</v>
      </c>
      <c r="G13" s="83">
        <v>43445.864583333336</v>
      </c>
      <c r="H13" s="84">
        <v>225</v>
      </c>
      <c r="I13" s="12" t="s">
        <v>1132</v>
      </c>
      <c r="J13" s="12" t="s">
        <v>1149</v>
      </c>
      <c r="K13" s="100" t="s">
        <v>105</v>
      </c>
      <c r="L13" s="38" t="s">
        <v>1230</v>
      </c>
      <c r="M13" s="37" t="s">
        <v>678</v>
      </c>
      <c r="N13" s="12"/>
      <c r="O13" s="37" t="str">
        <f t="shared" si="0"/>
        <v>OSLA</v>
      </c>
    </row>
    <row r="14" spans="1:15" x14ac:dyDescent="0.4">
      <c r="A14" s="37">
        <v>13</v>
      </c>
      <c r="B14" s="37" t="s">
        <v>1134</v>
      </c>
      <c r="C14" s="37" t="s">
        <v>2</v>
      </c>
      <c r="D14" s="37" t="s">
        <v>701</v>
      </c>
      <c r="E14" s="12" t="s">
        <v>581</v>
      </c>
      <c r="F14" s="83">
        <v>43445.949305555558</v>
      </c>
      <c r="G14" s="83">
        <v>43445.989583333336</v>
      </c>
      <c r="H14" s="84">
        <v>58</v>
      </c>
      <c r="I14" s="12" t="s">
        <v>313</v>
      </c>
      <c r="J14" s="12" t="s">
        <v>879</v>
      </c>
      <c r="K14" s="100" t="s">
        <v>351</v>
      </c>
      <c r="L14" s="38" t="s">
        <v>701</v>
      </c>
      <c r="M14" s="37" t="s">
        <v>678</v>
      </c>
      <c r="N14" s="12"/>
      <c r="O14" s="37" t="str">
        <f t="shared" si="0"/>
        <v>ISLA</v>
      </c>
    </row>
    <row r="15" spans="1:15" x14ac:dyDescent="0.4">
      <c r="A15" s="37">
        <v>14</v>
      </c>
      <c r="B15" s="37" t="s">
        <v>1135</v>
      </c>
      <c r="C15" s="37" t="s">
        <v>2</v>
      </c>
      <c r="D15" s="37" t="s">
        <v>701</v>
      </c>
      <c r="E15" s="12" t="s">
        <v>581</v>
      </c>
      <c r="F15" s="83">
        <v>43446.179166666669</v>
      </c>
      <c r="G15" s="83">
        <v>43446.206250000003</v>
      </c>
      <c r="H15" s="84">
        <v>39</v>
      </c>
      <c r="I15" s="12" t="s">
        <v>313</v>
      </c>
      <c r="J15" s="12" t="s">
        <v>879</v>
      </c>
      <c r="K15" s="100" t="s">
        <v>351</v>
      </c>
      <c r="L15" s="38" t="s">
        <v>701</v>
      </c>
      <c r="M15" s="37" t="s">
        <v>678</v>
      </c>
      <c r="N15" s="12"/>
      <c r="O15" s="37" t="str">
        <f t="shared" si="0"/>
        <v>ISLA</v>
      </c>
    </row>
    <row r="16" spans="1:15" x14ac:dyDescent="0.4">
      <c r="A16" s="37">
        <v>15</v>
      </c>
      <c r="B16" s="37" t="s">
        <v>1137</v>
      </c>
      <c r="C16" s="37" t="s">
        <v>14</v>
      </c>
      <c r="D16" s="37" t="s">
        <v>701</v>
      </c>
      <c r="E16" s="12" t="s">
        <v>138</v>
      </c>
      <c r="F16" s="83">
        <v>43447.112500000003</v>
      </c>
      <c r="G16" s="83">
        <v>43447.23333333333</v>
      </c>
      <c r="H16" s="84">
        <v>174</v>
      </c>
      <c r="I16" s="12" t="s">
        <v>1138</v>
      </c>
      <c r="J16" s="12" t="s">
        <v>1227</v>
      </c>
      <c r="K16" s="100" t="s">
        <v>105</v>
      </c>
      <c r="L16" s="38" t="s">
        <v>704</v>
      </c>
      <c r="M16" s="37" t="s">
        <v>678</v>
      </c>
      <c r="N16" s="12"/>
      <c r="O16" s="37" t="str">
        <f t="shared" si="0"/>
        <v>ISLA</v>
      </c>
    </row>
    <row r="17" spans="1:15" x14ac:dyDescent="0.4">
      <c r="A17" s="37">
        <v>16</v>
      </c>
      <c r="B17" s="37" t="s">
        <v>1136</v>
      </c>
      <c r="C17" s="37" t="s">
        <v>2</v>
      </c>
      <c r="D17" s="37" t="s">
        <v>701</v>
      </c>
      <c r="E17" s="12" t="s">
        <v>581</v>
      </c>
      <c r="F17" s="83">
        <v>43447.210416666669</v>
      </c>
      <c r="G17" s="83">
        <v>43447.236111111109</v>
      </c>
      <c r="H17" s="84">
        <v>37</v>
      </c>
      <c r="I17" s="12" t="s">
        <v>313</v>
      </c>
      <c r="J17" s="12" t="s">
        <v>879</v>
      </c>
      <c r="K17" s="100" t="s">
        <v>351</v>
      </c>
      <c r="L17" s="38" t="s">
        <v>701</v>
      </c>
      <c r="M17" s="37" t="s">
        <v>678</v>
      </c>
      <c r="N17" s="12"/>
      <c r="O17" s="37" t="str">
        <f t="shared" si="0"/>
        <v>ISLA</v>
      </c>
    </row>
    <row r="18" spans="1:15" x14ac:dyDescent="0.4">
      <c r="A18" s="37">
        <v>17</v>
      </c>
      <c r="B18" s="37" t="s">
        <v>1139</v>
      </c>
      <c r="C18" s="37" t="s">
        <v>2</v>
      </c>
      <c r="D18" s="38" t="s">
        <v>702</v>
      </c>
      <c r="E18" s="12" t="s">
        <v>1141</v>
      </c>
      <c r="F18" s="83">
        <v>43447.940972222219</v>
      </c>
      <c r="G18" s="83">
        <v>43448.815972222219</v>
      </c>
      <c r="H18" s="84">
        <f t="shared" ref="H18:H26" si="1">(G18-F18)*1440</f>
        <v>1260</v>
      </c>
      <c r="I18" s="12" t="s">
        <v>1140</v>
      </c>
      <c r="J18" s="12" t="s">
        <v>1142</v>
      </c>
      <c r="K18" s="100" t="s">
        <v>1143</v>
      </c>
      <c r="L18" s="38" t="s">
        <v>1144</v>
      </c>
      <c r="M18" s="37" t="s">
        <v>678</v>
      </c>
      <c r="N18" s="12"/>
      <c r="O18" s="37" t="str">
        <f t="shared" si="0"/>
        <v>OSLA</v>
      </c>
    </row>
    <row r="19" spans="1:15" x14ac:dyDescent="0.4">
      <c r="A19" s="37">
        <v>18</v>
      </c>
      <c r="B19" s="37" t="s">
        <v>1145</v>
      </c>
      <c r="C19" s="37" t="s">
        <v>2</v>
      </c>
      <c r="D19" s="37" t="s">
        <v>701</v>
      </c>
      <c r="E19" s="12" t="s">
        <v>581</v>
      </c>
      <c r="F19" s="83">
        <v>43448.245833333334</v>
      </c>
      <c r="G19" s="83">
        <v>43448.274305555555</v>
      </c>
      <c r="H19" s="84">
        <f t="shared" si="1"/>
        <v>40.999999997438863</v>
      </c>
      <c r="I19" s="12" t="s">
        <v>313</v>
      </c>
      <c r="J19" s="12" t="s">
        <v>879</v>
      </c>
      <c r="K19" s="100" t="s">
        <v>351</v>
      </c>
      <c r="L19" s="38" t="s">
        <v>701</v>
      </c>
      <c r="M19" s="37" t="s">
        <v>678</v>
      </c>
      <c r="N19" s="12"/>
      <c r="O19" s="37" t="str">
        <f t="shared" si="0"/>
        <v>ISLA</v>
      </c>
    </row>
    <row r="20" spans="1:15" x14ac:dyDescent="0.4">
      <c r="A20" s="37">
        <v>19</v>
      </c>
      <c r="B20" s="37" t="s">
        <v>1146</v>
      </c>
      <c r="C20" s="37" t="s">
        <v>2</v>
      </c>
      <c r="D20" s="38" t="s">
        <v>702</v>
      </c>
      <c r="E20" s="12" t="s">
        <v>1148</v>
      </c>
      <c r="F20" s="83">
        <v>43448.777777777781</v>
      </c>
      <c r="G20" s="83">
        <v>43448.884722222225</v>
      </c>
      <c r="H20" s="84">
        <f t="shared" si="1"/>
        <v>153.99999999906868</v>
      </c>
      <c r="I20" s="12" t="s">
        <v>1147</v>
      </c>
      <c r="J20" s="12" t="s">
        <v>1149</v>
      </c>
      <c r="K20" s="100" t="s">
        <v>105</v>
      </c>
      <c r="L20" s="38" t="s">
        <v>703</v>
      </c>
      <c r="M20" s="37" t="s">
        <v>678</v>
      </c>
      <c r="N20" s="12"/>
      <c r="O20" s="37" t="str">
        <f t="shared" si="0"/>
        <v>OSLA</v>
      </c>
    </row>
    <row r="21" spans="1:15" x14ac:dyDescent="0.4">
      <c r="A21" s="37">
        <v>20</v>
      </c>
      <c r="B21" s="101" t="s">
        <v>1219</v>
      </c>
      <c r="C21" s="37" t="s">
        <v>2</v>
      </c>
      <c r="D21" s="38" t="s">
        <v>702</v>
      </c>
      <c r="E21" s="12" t="s">
        <v>559</v>
      </c>
      <c r="F21" s="102">
        <v>43448.77847222222</v>
      </c>
      <c r="G21" s="102">
        <v>43465.829861111109</v>
      </c>
      <c r="H21" s="103">
        <f t="shared" si="1"/>
        <v>24554.000000000233</v>
      </c>
      <c r="I21" s="12" t="s">
        <v>1220</v>
      </c>
      <c r="J21" s="12" t="s">
        <v>1222</v>
      </c>
      <c r="K21" s="100" t="s">
        <v>1221</v>
      </c>
      <c r="L21" s="38" t="s">
        <v>889</v>
      </c>
      <c r="M21" s="37" t="s">
        <v>678</v>
      </c>
      <c r="N21" s="12"/>
      <c r="O21" s="37" t="str">
        <f t="shared" si="0"/>
        <v>OSLA</v>
      </c>
    </row>
    <row r="22" spans="1:15" x14ac:dyDescent="0.4">
      <c r="A22" s="37">
        <v>21</v>
      </c>
      <c r="B22" s="37" t="s">
        <v>1150</v>
      </c>
      <c r="C22" s="37" t="s">
        <v>2</v>
      </c>
      <c r="D22" s="37" t="s">
        <v>701</v>
      </c>
      <c r="E22" s="12" t="s">
        <v>581</v>
      </c>
      <c r="F22" s="83">
        <v>43449.267361111109</v>
      </c>
      <c r="G22" s="83">
        <v>43449.298611111109</v>
      </c>
      <c r="H22" s="84">
        <f t="shared" si="1"/>
        <v>45</v>
      </c>
      <c r="I22" s="12" t="s">
        <v>313</v>
      </c>
      <c r="J22" s="12" t="s">
        <v>879</v>
      </c>
      <c r="K22" s="100" t="s">
        <v>351</v>
      </c>
      <c r="L22" s="38" t="s">
        <v>701</v>
      </c>
      <c r="M22" s="37" t="s">
        <v>678</v>
      </c>
      <c r="N22" s="12"/>
      <c r="O22" s="37" t="str">
        <f t="shared" si="0"/>
        <v>ISLA</v>
      </c>
    </row>
    <row r="23" spans="1:15" x14ac:dyDescent="0.4">
      <c r="A23" s="37">
        <v>22</v>
      </c>
      <c r="B23" s="37" t="s">
        <v>1151</v>
      </c>
      <c r="C23" s="37" t="s">
        <v>14</v>
      </c>
      <c r="D23" s="38" t="s">
        <v>702</v>
      </c>
      <c r="E23" s="12" t="s">
        <v>228</v>
      </c>
      <c r="F23" s="83">
        <v>43449.412499999999</v>
      </c>
      <c r="G23" s="83">
        <v>43449.434027777781</v>
      </c>
      <c r="H23" s="84">
        <f t="shared" si="1"/>
        <v>31.000000006752089</v>
      </c>
      <c r="I23" s="12" t="s">
        <v>1152</v>
      </c>
      <c r="J23" s="12" t="s">
        <v>1149</v>
      </c>
      <c r="K23" s="100" t="s">
        <v>105</v>
      </c>
      <c r="L23" s="38" t="s">
        <v>707</v>
      </c>
      <c r="M23" s="37" t="s">
        <v>678</v>
      </c>
      <c r="N23" s="12"/>
      <c r="O23" s="37" t="str">
        <f t="shared" si="0"/>
        <v>ISLA</v>
      </c>
    </row>
    <row r="24" spans="1:15" x14ac:dyDescent="0.4">
      <c r="A24" s="37">
        <v>23</v>
      </c>
      <c r="B24" s="101" t="s">
        <v>1153</v>
      </c>
      <c r="C24" s="37" t="s">
        <v>2</v>
      </c>
      <c r="D24" s="38" t="s">
        <v>702</v>
      </c>
      <c r="E24" s="12" t="s">
        <v>1155</v>
      </c>
      <c r="F24" s="83">
        <v>43450.063194444447</v>
      </c>
      <c r="G24" s="83">
        <v>43450.076388888891</v>
      </c>
      <c r="H24" s="84">
        <f t="shared" si="1"/>
        <v>18.999999999068677</v>
      </c>
      <c r="I24" s="12" t="s">
        <v>1154</v>
      </c>
      <c r="J24" s="12" t="s">
        <v>1149</v>
      </c>
      <c r="K24" s="100" t="s">
        <v>105</v>
      </c>
      <c r="L24" s="38" t="s">
        <v>704</v>
      </c>
      <c r="M24" s="37" t="s">
        <v>678</v>
      </c>
      <c r="N24" s="104" t="s">
        <v>1231</v>
      </c>
      <c r="O24" s="37" t="str">
        <f t="shared" si="0"/>
        <v>ISLA</v>
      </c>
    </row>
    <row r="25" spans="1:15" x14ac:dyDescent="0.4">
      <c r="A25" s="37">
        <v>24</v>
      </c>
      <c r="B25" s="37" t="s">
        <v>1156</v>
      </c>
      <c r="C25" s="37" t="s">
        <v>2</v>
      </c>
      <c r="D25" s="37" t="s">
        <v>701</v>
      </c>
      <c r="E25" s="12" t="s">
        <v>581</v>
      </c>
      <c r="F25" s="83">
        <v>43450.296527777777</v>
      </c>
      <c r="G25" s="83">
        <v>43450.332638888889</v>
      </c>
      <c r="H25" s="84">
        <f t="shared" si="1"/>
        <v>52.000000001862645</v>
      </c>
      <c r="I25" s="12" t="s">
        <v>313</v>
      </c>
      <c r="J25" s="12" t="s">
        <v>879</v>
      </c>
      <c r="K25" s="100" t="s">
        <v>351</v>
      </c>
      <c r="L25" s="38" t="s">
        <v>701</v>
      </c>
      <c r="M25" s="37" t="s">
        <v>678</v>
      </c>
      <c r="N25" s="12"/>
      <c r="O25" s="37" t="str">
        <f t="shared" si="0"/>
        <v>ISLA</v>
      </c>
    </row>
    <row r="26" spans="1:15" x14ac:dyDescent="0.4">
      <c r="A26" s="37">
        <v>25</v>
      </c>
      <c r="B26" s="37" t="s">
        <v>1157</v>
      </c>
      <c r="C26" s="37" t="s">
        <v>2</v>
      </c>
      <c r="D26" s="38" t="s">
        <v>702</v>
      </c>
      <c r="E26" s="12" t="s">
        <v>1158</v>
      </c>
      <c r="F26" s="83">
        <v>43450.537499999999</v>
      </c>
      <c r="G26" s="83">
        <v>43451.718055555553</v>
      </c>
      <c r="H26" s="84">
        <f t="shared" si="1"/>
        <v>1699.9999999988358</v>
      </c>
      <c r="I26" s="12" t="s">
        <v>1161</v>
      </c>
      <c r="J26" s="12" t="s">
        <v>1159</v>
      </c>
      <c r="K26" s="100" t="s">
        <v>1160</v>
      </c>
      <c r="L26" s="38" t="s">
        <v>707</v>
      </c>
      <c r="M26" s="37" t="s">
        <v>678</v>
      </c>
      <c r="N26" s="12"/>
      <c r="O26" s="37" t="str">
        <f t="shared" si="0"/>
        <v>OSLA</v>
      </c>
    </row>
    <row r="27" spans="1:15" x14ac:dyDescent="0.4">
      <c r="A27" s="37">
        <v>26</v>
      </c>
      <c r="B27" s="37" t="s">
        <v>1167</v>
      </c>
      <c r="C27" s="37" t="s">
        <v>2</v>
      </c>
      <c r="D27" s="38" t="s">
        <v>702</v>
      </c>
      <c r="E27" s="12" t="s">
        <v>299</v>
      </c>
      <c r="F27" s="83">
        <v>43450.674305555556</v>
      </c>
      <c r="G27" s="83">
        <v>43452.708333333336</v>
      </c>
      <c r="H27" s="77">
        <v>2929</v>
      </c>
      <c r="I27" s="100" t="s">
        <v>1190</v>
      </c>
      <c r="J27" s="100" t="s">
        <v>1191</v>
      </c>
      <c r="K27" s="100" t="s">
        <v>1191</v>
      </c>
      <c r="L27" s="38" t="s">
        <v>707</v>
      </c>
      <c r="M27" s="37" t="s">
        <v>678</v>
      </c>
      <c r="N27" s="12"/>
      <c r="O27" s="37" t="str">
        <f t="shared" si="0"/>
        <v>OSLA</v>
      </c>
    </row>
    <row r="28" spans="1:15" x14ac:dyDescent="0.4">
      <c r="A28" s="37">
        <v>27</v>
      </c>
      <c r="B28" s="37" t="s">
        <v>1164</v>
      </c>
      <c r="C28" s="37" t="s">
        <v>2</v>
      </c>
      <c r="D28" s="37" t="s">
        <v>701</v>
      </c>
      <c r="E28" s="12" t="s">
        <v>907</v>
      </c>
      <c r="F28" s="83">
        <v>43451.240277777775</v>
      </c>
      <c r="G28" s="83">
        <v>43451.304861111108</v>
      </c>
      <c r="H28" s="77">
        <v>93</v>
      </c>
      <c r="I28" s="100" t="s">
        <v>860</v>
      </c>
      <c r="J28" s="100" t="s">
        <v>1185</v>
      </c>
      <c r="K28" s="100" t="s">
        <v>1186</v>
      </c>
      <c r="L28" s="38" t="s">
        <v>701</v>
      </c>
      <c r="M28" s="37" t="s">
        <v>678</v>
      </c>
      <c r="N28" s="12"/>
      <c r="O28" s="37" t="str">
        <f t="shared" si="0"/>
        <v>ISLA</v>
      </c>
    </row>
    <row r="29" spans="1:15" x14ac:dyDescent="0.4">
      <c r="A29" s="37">
        <v>28</v>
      </c>
      <c r="B29" s="37" t="s">
        <v>1162</v>
      </c>
      <c r="C29" s="37" t="s">
        <v>2</v>
      </c>
      <c r="D29" s="38" t="s">
        <v>702</v>
      </c>
      <c r="E29" s="12" t="s">
        <v>1180</v>
      </c>
      <c r="F29" s="83">
        <v>43451.256944444445</v>
      </c>
      <c r="G29" s="83">
        <v>43451.295138888891</v>
      </c>
      <c r="H29" s="77">
        <v>55</v>
      </c>
      <c r="I29" s="100" t="s">
        <v>1181</v>
      </c>
      <c r="J29" s="100" t="s">
        <v>1182</v>
      </c>
      <c r="K29" s="100" t="s">
        <v>1182</v>
      </c>
      <c r="L29" s="38" t="s">
        <v>716</v>
      </c>
      <c r="M29" s="37" t="s">
        <v>678</v>
      </c>
      <c r="N29" s="12"/>
      <c r="O29" s="37" t="str">
        <f t="shared" si="0"/>
        <v>ISLA</v>
      </c>
    </row>
    <row r="30" spans="1:15" x14ac:dyDescent="0.4">
      <c r="A30" s="37">
        <v>29</v>
      </c>
      <c r="B30" s="37" t="s">
        <v>1163</v>
      </c>
      <c r="C30" s="37" t="s">
        <v>14</v>
      </c>
      <c r="D30" s="37" t="s">
        <v>701</v>
      </c>
      <c r="E30" s="12" t="s">
        <v>522</v>
      </c>
      <c r="F30" s="83">
        <v>43451.283333333333</v>
      </c>
      <c r="G30" s="83">
        <v>43451.298611111109</v>
      </c>
      <c r="H30" s="77">
        <v>22</v>
      </c>
      <c r="I30" s="100" t="s">
        <v>1183</v>
      </c>
      <c r="J30" s="100" t="s">
        <v>1184</v>
      </c>
      <c r="K30" s="100" t="s">
        <v>105</v>
      </c>
      <c r="L30" s="38" t="s">
        <v>701</v>
      </c>
      <c r="M30" s="37" t="s">
        <v>678</v>
      </c>
      <c r="N30" s="12"/>
      <c r="O30" s="37" t="str">
        <f t="shared" si="0"/>
        <v>ISLA</v>
      </c>
    </row>
    <row r="31" spans="1:15" x14ac:dyDescent="0.4">
      <c r="A31" s="37">
        <v>30</v>
      </c>
      <c r="B31" s="37" t="s">
        <v>1165</v>
      </c>
      <c r="C31" s="37" t="s">
        <v>2</v>
      </c>
      <c r="D31" s="37" t="s">
        <v>701</v>
      </c>
      <c r="E31" s="12" t="s">
        <v>581</v>
      </c>
      <c r="F31" s="83">
        <v>43451.338888888888</v>
      </c>
      <c r="G31" s="83">
        <v>43451.364583333336</v>
      </c>
      <c r="H31" s="77">
        <v>37</v>
      </c>
      <c r="I31" s="100" t="s">
        <v>313</v>
      </c>
      <c r="J31" s="100" t="s">
        <v>879</v>
      </c>
      <c r="K31" s="100" t="s">
        <v>351</v>
      </c>
      <c r="L31" s="38" t="s">
        <v>701</v>
      </c>
      <c r="M31" s="37" t="s">
        <v>678</v>
      </c>
      <c r="N31" s="12"/>
      <c r="O31" s="37" t="str">
        <f t="shared" si="0"/>
        <v>ISLA</v>
      </c>
    </row>
    <row r="32" spans="1:15" x14ac:dyDescent="0.4">
      <c r="A32" s="37">
        <v>31</v>
      </c>
      <c r="B32" s="37" t="s">
        <v>1166</v>
      </c>
      <c r="C32" s="37" t="s">
        <v>14</v>
      </c>
      <c r="D32" s="37" t="s">
        <v>707</v>
      </c>
      <c r="E32" s="12" t="s">
        <v>514</v>
      </c>
      <c r="F32" s="83">
        <v>43451.579861111109</v>
      </c>
      <c r="G32" s="83">
        <v>43452.65625</v>
      </c>
      <c r="H32" s="77">
        <v>1550</v>
      </c>
      <c r="I32" s="100" t="s">
        <v>1187</v>
      </c>
      <c r="J32" s="100" t="s">
        <v>1188</v>
      </c>
      <c r="K32" s="100" t="s">
        <v>1189</v>
      </c>
      <c r="L32" s="38" t="s">
        <v>707</v>
      </c>
      <c r="M32" s="37" t="s">
        <v>678</v>
      </c>
      <c r="N32" s="12"/>
      <c r="O32" s="37" t="str">
        <f t="shared" si="0"/>
        <v>OSLA</v>
      </c>
    </row>
    <row r="33" spans="1:15" x14ac:dyDescent="0.4">
      <c r="A33" s="37">
        <v>32</v>
      </c>
      <c r="B33" s="37" t="s">
        <v>1168</v>
      </c>
      <c r="C33" s="37" t="s">
        <v>2</v>
      </c>
      <c r="D33" s="38" t="s">
        <v>702</v>
      </c>
      <c r="E33" s="12" t="s">
        <v>177</v>
      </c>
      <c r="F33" s="83">
        <v>43451.637499999997</v>
      </c>
      <c r="G33" s="83"/>
      <c r="H33" s="77"/>
      <c r="I33" s="100" t="s">
        <v>1192</v>
      </c>
      <c r="J33" s="100" t="s">
        <v>1193</v>
      </c>
      <c r="K33" s="100" t="s">
        <v>105</v>
      </c>
      <c r="L33" s="38" t="s">
        <v>1028</v>
      </c>
      <c r="M33" s="37" t="s">
        <v>159</v>
      </c>
      <c r="N33" s="12"/>
      <c r="O33" s="37" t="str">
        <f t="shared" si="0"/>
        <v>ISLA</v>
      </c>
    </row>
    <row r="34" spans="1:15" x14ac:dyDescent="0.4">
      <c r="A34" s="37">
        <v>33</v>
      </c>
      <c r="B34" s="37" t="s">
        <v>1169</v>
      </c>
      <c r="C34" s="37" t="s">
        <v>2</v>
      </c>
      <c r="D34" s="37" t="s">
        <v>701</v>
      </c>
      <c r="E34" s="12" t="s">
        <v>581</v>
      </c>
      <c r="F34" s="83">
        <v>43452.362500000003</v>
      </c>
      <c r="G34" s="83">
        <v>43452.399305555555</v>
      </c>
      <c r="H34" s="77">
        <v>53</v>
      </c>
      <c r="I34" s="100" t="s">
        <v>313</v>
      </c>
      <c r="J34" s="100" t="s">
        <v>879</v>
      </c>
      <c r="K34" s="100" t="s">
        <v>351</v>
      </c>
      <c r="L34" s="38" t="s">
        <v>701</v>
      </c>
      <c r="M34" s="37" t="s">
        <v>678</v>
      </c>
      <c r="N34" s="12"/>
      <c r="O34" s="37" t="str">
        <f t="shared" si="0"/>
        <v>ISLA</v>
      </c>
    </row>
    <row r="35" spans="1:15" x14ac:dyDescent="0.4">
      <c r="A35" s="37">
        <v>34</v>
      </c>
      <c r="B35" s="37" t="s">
        <v>1170</v>
      </c>
      <c r="C35" s="37" t="s">
        <v>2</v>
      </c>
      <c r="D35" s="37" t="s">
        <v>701</v>
      </c>
      <c r="E35" s="12" t="s">
        <v>581</v>
      </c>
      <c r="F35" s="83">
        <v>43453.401388888888</v>
      </c>
      <c r="G35" s="83">
        <v>43453.4375</v>
      </c>
      <c r="H35" s="77">
        <v>52</v>
      </c>
      <c r="I35" s="100" t="s">
        <v>313</v>
      </c>
      <c r="J35" s="100" t="s">
        <v>879</v>
      </c>
      <c r="K35" s="100" t="s">
        <v>351</v>
      </c>
      <c r="L35" s="38" t="s">
        <v>701</v>
      </c>
      <c r="M35" s="37" t="s">
        <v>678</v>
      </c>
      <c r="N35" s="12"/>
      <c r="O35" s="37" t="str">
        <f t="shared" si="0"/>
        <v>ISLA</v>
      </c>
    </row>
    <row r="36" spans="1:15" x14ac:dyDescent="0.4">
      <c r="A36" s="37">
        <v>35</v>
      </c>
      <c r="B36" s="37" t="s">
        <v>1171</v>
      </c>
      <c r="C36" s="37" t="s">
        <v>2</v>
      </c>
      <c r="D36" s="37" t="s">
        <v>701</v>
      </c>
      <c r="E36" s="12" t="s">
        <v>581</v>
      </c>
      <c r="F36" s="83">
        <v>43454.438888888886</v>
      </c>
      <c r="G36" s="83">
        <v>43454.470833333333</v>
      </c>
      <c r="H36" s="77">
        <v>46</v>
      </c>
      <c r="I36" s="100" t="s">
        <v>313</v>
      </c>
      <c r="J36" s="100" t="s">
        <v>879</v>
      </c>
      <c r="K36" s="100" t="s">
        <v>351</v>
      </c>
      <c r="L36" s="38" t="s">
        <v>701</v>
      </c>
      <c r="M36" s="37" t="s">
        <v>678</v>
      </c>
      <c r="N36" s="12"/>
      <c r="O36" s="37" t="str">
        <f t="shared" si="0"/>
        <v>ISLA</v>
      </c>
    </row>
    <row r="37" spans="1:15" x14ac:dyDescent="0.4">
      <c r="A37" s="37">
        <v>36</v>
      </c>
      <c r="B37" s="37" t="s">
        <v>1172</v>
      </c>
      <c r="C37" s="37" t="s">
        <v>2</v>
      </c>
      <c r="D37" s="37" t="s">
        <v>701</v>
      </c>
      <c r="E37" s="12" t="s">
        <v>1010</v>
      </c>
      <c r="F37" s="83">
        <v>43454.840277777781</v>
      </c>
      <c r="G37" s="83">
        <v>43454.865277777775</v>
      </c>
      <c r="H37" s="77">
        <v>36</v>
      </c>
      <c r="I37" s="100" t="s">
        <v>1194</v>
      </c>
      <c r="J37" s="100" t="s">
        <v>1228</v>
      </c>
      <c r="K37" s="100" t="s">
        <v>1195</v>
      </c>
      <c r="L37" s="38" t="s">
        <v>701</v>
      </c>
      <c r="M37" s="37" t="s">
        <v>678</v>
      </c>
      <c r="N37" s="12"/>
      <c r="O37" s="37" t="str">
        <f t="shared" si="0"/>
        <v>ISLA</v>
      </c>
    </row>
    <row r="38" spans="1:15" x14ac:dyDescent="0.4">
      <c r="A38" s="37">
        <v>37</v>
      </c>
      <c r="B38" s="37" t="s">
        <v>1173</v>
      </c>
      <c r="C38" s="37" t="s">
        <v>14</v>
      </c>
      <c r="D38" s="38" t="s">
        <v>702</v>
      </c>
      <c r="E38" s="12" t="s">
        <v>1196</v>
      </c>
      <c r="F38" s="83">
        <v>43455.114583333336</v>
      </c>
      <c r="G38" s="83">
        <v>43455.246527777781</v>
      </c>
      <c r="H38" s="77">
        <f t="shared" ref="H38:H54" si="2">(G38-F38)*1440</f>
        <v>190.00000000116415</v>
      </c>
      <c r="I38" s="100" t="s">
        <v>1197</v>
      </c>
      <c r="J38" s="100" t="s">
        <v>20</v>
      </c>
      <c r="K38" s="100" t="s">
        <v>105</v>
      </c>
      <c r="L38" s="38" t="s">
        <v>703</v>
      </c>
      <c r="M38" s="37" t="s">
        <v>678</v>
      </c>
      <c r="N38" s="12"/>
      <c r="O38" s="37" t="str">
        <f t="shared" si="0"/>
        <v>ISLA</v>
      </c>
    </row>
    <row r="39" spans="1:15" x14ac:dyDescent="0.4">
      <c r="A39" s="37">
        <v>38</v>
      </c>
      <c r="B39" s="37" t="s">
        <v>1174</v>
      </c>
      <c r="C39" s="37" t="s">
        <v>2</v>
      </c>
      <c r="D39" s="38" t="s">
        <v>702</v>
      </c>
      <c r="E39" s="12" t="s">
        <v>1198</v>
      </c>
      <c r="F39" s="83">
        <v>43455.4375</v>
      </c>
      <c r="G39" s="83">
        <v>43455.481944444444</v>
      </c>
      <c r="H39" s="77">
        <f t="shared" si="2"/>
        <v>63.999999999068677</v>
      </c>
      <c r="I39" s="100" t="s">
        <v>1199</v>
      </c>
      <c r="J39" s="100" t="s">
        <v>1200</v>
      </c>
      <c r="K39" s="100" t="s">
        <v>1200</v>
      </c>
      <c r="L39" s="38" t="s">
        <v>889</v>
      </c>
      <c r="M39" s="37" t="s">
        <v>678</v>
      </c>
      <c r="N39" s="12"/>
      <c r="O39" s="37" t="str">
        <f t="shared" si="0"/>
        <v>ISLA</v>
      </c>
    </row>
    <row r="40" spans="1:15" x14ac:dyDescent="0.4">
      <c r="A40" s="37">
        <v>39</v>
      </c>
      <c r="B40" s="37" t="s">
        <v>1175</v>
      </c>
      <c r="C40" s="37" t="s">
        <v>2</v>
      </c>
      <c r="D40" s="37" t="s">
        <v>701</v>
      </c>
      <c r="E40" s="12" t="s">
        <v>581</v>
      </c>
      <c r="F40" s="83">
        <v>43455.473611111112</v>
      </c>
      <c r="G40" s="83">
        <v>43455.506944444445</v>
      </c>
      <c r="H40" s="77">
        <f t="shared" si="2"/>
        <v>47.999999999301508</v>
      </c>
      <c r="I40" s="100" t="s">
        <v>313</v>
      </c>
      <c r="J40" s="100" t="s">
        <v>879</v>
      </c>
      <c r="K40" s="100" t="s">
        <v>351</v>
      </c>
      <c r="L40" s="38" t="s">
        <v>701</v>
      </c>
      <c r="M40" s="37" t="s">
        <v>678</v>
      </c>
      <c r="N40" s="12"/>
      <c r="O40" s="37" t="str">
        <f t="shared" si="0"/>
        <v>ISLA</v>
      </c>
    </row>
    <row r="41" spans="1:15" x14ac:dyDescent="0.4">
      <c r="A41" s="37">
        <v>40</v>
      </c>
      <c r="B41" s="37" t="s">
        <v>1176</v>
      </c>
      <c r="C41" s="37" t="s">
        <v>2</v>
      </c>
      <c r="D41" s="37" t="s">
        <v>701</v>
      </c>
      <c r="E41" s="12" t="s">
        <v>326</v>
      </c>
      <c r="F41" s="83">
        <v>43455.506944444445</v>
      </c>
      <c r="G41" s="83">
        <v>43455.511111111111</v>
      </c>
      <c r="H41" s="84">
        <f t="shared" si="2"/>
        <v>5.9999999986030161</v>
      </c>
      <c r="I41" s="100" t="s">
        <v>1201</v>
      </c>
      <c r="J41" s="100" t="s">
        <v>1229</v>
      </c>
      <c r="K41" s="100" t="s">
        <v>1149</v>
      </c>
      <c r="L41" s="38" t="s">
        <v>701</v>
      </c>
      <c r="M41" s="37" t="s">
        <v>678</v>
      </c>
      <c r="N41" s="12"/>
      <c r="O41" s="37" t="str">
        <f t="shared" si="0"/>
        <v>ISLA</v>
      </c>
    </row>
    <row r="42" spans="1:15" x14ac:dyDescent="0.4">
      <c r="A42" s="37">
        <v>41</v>
      </c>
      <c r="B42" s="37" t="s">
        <v>1203</v>
      </c>
      <c r="C42" s="37" t="s">
        <v>2</v>
      </c>
      <c r="D42" s="38" t="s">
        <v>702</v>
      </c>
      <c r="E42" s="12" t="s">
        <v>299</v>
      </c>
      <c r="F42" s="83">
        <v>43455.568055555559</v>
      </c>
      <c r="G42" s="83">
        <v>43460.354166666664</v>
      </c>
      <c r="H42" s="77">
        <f t="shared" si="2"/>
        <v>6891.9999999913853</v>
      </c>
      <c r="I42" s="12" t="s">
        <v>1204</v>
      </c>
      <c r="J42" s="37" t="s">
        <v>1205</v>
      </c>
      <c r="K42" s="100" t="s">
        <v>105</v>
      </c>
      <c r="L42" s="38" t="s">
        <v>889</v>
      </c>
      <c r="M42" s="37" t="s">
        <v>678</v>
      </c>
      <c r="N42" s="12"/>
      <c r="O42" s="37" t="str">
        <f t="shared" si="0"/>
        <v>OSLA</v>
      </c>
    </row>
    <row r="43" spans="1:15" x14ac:dyDescent="0.4">
      <c r="A43" s="37">
        <v>42</v>
      </c>
      <c r="B43" s="37" t="s">
        <v>1177</v>
      </c>
      <c r="C43" s="37" t="s">
        <v>2</v>
      </c>
      <c r="D43" s="37" t="s">
        <v>701</v>
      </c>
      <c r="E43" s="12" t="s">
        <v>581</v>
      </c>
      <c r="F43" s="83">
        <v>43455.708333333336</v>
      </c>
      <c r="G43" s="83">
        <v>43455.783333333333</v>
      </c>
      <c r="H43" s="77">
        <f t="shared" si="2"/>
        <v>107.99999999580905</v>
      </c>
      <c r="I43" s="100" t="s">
        <v>313</v>
      </c>
      <c r="J43" s="100" t="s">
        <v>879</v>
      </c>
      <c r="K43" s="100" t="s">
        <v>351</v>
      </c>
      <c r="L43" s="38" t="s">
        <v>701</v>
      </c>
      <c r="M43" s="37" t="s">
        <v>678</v>
      </c>
      <c r="N43" s="12"/>
      <c r="O43" s="37" t="str">
        <f t="shared" si="0"/>
        <v>ISLA</v>
      </c>
    </row>
    <row r="44" spans="1:15" x14ac:dyDescent="0.4">
      <c r="A44" s="37">
        <v>43</v>
      </c>
      <c r="B44" s="37" t="s">
        <v>1178</v>
      </c>
      <c r="C44" s="37" t="s">
        <v>2</v>
      </c>
      <c r="D44" s="37" t="s">
        <v>701</v>
      </c>
      <c r="E44" s="12" t="s">
        <v>581</v>
      </c>
      <c r="F44" s="83">
        <v>43456.504166666666</v>
      </c>
      <c r="G44" s="83">
        <v>43456.558333333334</v>
      </c>
      <c r="H44" s="77">
        <f t="shared" si="2"/>
        <v>78.000000002793968</v>
      </c>
      <c r="I44" s="100" t="s">
        <v>313</v>
      </c>
      <c r="J44" s="100" t="s">
        <v>879</v>
      </c>
      <c r="K44" s="100" t="s">
        <v>351</v>
      </c>
      <c r="L44" s="38" t="s">
        <v>701</v>
      </c>
      <c r="M44" s="37" t="s">
        <v>678</v>
      </c>
      <c r="N44" s="12"/>
      <c r="O44" s="37" t="str">
        <f t="shared" si="0"/>
        <v>ISLA</v>
      </c>
    </row>
    <row r="45" spans="1:15" x14ac:dyDescent="0.4">
      <c r="A45" s="37">
        <v>44</v>
      </c>
      <c r="B45" s="37" t="s">
        <v>1179</v>
      </c>
      <c r="C45" s="37" t="s">
        <v>2</v>
      </c>
      <c r="D45" s="37" t="s">
        <v>701</v>
      </c>
      <c r="E45" s="12" t="s">
        <v>581</v>
      </c>
      <c r="F45" s="83">
        <v>43457.53125</v>
      </c>
      <c r="G45" s="83">
        <v>43457.566666666666</v>
      </c>
      <c r="H45" s="77">
        <f t="shared" si="2"/>
        <v>50.999999998603016</v>
      </c>
      <c r="I45" s="100" t="s">
        <v>313</v>
      </c>
      <c r="J45" s="100" t="s">
        <v>879</v>
      </c>
      <c r="K45" s="100" t="s">
        <v>351</v>
      </c>
      <c r="L45" s="38" t="s">
        <v>701</v>
      </c>
      <c r="M45" s="37" t="s">
        <v>678</v>
      </c>
      <c r="N45" s="12"/>
      <c r="O45" s="37" t="str">
        <f t="shared" si="0"/>
        <v>ISLA</v>
      </c>
    </row>
    <row r="46" spans="1:15" x14ac:dyDescent="0.4">
      <c r="A46" s="37">
        <v>45</v>
      </c>
      <c r="B46" s="37" t="s">
        <v>1206</v>
      </c>
      <c r="C46" s="37" t="s">
        <v>2</v>
      </c>
      <c r="D46" s="38" t="s">
        <v>702</v>
      </c>
      <c r="E46" s="12" t="s">
        <v>228</v>
      </c>
      <c r="F46" s="83">
        <v>43457.854166666664</v>
      </c>
      <c r="G46" s="83">
        <v>43458.401388888888</v>
      </c>
      <c r="H46" s="77">
        <f t="shared" si="2"/>
        <v>788.00000000162981</v>
      </c>
      <c r="I46" s="12" t="s">
        <v>1207</v>
      </c>
      <c r="J46" s="100" t="s">
        <v>1208</v>
      </c>
      <c r="K46" s="100" t="s">
        <v>1209</v>
      </c>
      <c r="L46" s="38" t="s">
        <v>707</v>
      </c>
      <c r="M46" s="37" t="s">
        <v>678</v>
      </c>
      <c r="N46" s="12"/>
      <c r="O46" s="37" t="str">
        <f t="shared" si="0"/>
        <v>OSLA</v>
      </c>
    </row>
    <row r="47" spans="1:15" x14ac:dyDescent="0.4">
      <c r="A47" s="37">
        <v>46</v>
      </c>
      <c r="B47" s="37" t="s">
        <v>1210</v>
      </c>
      <c r="C47" s="37" t="s">
        <v>2</v>
      </c>
      <c r="D47" s="37" t="s">
        <v>701</v>
      </c>
      <c r="E47" s="12" t="s">
        <v>581</v>
      </c>
      <c r="F47" s="83">
        <v>43458.565972222219</v>
      </c>
      <c r="G47" s="83">
        <v>43458.601388888892</v>
      </c>
      <c r="H47" s="84">
        <f t="shared" si="2"/>
        <v>51.000000009080395</v>
      </c>
      <c r="I47" s="12" t="s">
        <v>313</v>
      </c>
      <c r="J47" s="100" t="s">
        <v>879</v>
      </c>
      <c r="K47" s="100" t="s">
        <v>351</v>
      </c>
      <c r="L47" s="38" t="s">
        <v>701</v>
      </c>
      <c r="M47" s="37" t="s">
        <v>678</v>
      </c>
      <c r="N47" s="12"/>
      <c r="O47" s="37" t="str">
        <f t="shared" si="0"/>
        <v>ISLA</v>
      </c>
    </row>
    <row r="48" spans="1:15" x14ac:dyDescent="0.4">
      <c r="A48" s="37">
        <v>47</v>
      </c>
      <c r="B48" s="37" t="s">
        <v>1211</v>
      </c>
      <c r="C48" s="37" t="s">
        <v>2</v>
      </c>
      <c r="D48" s="37" t="s">
        <v>701</v>
      </c>
      <c r="E48" s="12" t="s">
        <v>581</v>
      </c>
      <c r="F48" s="83">
        <v>43459.084027777775</v>
      </c>
      <c r="G48" s="83">
        <v>43459.811111111114</v>
      </c>
      <c r="H48" s="77">
        <f t="shared" si="2"/>
        <v>1047.0000000076834</v>
      </c>
      <c r="I48" s="12" t="s">
        <v>313</v>
      </c>
      <c r="J48" s="100" t="s">
        <v>879</v>
      </c>
      <c r="K48" s="100" t="s">
        <v>351</v>
      </c>
      <c r="L48" s="38" t="s">
        <v>701</v>
      </c>
      <c r="M48" s="37" t="s">
        <v>678</v>
      </c>
      <c r="N48" s="12"/>
      <c r="O48" s="37" t="str">
        <f t="shared" si="0"/>
        <v>OSLA</v>
      </c>
    </row>
    <row r="49" spans="1:15" x14ac:dyDescent="0.4">
      <c r="A49" s="37">
        <v>48</v>
      </c>
      <c r="B49" s="37" t="s">
        <v>1212</v>
      </c>
      <c r="C49" s="37" t="s">
        <v>2</v>
      </c>
      <c r="D49" s="37" t="s">
        <v>701</v>
      </c>
      <c r="E49" s="12" t="s">
        <v>581</v>
      </c>
      <c r="F49" s="83">
        <v>43460.635416666664</v>
      </c>
      <c r="G49" s="83">
        <v>43460.666666666664</v>
      </c>
      <c r="H49" s="77">
        <f t="shared" si="2"/>
        <v>45</v>
      </c>
      <c r="I49" s="12" t="s">
        <v>313</v>
      </c>
      <c r="J49" s="100" t="s">
        <v>879</v>
      </c>
      <c r="K49" s="100" t="s">
        <v>351</v>
      </c>
      <c r="L49" s="38" t="s">
        <v>701</v>
      </c>
      <c r="M49" s="37" t="s">
        <v>678</v>
      </c>
      <c r="N49" s="12"/>
      <c r="O49" s="37" t="str">
        <f t="shared" si="0"/>
        <v>ISLA</v>
      </c>
    </row>
    <row r="50" spans="1:15" x14ac:dyDescent="0.4">
      <c r="A50" s="37">
        <v>49</v>
      </c>
      <c r="B50" s="37" t="s">
        <v>1213</v>
      </c>
      <c r="C50" s="37" t="s">
        <v>2</v>
      </c>
      <c r="D50" s="38" t="s">
        <v>702</v>
      </c>
      <c r="E50" s="12" t="s">
        <v>1214</v>
      </c>
      <c r="F50" s="83">
        <v>43460.768750000003</v>
      </c>
      <c r="G50" s="83">
        <v>43461.46875</v>
      </c>
      <c r="H50" s="77">
        <f t="shared" si="2"/>
        <v>1007.999999995809</v>
      </c>
      <c r="I50" s="12" t="s">
        <v>1215</v>
      </c>
      <c r="J50" s="12" t="s">
        <v>1252</v>
      </c>
      <c r="K50" s="100" t="s">
        <v>1149</v>
      </c>
      <c r="L50" s="38" t="s">
        <v>704</v>
      </c>
      <c r="M50" s="37" t="s">
        <v>678</v>
      </c>
      <c r="N50" s="12"/>
      <c r="O50" s="37" t="str">
        <f t="shared" si="0"/>
        <v>OSLA</v>
      </c>
    </row>
    <row r="51" spans="1:15" x14ac:dyDescent="0.4">
      <c r="A51" s="37">
        <v>50</v>
      </c>
      <c r="B51" s="37" t="s">
        <v>1216</v>
      </c>
      <c r="C51" s="37" t="s">
        <v>2</v>
      </c>
      <c r="D51" s="37" t="s">
        <v>701</v>
      </c>
      <c r="E51" s="12" t="s">
        <v>581</v>
      </c>
      <c r="F51" s="83">
        <v>43461.657638888886</v>
      </c>
      <c r="G51" s="83">
        <v>43461.741666666669</v>
      </c>
      <c r="H51" s="77">
        <f t="shared" si="2"/>
        <v>121.00000000675209</v>
      </c>
      <c r="I51" s="12" t="s">
        <v>313</v>
      </c>
      <c r="J51" s="100" t="s">
        <v>879</v>
      </c>
      <c r="K51" s="100" t="s">
        <v>351</v>
      </c>
      <c r="L51" s="38" t="s">
        <v>701</v>
      </c>
      <c r="M51" s="37" t="s">
        <v>678</v>
      </c>
      <c r="N51" s="12"/>
      <c r="O51" s="37" t="str">
        <f t="shared" si="0"/>
        <v>OSLA</v>
      </c>
    </row>
    <row r="52" spans="1:15" x14ac:dyDescent="0.4">
      <c r="A52" s="37">
        <v>51</v>
      </c>
      <c r="B52" s="37" t="s">
        <v>1217</v>
      </c>
      <c r="C52" s="37" t="s">
        <v>2</v>
      </c>
      <c r="D52" s="37" t="s">
        <v>701</v>
      </c>
      <c r="E52" s="12" t="s">
        <v>581</v>
      </c>
      <c r="F52" s="83">
        <v>43462.703472222223</v>
      </c>
      <c r="G52" s="83">
        <v>43462.734722222223</v>
      </c>
      <c r="H52" s="77">
        <f t="shared" si="2"/>
        <v>45</v>
      </c>
      <c r="I52" s="12" t="s">
        <v>313</v>
      </c>
      <c r="J52" s="100" t="s">
        <v>879</v>
      </c>
      <c r="K52" s="100" t="s">
        <v>351</v>
      </c>
      <c r="L52" s="38" t="s">
        <v>701</v>
      </c>
      <c r="M52" s="37" t="s">
        <v>678</v>
      </c>
      <c r="N52" s="12"/>
      <c r="O52" s="37" t="str">
        <f t="shared" si="0"/>
        <v>ISLA</v>
      </c>
    </row>
    <row r="53" spans="1:15" x14ac:dyDescent="0.4">
      <c r="A53" s="37">
        <v>52</v>
      </c>
      <c r="B53" s="37" t="s">
        <v>1218</v>
      </c>
      <c r="C53" s="37" t="s">
        <v>2</v>
      </c>
      <c r="D53" s="37" t="s">
        <v>701</v>
      </c>
      <c r="E53" s="12" t="s">
        <v>581</v>
      </c>
      <c r="F53" s="83">
        <v>43463.730555555558</v>
      </c>
      <c r="G53" s="83">
        <v>43463.763888888891</v>
      </c>
      <c r="H53" s="77">
        <f t="shared" si="2"/>
        <v>47.999999999301508</v>
      </c>
      <c r="I53" s="12" t="s">
        <v>313</v>
      </c>
      <c r="J53" s="100" t="s">
        <v>879</v>
      </c>
      <c r="K53" s="100" t="s">
        <v>351</v>
      </c>
      <c r="L53" s="38" t="s">
        <v>701</v>
      </c>
      <c r="M53" s="37" t="s">
        <v>678</v>
      </c>
      <c r="N53" s="12"/>
      <c r="O53" s="37" t="str">
        <f t="shared" si="0"/>
        <v>ISLA</v>
      </c>
    </row>
    <row r="54" spans="1:15" x14ac:dyDescent="0.4">
      <c r="A54" s="37">
        <v>53</v>
      </c>
      <c r="B54" s="37" t="s">
        <v>1223</v>
      </c>
      <c r="C54" s="37" t="s">
        <v>2</v>
      </c>
      <c r="D54" s="37" t="s">
        <v>701</v>
      </c>
      <c r="E54" s="12" t="s">
        <v>581</v>
      </c>
      <c r="F54" s="83">
        <v>43465.693749999999</v>
      </c>
      <c r="G54" s="83">
        <v>43465.888194444444</v>
      </c>
      <c r="H54" s="77">
        <f t="shared" si="2"/>
        <v>280.00000000116415</v>
      </c>
      <c r="I54" s="12" t="s">
        <v>313</v>
      </c>
      <c r="J54" s="100" t="s">
        <v>879</v>
      </c>
      <c r="K54" s="100" t="s">
        <v>351</v>
      </c>
      <c r="L54" s="38" t="s">
        <v>701</v>
      </c>
      <c r="M54" s="37" t="s">
        <v>678</v>
      </c>
      <c r="N54" s="12"/>
      <c r="O54" s="37" t="str">
        <f t="shared" si="0"/>
        <v>OSLA</v>
      </c>
    </row>
    <row r="58" spans="1:15" x14ac:dyDescent="0.4">
      <c r="B58" s="73" t="s">
        <v>2</v>
      </c>
      <c r="C58" s="73" t="s">
        <v>776</v>
      </c>
      <c r="D58" s="73">
        <v>120</v>
      </c>
    </row>
    <row r="59" spans="1:15" x14ac:dyDescent="0.4">
      <c r="B59" s="73" t="s">
        <v>14</v>
      </c>
      <c r="C59" s="73" t="s">
        <v>777</v>
      </c>
      <c r="D59" s="73">
        <v>240</v>
      </c>
    </row>
    <row r="60" spans="1:15" x14ac:dyDescent="0.4">
      <c r="B60" s="73" t="s">
        <v>158</v>
      </c>
      <c r="C60" s="73" t="s">
        <v>778</v>
      </c>
      <c r="D60" s="73">
        <f>1440*2</f>
        <v>2880</v>
      </c>
    </row>
    <row r="61" spans="1:15" x14ac:dyDescent="0.4">
      <c r="B61" s="73" t="s">
        <v>757</v>
      </c>
      <c r="C61" s="73" t="s">
        <v>779</v>
      </c>
      <c r="D61" s="73">
        <f>3*1440</f>
        <v>4320</v>
      </c>
    </row>
  </sheetData>
  <autoFilter ref="A1:O54" xr:uid="{00000000-0009-0000-0000-00000F000000}">
    <sortState xmlns:xlrd2="http://schemas.microsoft.com/office/spreadsheetml/2017/richdata2" ref="A2:O52">
      <sortCondition ref="F1:F43"/>
    </sortState>
  </autoFilter>
  <conditionalFormatting sqref="F2:H26">
    <cfRule type="cellIs" dxfId="70" priority="1" operator="equal">
      <formula>"NOK"</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8">
    <tabColor rgb="FFFFC000"/>
  </sheetPr>
  <dimension ref="A1:O63"/>
  <sheetViews>
    <sheetView workbookViewId="0">
      <selection activeCell="L45" sqref="L45"/>
    </sheetView>
  </sheetViews>
  <sheetFormatPr baseColWidth="10" defaultRowHeight="14.6" x14ac:dyDescent="0.4"/>
  <cols>
    <col min="1" max="1" width="5" customWidth="1"/>
    <col min="2" max="2" width="10.07421875" bestFit="1" customWidth="1"/>
    <col min="3" max="3" width="9.4609375" bestFit="1" customWidth="1"/>
    <col min="4" max="4" width="9.07421875" bestFit="1" customWidth="1"/>
    <col min="5" max="5" width="35.07421875" bestFit="1" customWidth="1"/>
    <col min="6" max="6" width="21.69140625" bestFit="1" customWidth="1"/>
    <col min="7" max="7" width="18.3046875" bestFit="1" customWidth="1"/>
    <col min="9" max="9" width="61.53515625" bestFit="1" customWidth="1"/>
    <col min="10" max="10" width="45.69140625" bestFit="1" customWidth="1"/>
    <col min="11" max="11" width="34.53515625" bestFit="1" customWidth="1"/>
  </cols>
  <sheetData>
    <row r="1" spans="1:15" x14ac:dyDescent="0.4">
      <c r="A1" s="6" t="s">
        <v>0</v>
      </c>
      <c r="B1" s="6" t="s">
        <v>792</v>
      </c>
      <c r="C1" s="6" t="s">
        <v>793</v>
      </c>
      <c r="D1" s="7" t="s">
        <v>700</v>
      </c>
      <c r="E1" s="7" t="s">
        <v>897</v>
      </c>
      <c r="F1" s="6" t="s">
        <v>795</v>
      </c>
      <c r="G1" s="6" t="s">
        <v>796</v>
      </c>
      <c r="H1" s="6" t="s">
        <v>797</v>
      </c>
      <c r="I1" s="7" t="s">
        <v>898</v>
      </c>
      <c r="J1" s="6" t="s">
        <v>798</v>
      </c>
      <c r="K1" s="6" t="s">
        <v>799</v>
      </c>
      <c r="L1" s="7" t="s">
        <v>699</v>
      </c>
      <c r="M1" s="6" t="s">
        <v>684</v>
      </c>
      <c r="N1" s="7" t="s">
        <v>659</v>
      </c>
      <c r="O1" s="6" t="s">
        <v>888</v>
      </c>
    </row>
    <row r="2" spans="1:15" x14ac:dyDescent="0.4">
      <c r="A2" s="37">
        <v>1</v>
      </c>
      <c r="B2" s="37" t="s">
        <v>1237</v>
      </c>
      <c r="C2" s="37" t="s">
        <v>2</v>
      </c>
      <c r="D2" s="37" t="s">
        <v>701</v>
      </c>
      <c r="E2" s="12" t="s">
        <v>581</v>
      </c>
      <c r="F2" s="83">
        <v>43466.798611111109</v>
      </c>
      <c r="G2" s="83">
        <v>43466.828472222223</v>
      </c>
      <c r="H2" s="84">
        <v>43.000000003958121</v>
      </c>
      <c r="I2" s="12" t="s">
        <v>313</v>
      </c>
      <c r="J2" s="12" t="s">
        <v>879</v>
      </c>
      <c r="K2" s="100" t="s">
        <v>88</v>
      </c>
      <c r="L2" s="38" t="s">
        <v>701</v>
      </c>
      <c r="M2" s="37" t="s">
        <v>678</v>
      </c>
      <c r="N2" s="12"/>
      <c r="O2" s="38" t="str">
        <f>IF(AND(C2=$B$51,H2&lt;=$D$51),"ISLA",IF((AND(C2=$B$52,H2&lt;=$D$52)),"ISLA",IF((AND(C2=$B$53,H2&lt;=$D$53)),"ISLA","OSLA")))</f>
        <v>ISLA</v>
      </c>
    </row>
    <row r="3" spans="1:15" x14ac:dyDescent="0.4">
      <c r="A3" s="37">
        <v>2</v>
      </c>
      <c r="B3" s="37" t="s">
        <v>1238</v>
      </c>
      <c r="C3" s="37" t="s">
        <v>2</v>
      </c>
      <c r="D3" s="38" t="s">
        <v>702</v>
      </c>
      <c r="E3" s="12" t="s">
        <v>1246</v>
      </c>
      <c r="F3" s="83">
        <v>43467.201388888891</v>
      </c>
      <c r="G3" s="83">
        <v>43467.986111111109</v>
      </c>
      <c r="H3" s="84">
        <v>1129.9999999953434</v>
      </c>
      <c r="I3" s="12" t="s">
        <v>1249</v>
      </c>
      <c r="J3" s="12" t="s">
        <v>1253</v>
      </c>
      <c r="K3" s="100" t="s">
        <v>569</v>
      </c>
      <c r="L3" s="38" t="s">
        <v>704</v>
      </c>
      <c r="M3" s="37" t="s">
        <v>678</v>
      </c>
      <c r="N3" s="12"/>
      <c r="O3" s="38" t="str">
        <f t="shared" ref="O3:O44" si="0">IF(AND(C3=$B$51,H3&lt;=$D$51),"ISLA",IF((AND(C3=$B$52,H3&lt;=$D$52)),"ISLA",IF((AND(C3=$B$53,H3&lt;=$D$53)),"ISLA","OSLA")))</f>
        <v>OSLA</v>
      </c>
    </row>
    <row r="4" spans="1:15" x14ac:dyDescent="0.4">
      <c r="A4" s="37">
        <v>3</v>
      </c>
      <c r="B4" s="37" t="s">
        <v>1239</v>
      </c>
      <c r="C4" s="37" t="s">
        <v>2</v>
      </c>
      <c r="D4" s="38" t="s">
        <v>702</v>
      </c>
      <c r="E4" s="12" t="s">
        <v>1247</v>
      </c>
      <c r="F4" s="102">
        <v>43467.37222222222</v>
      </c>
      <c r="G4" s="102">
        <v>43471.357638888891</v>
      </c>
      <c r="H4" s="103">
        <v>5739.0000000048894</v>
      </c>
      <c r="I4" s="12" t="s">
        <v>1250</v>
      </c>
      <c r="J4" s="12" t="s">
        <v>1256</v>
      </c>
      <c r="K4" s="100" t="s">
        <v>569</v>
      </c>
      <c r="L4" s="38" t="s">
        <v>707</v>
      </c>
      <c r="M4" s="37" t="s">
        <v>678</v>
      </c>
      <c r="N4" s="12"/>
      <c r="O4" s="38" t="str">
        <f t="shared" si="0"/>
        <v>OSLA</v>
      </c>
    </row>
    <row r="5" spans="1:15" x14ac:dyDescent="0.4">
      <c r="A5" s="37">
        <v>4</v>
      </c>
      <c r="B5" s="37" t="s">
        <v>1240</v>
      </c>
      <c r="C5" s="37" t="s">
        <v>2</v>
      </c>
      <c r="D5" s="37" t="s">
        <v>701</v>
      </c>
      <c r="E5" s="12" t="s">
        <v>581</v>
      </c>
      <c r="F5" s="83">
        <v>43467.827777777777</v>
      </c>
      <c r="G5" s="83">
        <v>43467.862500000003</v>
      </c>
      <c r="H5" s="84">
        <v>50.000000005820766</v>
      </c>
      <c r="I5" s="12" t="s">
        <v>313</v>
      </c>
      <c r="J5" s="12" t="s">
        <v>879</v>
      </c>
      <c r="K5" s="100" t="s">
        <v>88</v>
      </c>
      <c r="L5" s="38" t="s">
        <v>701</v>
      </c>
      <c r="M5" s="37" t="s">
        <v>678</v>
      </c>
      <c r="N5" s="12"/>
      <c r="O5" s="38" t="str">
        <f t="shared" si="0"/>
        <v>ISLA</v>
      </c>
    </row>
    <row r="6" spans="1:15" x14ac:dyDescent="0.4">
      <c r="A6" s="37">
        <v>5</v>
      </c>
      <c r="B6" s="37" t="s">
        <v>1241</v>
      </c>
      <c r="C6" s="37" t="s">
        <v>2</v>
      </c>
      <c r="D6" s="37" t="s">
        <v>701</v>
      </c>
      <c r="E6" s="12" t="s">
        <v>581</v>
      </c>
      <c r="F6" s="83">
        <v>43468.15347222222</v>
      </c>
      <c r="G6" s="83">
        <v>43468.271527777775</v>
      </c>
      <c r="H6" s="84">
        <v>169.99999999883585</v>
      </c>
      <c r="I6" s="12" t="s">
        <v>313</v>
      </c>
      <c r="J6" s="12" t="s">
        <v>879</v>
      </c>
      <c r="K6" s="100" t="s">
        <v>88</v>
      </c>
      <c r="L6" s="38" t="s">
        <v>701</v>
      </c>
      <c r="M6" s="37" t="s">
        <v>678</v>
      </c>
      <c r="N6" s="12"/>
      <c r="O6" s="38" t="str">
        <f t="shared" si="0"/>
        <v>OSLA</v>
      </c>
    </row>
    <row r="7" spans="1:15" x14ac:dyDescent="0.4">
      <c r="A7" s="37">
        <v>6</v>
      </c>
      <c r="B7" s="37" t="s">
        <v>1242</v>
      </c>
      <c r="C7" s="37" t="s">
        <v>2</v>
      </c>
      <c r="D7" s="37" t="s">
        <v>701</v>
      </c>
      <c r="E7" s="12" t="s">
        <v>1248</v>
      </c>
      <c r="F7" s="83">
        <v>43468.390277777777</v>
      </c>
      <c r="G7" s="83">
        <v>43468.433333333334</v>
      </c>
      <c r="H7" s="84">
        <v>62.000000003026798</v>
      </c>
      <c r="I7" s="12" t="s">
        <v>1251</v>
      </c>
      <c r="J7" s="12" t="s">
        <v>1254</v>
      </c>
      <c r="K7" s="100" t="s">
        <v>1255</v>
      </c>
      <c r="L7" s="38" t="s">
        <v>701</v>
      </c>
      <c r="M7" s="37" t="s">
        <v>678</v>
      </c>
      <c r="N7" s="12"/>
      <c r="O7" s="38" t="str">
        <f t="shared" si="0"/>
        <v>ISLA</v>
      </c>
    </row>
    <row r="8" spans="1:15" x14ac:dyDescent="0.4">
      <c r="A8" s="37">
        <v>7</v>
      </c>
      <c r="B8" s="37" t="s">
        <v>1243</v>
      </c>
      <c r="C8" s="37" t="s">
        <v>2</v>
      </c>
      <c r="D8" s="37" t="s">
        <v>701</v>
      </c>
      <c r="E8" s="12" t="s">
        <v>581</v>
      </c>
      <c r="F8" s="83">
        <v>43468.870138888888</v>
      </c>
      <c r="G8" s="83">
        <v>43468.896527777775</v>
      </c>
      <c r="H8" s="84">
        <v>37.999999998137355</v>
      </c>
      <c r="I8" s="12" t="s">
        <v>313</v>
      </c>
      <c r="J8" s="12" t="s">
        <v>879</v>
      </c>
      <c r="K8" s="100" t="s">
        <v>88</v>
      </c>
      <c r="L8" s="38" t="s">
        <v>701</v>
      </c>
      <c r="M8" s="37" t="s">
        <v>678</v>
      </c>
      <c r="N8" s="12"/>
      <c r="O8" s="38" t="str">
        <f t="shared" si="0"/>
        <v>ISLA</v>
      </c>
    </row>
    <row r="9" spans="1:15" x14ac:dyDescent="0.4">
      <c r="A9" s="37">
        <v>8</v>
      </c>
      <c r="B9" s="37" t="s">
        <v>1244</v>
      </c>
      <c r="C9" s="37" t="s">
        <v>2</v>
      </c>
      <c r="D9" s="37" t="s">
        <v>701</v>
      </c>
      <c r="E9" s="12" t="s">
        <v>581</v>
      </c>
      <c r="F9" s="83">
        <v>43469.899305555555</v>
      </c>
      <c r="G9" s="83">
        <v>43469.927083333336</v>
      </c>
      <c r="H9" s="84">
        <v>40.000000004656613</v>
      </c>
      <c r="I9" s="12" t="s">
        <v>313</v>
      </c>
      <c r="J9" s="12" t="s">
        <v>879</v>
      </c>
      <c r="K9" s="100" t="s">
        <v>88</v>
      </c>
      <c r="L9" s="38" t="s">
        <v>701</v>
      </c>
      <c r="M9" s="37" t="s">
        <v>678</v>
      </c>
      <c r="N9" s="12"/>
      <c r="O9" s="38" t="str">
        <f t="shared" si="0"/>
        <v>ISLA</v>
      </c>
    </row>
    <row r="10" spans="1:15" x14ac:dyDescent="0.4">
      <c r="A10" s="37">
        <v>9</v>
      </c>
      <c r="B10" s="37" t="s">
        <v>1245</v>
      </c>
      <c r="C10" s="37" t="s">
        <v>2</v>
      </c>
      <c r="D10" s="37" t="s">
        <v>701</v>
      </c>
      <c r="E10" s="12" t="s">
        <v>581</v>
      </c>
      <c r="F10" s="83">
        <v>43470.930555555555</v>
      </c>
      <c r="G10" s="83">
        <v>43470.960416666669</v>
      </c>
      <c r="H10" s="84">
        <v>43.000000003958121</v>
      </c>
      <c r="I10" s="12" t="s">
        <v>313</v>
      </c>
      <c r="J10" s="12" t="s">
        <v>879</v>
      </c>
      <c r="K10" s="100" t="s">
        <v>88</v>
      </c>
      <c r="L10" s="38" t="s">
        <v>701</v>
      </c>
      <c r="M10" s="37" t="s">
        <v>678</v>
      </c>
      <c r="N10" s="12"/>
      <c r="O10" s="38" t="str">
        <f t="shared" si="0"/>
        <v>ISLA</v>
      </c>
    </row>
    <row r="11" spans="1:15" x14ac:dyDescent="0.4">
      <c r="A11" s="37">
        <v>10</v>
      </c>
      <c r="B11" s="37" t="s">
        <v>1257</v>
      </c>
      <c r="C11" s="37" t="s">
        <v>2</v>
      </c>
      <c r="D11" s="37" t="s">
        <v>701</v>
      </c>
      <c r="E11" s="12" t="s">
        <v>581</v>
      </c>
      <c r="F11" s="83">
        <v>43472.961805555555</v>
      </c>
      <c r="G11" s="83">
        <v>43472.993055555555</v>
      </c>
      <c r="H11" s="84">
        <v>45</v>
      </c>
      <c r="I11" s="12" t="s">
        <v>313</v>
      </c>
      <c r="J11" s="12" t="s">
        <v>879</v>
      </c>
      <c r="K11" s="100" t="s">
        <v>209</v>
      </c>
      <c r="L11" s="38" t="s">
        <v>701</v>
      </c>
      <c r="M11" s="37" t="s">
        <v>678</v>
      </c>
      <c r="N11" s="12"/>
      <c r="O11" s="38" t="str">
        <f t="shared" si="0"/>
        <v>ISLA</v>
      </c>
    </row>
    <row r="12" spans="1:15" x14ac:dyDescent="0.4">
      <c r="A12" s="37">
        <v>11</v>
      </c>
      <c r="B12" s="37" t="s">
        <v>1258</v>
      </c>
      <c r="C12" s="37" t="s">
        <v>2</v>
      </c>
      <c r="D12" s="38" t="s">
        <v>702</v>
      </c>
      <c r="E12" s="12" t="s">
        <v>117</v>
      </c>
      <c r="F12" s="83">
        <v>43473.525694444441</v>
      </c>
      <c r="G12" s="83">
        <v>43474.592361111114</v>
      </c>
      <c r="H12" s="84">
        <v>1536</v>
      </c>
      <c r="I12" s="12" t="s">
        <v>1267</v>
      </c>
      <c r="J12" s="12" t="s">
        <v>20</v>
      </c>
      <c r="K12" s="100" t="s">
        <v>105</v>
      </c>
      <c r="L12" s="38" t="s">
        <v>707</v>
      </c>
      <c r="M12" s="37" t="s">
        <v>678</v>
      </c>
      <c r="N12" s="12"/>
      <c r="O12" s="38" t="str">
        <f t="shared" si="0"/>
        <v>OSLA</v>
      </c>
    </row>
    <row r="13" spans="1:15" x14ac:dyDescent="0.4">
      <c r="A13" s="37">
        <v>12</v>
      </c>
      <c r="B13" s="37" t="s">
        <v>1259</v>
      </c>
      <c r="C13" s="37" t="s">
        <v>2</v>
      </c>
      <c r="D13" s="37" t="s">
        <v>701</v>
      </c>
      <c r="E13" s="12" t="s">
        <v>522</v>
      </c>
      <c r="F13" s="83">
        <v>43473.593055555553</v>
      </c>
      <c r="G13" s="83">
        <v>43473.616666666669</v>
      </c>
      <c r="H13" s="84">
        <v>34</v>
      </c>
      <c r="I13" s="12" t="s">
        <v>1251</v>
      </c>
      <c r="J13" s="12" t="s">
        <v>879</v>
      </c>
      <c r="K13" s="100" t="s">
        <v>209</v>
      </c>
      <c r="L13" s="38" t="s">
        <v>701</v>
      </c>
      <c r="M13" s="37" t="s">
        <v>678</v>
      </c>
      <c r="N13" s="12"/>
      <c r="O13" s="38" t="str">
        <f t="shared" si="0"/>
        <v>ISLA</v>
      </c>
    </row>
    <row r="14" spans="1:15" x14ac:dyDescent="0.4">
      <c r="A14" s="37">
        <v>13</v>
      </c>
      <c r="B14" s="37" t="s">
        <v>1260</v>
      </c>
      <c r="C14" s="37" t="s">
        <v>2</v>
      </c>
      <c r="D14" s="37" t="s">
        <v>701</v>
      </c>
      <c r="E14" s="12" t="s">
        <v>581</v>
      </c>
      <c r="F14" s="83">
        <v>43473.996527777781</v>
      </c>
      <c r="G14" s="83">
        <v>43474.031944444447</v>
      </c>
      <c r="H14" s="84">
        <v>51</v>
      </c>
      <c r="I14" s="12" t="s">
        <v>313</v>
      </c>
      <c r="J14" s="12" t="s">
        <v>879</v>
      </c>
      <c r="K14" s="100" t="s">
        <v>209</v>
      </c>
      <c r="L14" s="38" t="s">
        <v>701</v>
      </c>
      <c r="M14" s="37" t="s">
        <v>678</v>
      </c>
      <c r="N14" s="12"/>
      <c r="O14" s="38" t="str">
        <f t="shared" si="0"/>
        <v>ISLA</v>
      </c>
    </row>
    <row r="15" spans="1:15" x14ac:dyDescent="0.4">
      <c r="A15" s="37">
        <v>14</v>
      </c>
      <c r="B15" s="37" t="s">
        <v>1261</v>
      </c>
      <c r="C15" s="37" t="s">
        <v>2</v>
      </c>
      <c r="D15" s="38" t="s">
        <v>702</v>
      </c>
      <c r="E15" s="12" t="s">
        <v>1247</v>
      </c>
      <c r="F15" s="83">
        <v>43474.559027777781</v>
      </c>
      <c r="G15" s="83">
        <v>43475.35</v>
      </c>
      <c r="H15" s="84">
        <f>(G15-F15)*1440</f>
        <v>1138.9999999932479</v>
      </c>
      <c r="I15" s="12" t="s">
        <v>1250</v>
      </c>
      <c r="J15" s="12" t="s">
        <v>20</v>
      </c>
      <c r="K15" s="100" t="s">
        <v>105</v>
      </c>
      <c r="L15" s="38" t="s">
        <v>707</v>
      </c>
      <c r="M15" s="37" t="s">
        <v>678</v>
      </c>
      <c r="N15" s="12"/>
      <c r="O15" s="38" t="str">
        <f t="shared" si="0"/>
        <v>OSLA</v>
      </c>
    </row>
    <row r="16" spans="1:15" x14ac:dyDescent="0.4">
      <c r="A16" s="37">
        <v>15</v>
      </c>
      <c r="B16" s="37" t="s">
        <v>1262</v>
      </c>
      <c r="C16" s="37" t="s">
        <v>2</v>
      </c>
      <c r="D16" s="37" t="s">
        <v>701</v>
      </c>
      <c r="E16" s="12" t="s">
        <v>581</v>
      </c>
      <c r="F16" s="83">
        <v>43475.034722222219</v>
      </c>
      <c r="G16" s="83">
        <v>43475.0625</v>
      </c>
      <c r="H16" s="84">
        <v>40</v>
      </c>
      <c r="I16" s="12" t="s">
        <v>313</v>
      </c>
      <c r="J16" s="12" t="s">
        <v>879</v>
      </c>
      <c r="K16" s="100" t="s">
        <v>209</v>
      </c>
      <c r="L16" s="38" t="s">
        <v>701</v>
      </c>
      <c r="M16" s="37" t="s">
        <v>678</v>
      </c>
      <c r="N16" s="12"/>
      <c r="O16" s="38" t="str">
        <f t="shared" si="0"/>
        <v>ISLA</v>
      </c>
    </row>
    <row r="17" spans="1:15" x14ac:dyDescent="0.4">
      <c r="A17" s="37">
        <v>16</v>
      </c>
      <c r="B17" s="37" t="s">
        <v>1263</v>
      </c>
      <c r="C17" s="37" t="s">
        <v>2</v>
      </c>
      <c r="D17" s="38" t="s">
        <v>702</v>
      </c>
      <c r="E17" s="12" t="s">
        <v>27</v>
      </c>
      <c r="F17" s="83">
        <v>43475.076388888891</v>
      </c>
      <c r="G17" s="83">
        <v>43475.501388888886</v>
      </c>
      <c r="H17" s="84">
        <v>612</v>
      </c>
      <c r="I17" s="12" t="s">
        <v>1268</v>
      </c>
      <c r="J17" s="12" t="s">
        <v>1269</v>
      </c>
      <c r="K17" s="100" t="s">
        <v>1270</v>
      </c>
      <c r="L17" s="38" t="s">
        <v>719</v>
      </c>
      <c r="M17" s="37" t="s">
        <v>678</v>
      </c>
      <c r="N17" s="12"/>
      <c r="O17" s="38" t="str">
        <f t="shared" si="0"/>
        <v>OSLA</v>
      </c>
    </row>
    <row r="18" spans="1:15" x14ac:dyDescent="0.4">
      <c r="A18" s="37">
        <v>17</v>
      </c>
      <c r="B18" s="37" t="s">
        <v>1264</v>
      </c>
      <c r="C18" s="37" t="s">
        <v>2</v>
      </c>
      <c r="D18" s="37" t="s">
        <v>701</v>
      </c>
      <c r="E18" s="12" t="s">
        <v>581</v>
      </c>
      <c r="F18" s="83">
        <v>43476.063194444447</v>
      </c>
      <c r="G18" s="83">
        <v>43476.09375</v>
      </c>
      <c r="H18" s="84">
        <v>43.999999996740371</v>
      </c>
      <c r="I18" s="12" t="s">
        <v>313</v>
      </c>
      <c r="J18" s="12" t="s">
        <v>879</v>
      </c>
      <c r="K18" s="100" t="s">
        <v>433</v>
      </c>
      <c r="L18" s="38" t="s">
        <v>701</v>
      </c>
      <c r="M18" s="37" t="s">
        <v>678</v>
      </c>
      <c r="N18" s="12"/>
      <c r="O18" s="38" t="str">
        <f t="shared" si="0"/>
        <v>ISLA</v>
      </c>
    </row>
    <row r="19" spans="1:15" x14ac:dyDescent="0.4">
      <c r="A19" s="37">
        <v>18</v>
      </c>
      <c r="B19" s="37" t="s">
        <v>1265</v>
      </c>
      <c r="C19" s="37" t="s">
        <v>2</v>
      </c>
      <c r="D19" s="37" t="s">
        <v>701</v>
      </c>
      <c r="E19" s="12" t="s">
        <v>522</v>
      </c>
      <c r="F19" s="83">
        <v>43476.418055555558</v>
      </c>
      <c r="G19" s="83">
        <v>43476.45</v>
      </c>
      <c r="H19" s="84">
        <v>45.99999999278225</v>
      </c>
      <c r="I19" s="12" t="s">
        <v>1251</v>
      </c>
      <c r="J19" s="12" t="s">
        <v>879</v>
      </c>
      <c r="K19" s="100" t="s">
        <v>88</v>
      </c>
      <c r="L19" s="38" t="s">
        <v>701</v>
      </c>
      <c r="M19" s="37" t="s">
        <v>678</v>
      </c>
      <c r="N19" s="12"/>
      <c r="O19" s="38" t="str">
        <f t="shared" si="0"/>
        <v>ISLA</v>
      </c>
    </row>
    <row r="20" spans="1:15" x14ac:dyDescent="0.4">
      <c r="A20" s="37">
        <v>19</v>
      </c>
      <c r="B20" s="37" t="s">
        <v>1266</v>
      </c>
      <c r="C20" s="37" t="s">
        <v>2</v>
      </c>
      <c r="D20" s="37" t="s">
        <v>701</v>
      </c>
      <c r="E20" s="12" t="s">
        <v>581</v>
      </c>
      <c r="F20" s="83">
        <v>43477.098611111112</v>
      </c>
      <c r="G20" s="83">
        <v>43477.131944444445</v>
      </c>
      <c r="H20" s="84">
        <v>47.999999999301508</v>
      </c>
      <c r="I20" s="12" t="s">
        <v>313</v>
      </c>
      <c r="J20" s="12" t="s">
        <v>879</v>
      </c>
      <c r="K20" s="100" t="s">
        <v>433</v>
      </c>
      <c r="L20" s="38" t="s">
        <v>701</v>
      </c>
      <c r="M20" s="37" t="s">
        <v>678</v>
      </c>
      <c r="N20" s="12"/>
      <c r="O20" s="38" t="str">
        <f t="shared" si="0"/>
        <v>ISLA</v>
      </c>
    </row>
    <row r="21" spans="1:15" x14ac:dyDescent="0.4">
      <c r="A21" s="37">
        <v>20</v>
      </c>
      <c r="B21" s="37" t="s">
        <v>1316</v>
      </c>
      <c r="C21" s="37" t="s">
        <v>2</v>
      </c>
      <c r="D21" s="37" t="s">
        <v>701</v>
      </c>
      <c r="E21" s="12" t="s">
        <v>581</v>
      </c>
      <c r="F21" s="83">
        <v>43479.163194444445</v>
      </c>
      <c r="G21" s="83">
        <v>43479.199999999997</v>
      </c>
      <c r="H21" s="84">
        <v>53</v>
      </c>
      <c r="I21" s="12" t="s">
        <v>313</v>
      </c>
      <c r="J21" s="12" t="s">
        <v>879</v>
      </c>
      <c r="K21" s="100" t="s">
        <v>1326</v>
      </c>
      <c r="L21" s="38" t="s">
        <v>701</v>
      </c>
      <c r="M21" s="37" t="s">
        <v>678</v>
      </c>
      <c r="N21" s="12"/>
      <c r="O21" s="38" t="str">
        <f t="shared" si="0"/>
        <v>ISLA</v>
      </c>
    </row>
    <row r="22" spans="1:15" x14ac:dyDescent="0.4">
      <c r="A22" s="37">
        <v>21</v>
      </c>
      <c r="B22" s="37" t="s">
        <v>1317</v>
      </c>
      <c r="C22" s="37" t="s">
        <v>2</v>
      </c>
      <c r="D22" s="37" t="s">
        <v>701</v>
      </c>
      <c r="E22" s="12" t="s">
        <v>581</v>
      </c>
      <c r="F22" s="83">
        <v>43480.197916666664</v>
      </c>
      <c r="G22" s="83">
        <v>43480.230555555558</v>
      </c>
      <c r="H22" s="84">
        <v>47</v>
      </c>
      <c r="I22" s="12" t="s">
        <v>313</v>
      </c>
      <c r="J22" s="12" t="s">
        <v>879</v>
      </c>
      <c r="K22" s="100" t="s">
        <v>1326</v>
      </c>
      <c r="L22" s="38" t="s">
        <v>701</v>
      </c>
      <c r="M22" s="37" t="s">
        <v>678</v>
      </c>
      <c r="N22" s="12"/>
      <c r="O22" s="38" t="str">
        <f t="shared" si="0"/>
        <v>ISLA</v>
      </c>
    </row>
    <row r="23" spans="1:15" x14ac:dyDescent="0.4">
      <c r="A23" s="37">
        <v>22</v>
      </c>
      <c r="B23" s="37" t="s">
        <v>1318</v>
      </c>
      <c r="C23" s="37" t="s">
        <v>2</v>
      </c>
      <c r="D23" s="38" t="s">
        <v>702</v>
      </c>
      <c r="E23" s="12" t="s">
        <v>150</v>
      </c>
      <c r="F23" s="83">
        <v>43480.649305555555</v>
      </c>
      <c r="G23" s="83">
        <v>43480.700694444444</v>
      </c>
      <c r="H23" s="84">
        <v>74</v>
      </c>
      <c r="I23" s="12" t="s">
        <v>1327</v>
      </c>
      <c r="J23" s="12" t="s">
        <v>1328</v>
      </c>
      <c r="K23" s="100" t="s">
        <v>1329</v>
      </c>
      <c r="L23" s="38" t="s">
        <v>713</v>
      </c>
      <c r="M23" s="37" t="s">
        <v>678</v>
      </c>
      <c r="N23" s="12"/>
      <c r="O23" s="38" t="str">
        <f t="shared" si="0"/>
        <v>ISLA</v>
      </c>
    </row>
    <row r="24" spans="1:15" x14ac:dyDescent="0.4">
      <c r="A24" s="37">
        <v>23</v>
      </c>
      <c r="B24" s="37" t="s">
        <v>1319</v>
      </c>
      <c r="C24" s="37" t="s">
        <v>2</v>
      </c>
      <c r="D24" s="37" t="s">
        <v>701</v>
      </c>
      <c r="E24" s="12" t="s">
        <v>581</v>
      </c>
      <c r="F24" s="83">
        <v>43481.226388888892</v>
      </c>
      <c r="G24" s="83">
        <v>43481.260416666664</v>
      </c>
      <c r="H24" s="84">
        <v>49</v>
      </c>
      <c r="I24" s="12" t="s">
        <v>313</v>
      </c>
      <c r="J24" s="12" t="s">
        <v>879</v>
      </c>
      <c r="K24" s="100" t="s">
        <v>1326</v>
      </c>
      <c r="L24" s="38" t="s">
        <v>701</v>
      </c>
      <c r="M24" s="37" t="s">
        <v>678</v>
      </c>
      <c r="N24" s="12"/>
      <c r="O24" s="38" t="str">
        <f t="shared" si="0"/>
        <v>ISLA</v>
      </c>
    </row>
    <row r="25" spans="1:15" x14ac:dyDescent="0.4">
      <c r="A25" s="37">
        <v>24</v>
      </c>
      <c r="B25" s="37" t="s">
        <v>1320</v>
      </c>
      <c r="C25" s="37" t="s">
        <v>2</v>
      </c>
      <c r="D25" s="38" t="s">
        <v>702</v>
      </c>
      <c r="E25" s="12" t="s">
        <v>1325</v>
      </c>
      <c r="F25" s="83">
        <v>43481.701388888891</v>
      </c>
      <c r="G25" s="83">
        <v>43481.842361111114</v>
      </c>
      <c r="H25" s="84">
        <v>203</v>
      </c>
      <c r="I25" s="12" t="s">
        <v>1330</v>
      </c>
      <c r="J25" s="12" t="s">
        <v>1331</v>
      </c>
      <c r="K25" s="100" t="s">
        <v>59</v>
      </c>
      <c r="L25" s="38" t="s">
        <v>1332</v>
      </c>
      <c r="M25" s="37" t="s">
        <v>678</v>
      </c>
      <c r="N25" s="12"/>
      <c r="O25" s="38" t="str">
        <f t="shared" si="0"/>
        <v>OSLA</v>
      </c>
    </row>
    <row r="26" spans="1:15" x14ac:dyDescent="0.4">
      <c r="A26" s="37">
        <v>25</v>
      </c>
      <c r="B26" s="37" t="s">
        <v>1321</v>
      </c>
      <c r="C26" s="37" t="s">
        <v>2</v>
      </c>
      <c r="D26" s="37" t="s">
        <v>701</v>
      </c>
      <c r="E26" s="12" t="s">
        <v>581</v>
      </c>
      <c r="F26" s="83">
        <v>43482.263888888891</v>
      </c>
      <c r="G26" s="83">
        <v>43482.291666666664</v>
      </c>
      <c r="H26" s="84">
        <v>39.999999994179234</v>
      </c>
      <c r="I26" s="12" t="s">
        <v>313</v>
      </c>
      <c r="J26" s="12" t="s">
        <v>879</v>
      </c>
      <c r="K26" s="100" t="s">
        <v>1326</v>
      </c>
      <c r="L26" s="38" t="s">
        <v>701</v>
      </c>
      <c r="M26" s="37" t="s">
        <v>678</v>
      </c>
      <c r="N26" s="12"/>
      <c r="O26" s="38" t="str">
        <f t="shared" si="0"/>
        <v>ISLA</v>
      </c>
    </row>
    <row r="27" spans="1:15" x14ac:dyDescent="0.4">
      <c r="A27" s="37">
        <v>26</v>
      </c>
      <c r="B27" s="37" t="s">
        <v>1322</v>
      </c>
      <c r="C27" s="37" t="s">
        <v>2</v>
      </c>
      <c r="D27" s="37" t="s">
        <v>701</v>
      </c>
      <c r="E27" s="12" t="s">
        <v>581</v>
      </c>
      <c r="F27" s="83">
        <v>43483.295138888891</v>
      </c>
      <c r="G27" s="83">
        <v>43483.319444444445</v>
      </c>
      <c r="H27" s="84">
        <v>34.999999998835847</v>
      </c>
      <c r="I27" s="12" t="s">
        <v>313</v>
      </c>
      <c r="J27" s="12" t="s">
        <v>879</v>
      </c>
      <c r="K27" s="100" t="s">
        <v>1326</v>
      </c>
      <c r="L27" s="38" t="s">
        <v>701</v>
      </c>
      <c r="M27" s="37" t="s">
        <v>678</v>
      </c>
      <c r="N27" s="12"/>
      <c r="O27" s="38" t="str">
        <f t="shared" si="0"/>
        <v>ISLA</v>
      </c>
    </row>
    <row r="28" spans="1:15" x14ac:dyDescent="0.4">
      <c r="A28" s="37">
        <v>27</v>
      </c>
      <c r="B28" s="37" t="s">
        <v>1323</v>
      </c>
      <c r="C28" s="37" t="s">
        <v>2</v>
      </c>
      <c r="D28" s="37" t="s">
        <v>701</v>
      </c>
      <c r="E28" s="12" t="s">
        <v>581</v>
      </c>
      <c r="F28" s="83">
        <v>43484.317361111112</v>
      </c>
      <c r="G28" s="83">
        <v>43484.354166666664</v>
      </c>
      <c r="H28" s="84">
        <v>52.999999994644895</v>
      </c>
      <c r="I28" s="12" t="s">
        <v>313</v>
      </c>
      <c r="J28" s="12" t="s">
        <v>879</v>
      </c>
      <c r="K28" s="100" t="s">
        <v>1326</v>
      </c>
      <c r="L28" s="38" t="s">
        <v>701</v>
      </c>
      <c r="M28" s="37" t="s">
        <v>678</v>
      </c>
      <c r="N28" s="12"/>
      <c r="O28" s="38" t="str">
        <f t="shared" si="0"/>
        <v>ISLA</v>
      </c>
    </row>
    <row r="29" spans="1:15" x14ac:dyDescent="0.4">
      <c r="A29" s="37">
        <v>28</v>
      </c>
      <c r="B29" s="37" t="s">
        <v>1324</v>
      </c>
      <c r="C29" s="37" t="s">
        <v>2</v>
      </c>
      <c r="D29" s="37" t="s">
        <v>701</v>
      </c>
      <c r="E29" s="12" t="s">
        <v>581</v>
      </c>
      <c r="F29" s="83">
        <v>43485.352777777778</v>
      </c>
      <c r="G29" s="83">
        <v>43485.381944444445</v>
      </c>
      <c r="H29" s="84">
        <v>42.000000000698492</v>
      </c>
      <c r="I29" s="12" t="s">
        <v>313</v>
      </c>
      <c r="J29" s="12" t="s">
        <v>879</v>
      </c>
      <c r="K29" s="100" t="s">
        <v>1326</v>
      </c>
      <c r="L29" s="38" t="s">
        <v>701</v>
      </c>
      <c r="M29" s="37" t="s">
        <v>678</v>
      </c>
      <c r="N29" s="12"/>
      <c r="O29" s="38" t="str">
        <f t="shared" si="0"/>
        <v>ISLA</v>
      </c>
    </row>
    <row r="30" spans="1:15" x14ac:dyDescent="0.4">
      <c r="A30" s="37">
        <v>29</v>
      </c>
      <c r="B30" s="37" t="s">
        <v>1334</v>
      </c>
      <c r="C30" s="37" t="s">
        <v>2</v>
      </c>
      <c r="D30" s="37" t="s">
        <v>701</v>
      </c>
      <c r="E30" s="100" t="s">
        <v>581</v>
      </c>
      <c r="F30" s="83">
        <v>43486.379861111112</v>
      </c>
      <c r="G30" s="121">
        <v>43486.413194444445</v>
      </c>
      <c r="H30" s="108">
        <v>48</v>
      </c>
      <c r="I30" s="109" t="s">
        <v>313</v>
      </c>
      <c r="J30" s="100" t="s">
        <v>879</v>
      </c>
      <c r="K30" s="100" t="s">
        <v>1326</v>
      </c>
      <c r="L30" s="38" t="s">
        <v>701</v>
      </c>
      <c r="M30" s="37" t="s">
        <v>678</v>
      </c>
      <c r="N30" s="12"/>
      <c r="O30" s="38" t="str">
        <f t="shared" si="0"/>
        <v>ISLA</v>
      </c>
    </row>
    <row r="31" spans="1:15" ht="30.9" x14ac:dyDescent="0.4">
      <c r="A31" s="37">
        <v>30</v>
      </c>
      <c r="B31" s="37" t="s">
        <v>1335</v>
      </c>
      <c r="C31" s="37" t="s">
        <v>2</v>
      </c>
      <c r="D31" s="38" t="s">
        <v>702</v>
      </c>
      <c r="E31" s="110" t="s">
        <v>766</v>
      </c>
      <c r="F31" s="83">
        <v>43486.183333333334</v>
      </c>
      <c r="G31" s="83">
        <v>43486.637499999997</v>
      </c>
      <c r="H31" s="108">
        <v>654</v>
      </c>
      <c r="I31" s="109" t="s">
        <v>1336</v>
      </c>
      <c r="J31" s="109" t="s">
        <v>1354</v>
      </c>
      <c r="K31" s="100" t="s">
        <v>1355</v>
      </c>
      <c r="L31" s="38" t="s">
        <v>701</v>
      </c>
      <c r="M31" s="37" t="s">
        <v>678</v>
      </c>
      <c r="N31" s="12"/>
      <c r="O31" s="38" t="str">
        <f t="shared" si="0"/>
        <v>OSLA</v>
      </c>
    </row>
    <row r="32" spans="1:15" ht="20.6" x14ac:dyDescent="0.4">
      <c r="A32" s="37">
        <v>31</v>
      </c>
      <c r="B32" s="37" t="s">
        <v>1337</v>
      </c>
      <c r="C32" s="37" t="s">
        <v>2</v>
      </c>
      <c r="D32" s="37" t="s">
        <v>707</v>
      </c>
      <c r="E32" s="100" t="s">
        <v>147</v>
      </c>
      <c r="F32" s="83">
        <v>43486.754861111112</v>
      </c>
      <c r="G32" s="83">
        <v>43486.946527777778</v>
      </c>
      <c r="H32" s="108">
        <v>276</v>
      </c>
      <c r="I32" s="109" t="s">
        <v>1338</v>
      </c>
      <c r="J32" s="109" t="s">
        <v>1339</v>
      </c>
      <c r="K32" s="100" t="s">
        <v>1340</v>
      </c>
      <c r="L32" s="38" t="s">
        <v>707</v>
      </c>
      <c r="M32" s="37" t="s">
        <v>678</v>
      </c>
      <c r="N32" s="12"/>
      <c r="O32" s="38" t="str">
        <f t="shared" si="0"/>
        <v>OSLA</v>
      </c>
    </row>
    <row r="33" spans="1:15" x14ac:dyDescent="0.4">
      <c r="A33" s="37">
        <v>32</v>
      </c>
      <c r="B33" s="37" t="s">
        <v>1341</v>
      </c>
      <c r="C33" s="37" t="s">
        <v>2</v>
      </c>
      <c r="D33" s="37" t="s">
        <v>701</v>
      </c>
      <c r="E33" s="100" t="s">
        <v>581</v>
      </c>
      <c r="F33" s="83">
        <v>43487.416666666664</v>
      </c>
      <c r="G33" s="83">
        <v>43487.449305555558</v>
      </c>
      <c r="H33" s="108">
        <v>47</v>
      </c>
      <c r="I33" s="109" t="s">
        <v>313</v>
      </c>
      <c r="J33" s="100" t="s">
        <v>879</v>
      </c>
      <c r="K33" s="100" t="s">
        <v>1326</v>
      </c>
      <c r="L33" s="38" t="s">
        <v>701</v>
      </c>
      <c r="M33" s="37" t="s">
        <v>678</v>
      </c>
      <c r="N33" s="12"/>
      <c r="O33" s="38" t="str">
        <f t="shared" si="0"/>
        <v>ISLA</v>
      </c>
    </row>
    <row r="34" spans="1:15" ht="20.6" x14ac:dyDescent="0.4">
      <c r="A34" s="37">
        <v>33</v>
      </c>
      <c r="B34" s="37" t="s">
        <v>1342</v>
      </c>
      <c r="C34" s="37" t="s">
        <v>2</v>
      </c>
      <c r="D34" s="37" t="s">
        <v>701</v>
      </c>
      <c r="E34" s="110" t="s">
        <v>1343</v>
      </c>
      <c r="F34" s="83">
        <v>43488.306944444441</v>
      </c>
      <c r="G34" s="83">
        <v>43488.515972222223</v>
      </c>
      <c r="H34" s="108">
        <v>301</v>
      </c>
      <c r="I34" s="109" t="s">
        <v>1344</v>
      </c>
      <c r="J34" s="109" t="s">
        <v>1356</v>
      </c>
      <c r="K34" s="100" t="s">
        <v>1357</v>
      </c>
      <c r="L34" s="38" t="s">
        <v>701</v>
      </c>
      <c r="M34" s="37" t="s">
        <v>678</v>
      </c>
      <c r="N34" s="48"/>
      <c r="O34" s="38" t="str">
        <f t="shared" si="0"/>
        <v>OSLA</v>
      </c>
    </row>
    <row r="35" spans="1:15" x14ac:dyDescent="0.4">
      <c r="A35" s="37">
        <v>34</v>
      </c>
      <c r="B35" s="37" t="s">
        <v>1345</v>
      </c>
      <c r="C35" s="37" t="s">
        <v>2</v>
      </c>
      <c r="D35" s="37" t="s">
        <v>701</v>
      </c>
      <c r="E35" s="100" t="s">
        <v>1358</v>
      </c>
      <c r="F35" s="83">
        <v>43488.706944444442</v>
      </c>
      <c r="G35" s="83">
        <v>43488.732638888891</v>
      </c>
      <c r="H35" s="108">
        <v>37</v>
      </c>
      <c r="I35" s="109" t="s">
        <v>313</v>
      </c>
      <c r="J35" s="100" t="s">
        <v>879</v>
      </c>
      <c r="K35" s="100" t="s">
        <v>1326</v>
      </c>
      <c r="L35" s="38" t="s">
        <v>701</v>
      </c>
      <c r="M35" s="37" t="s">
        <v>678</v>
      </c>
      <c r="N35" s="48"/>
      <c r="O35" s="38" t="str">
        <f t="shared" si="0"/>
        <v>ISLA</v>
      </c>
    </row>
    <row r="36" spans="1:15" x14ac:dyDescent="0.4">
      <c r="A36" s="37">
        <v>35</v>
      </c>
      <c r="B36" s="37" t="s">
        <v>1346</v>
      </c>
      <c r="C36" s="37" t="s">
        <v>2</v>
      </c>
      <c r="D36" s="37" t="s">
        <v>701</v>
      </c>
      <c r="E36" s="100" t="s">
        <v>581</v>
      </c>
      <c r="F36" s="83">
        <v>43489.473611111112</v>
      </c>
      <c r="G36" s="83">
        <v>43489.511805555558</v>
      </c>
      <c r="H36" s="108">
        <v>55</v>
      </c>
      <c r="I36" s="109" t="s">
        <v>313</v>
      </c>
      <c r="J36" s="100" t="s">
        <v>879</v>
      </c>
      <c r="K36" s="100" t="s">
        <v>1326</v>
      </c>
      <c r="L36" s="38" t="s">
        <v>701</v>
      </c>
      <c r="M36" s="37" t="s">
        <v>678</v>
      </c>
      <c r="N36" s="48"/>
      <c r="O36" s="38" t="str">
        <f t="shared" si="0"/>
        <v>ISLA</v>
      </c>
    </row>
    <row r="37" spans="1:15" ht="20.6" x14ac:dyDescent="0.4">
      <c r="A37" s="37">
        <v>36</v>
      </c>
      <c r="B37" s="37" t="s">
        <v>1347</v>
      </c>
      <c r="C37" s="37" t="s">
        <v>2</v>
      </c>
      <c r="D37" s="37" t="s">
        <v>701</v>
      </c>
      <c r="E37" s="100" t="s">
        <v>1359</v>
      </c>
      <c r="F37" s="83">
        <v>43489.875</v>
      </c>
      <c r="G37" s="83">
        <v>43489.877083333333</v>
      </c>
      <c r="H37" s="111">
        <v>2.9999999993015001</v>
      </c>
      <c r="I37" s="109" t="s">
        <v>1348</v>
      </c>
      <c r="J37" s="109" t="s">
        <v>1349</v>
      </c>
      <c r="K37" s="109" t="s">
        <v>1350</v>
      </c>
      <c r="L37" s="38" t="s">
        <v>701</v>
      </c>
      <c r="M37" s="37" t="s">
        <v>678</v>
      </c>
      <c r="N37" s="48"/>
      <c r="O37" s="38" t="str">
        <f t="shared" si="0"/>
        <v>ISLA</v>
      </c>
    </row>
    <row r="38" spans="1:15" x14ac:dyDescent="0.4">
      <c r="A38" s="37">
        <v>37</v>
      </c>
      <c r="B38" s="37" t="s">
        <v>1351</v>
      </c>
      <c r="C38" s="37" t="s">
        <v>2</v>
      </c>
      <c r="D38" s="37" t="s">
        <v>701</v>
      </c>
      <c r="E38" s="100" t="s">
        <v>581</v>
      </c>
      <c r="F38" s="83">
        <v>43490.513888888891</v>
      </c>
      <c r="G38" s="83">
        <v>43490.543055555558</v>
      </c>
      <c r="H38" s="108">
        <v>42.000000000698492</v>
      </c>
      <c r="I38" s="109" t="s">
        <v>313</v>
      </c>
      <c r="J38" s="100" t="s">
        <v>879</v>
      </c>
      <c r="K38" s="100" t="s">
        <v>1326</v>
      </c>
      <c r="L38" s="38" t="s">
        <v>701</v>
      </c>
      <c r="M38" s="37" t="s">
        <v>678</v>
      </c>
      <c r="N38" s="48"/>
      <c r="O38" s="38" t="str">
        <f t="shared" si="0"/>
        <v>ISLA</v>
      </c>
    </row>
    <row r="39" spans="1:15" x14ac:dyDescent="0.4">
      <c r="A39" s="37">
        <v>38</v>
      </c>
      <c r="B39" s="37" t="s">
        <v>1352</v>
      </c>
      <c r="C39" s="37" t="s">
        <v>2</v>
      </c>
      <c r="D39" s="37" t="s">
        <v>701</v>
      </c>
      <c r="E39" s="100" t="s">
        <v>581</v>
      </c>
      <c r="F39" s="83">
        <v>43492.537499999999</v>
      </c>
      <c r="G39" s="83">
        <v>43492.575694444444</v>
      </c>
      <c r="H39" s="112">
        <f>(G39-F39)*1440</f>
        <v>55.000000001164153</v>
      </c>
      <c r="I39" s="109" t="s">
        <v>313</v>
      </c>
      <c r="J39" s="100" t="s">
        <v>879</v>
      </c>
      <c r="K39" s="100" t="s">
        <v>1326</v>
      </c>
      <c r="L39" s="38" t="s">
        <v>701</v>
      </c>
      <c r="M39" s="37" t="s">
        <v>678</v>
      </c>
      <c r="N39" s="48"/>
      <c r="O39" s="38" t="str">
        <f t="shared" si="0"/>
        <v>ISLA</v>
      </c>
    </row>
    <row r="40" spans="1:15" x14ac:dyDescent="0.4">
      <c r="A40" s="37">
        <v>39</v>
      </c>
      <c r="B40" s="37" t="s">
        <v>1360</v>
      </c>
      <c r="C40" s="37" t="s">
        <v>2</v>
      </c>
      <c r="D40" s="37" t="s">
        <v>701</v>
      </c>
      <c r="E40" s="12" t="s">
        <v>581</v>
      </c>
      <c r="F40" s="83">
        <v>43493.010416666664</v>
      </c>
      <c r="G40" s="83">
        <v>43493.399305555555</v>
      </c>
      <c r="H40" s="84">
        <v>560</v>
      </c>
      <c r="I40" s="12" t="s">
        <v>313</v>
      </c>
      <c r="J40" s="12" t="s">
        <v>879</v>
      </c>
      <c r="K40" s="100" t="s">
        <v>1326</v>
      </c>
      <c r="L40" s="38" t="s">
        <v>701</v>
      </c>
      <c r="M40" s="37" t="s">
        <v>678</v>
      </c>
      <c r="N40" s="12"/>
      <c r="O40" s="38" t="str">
        <f t="shared" si="0"/>
        <v>OSLA</v>
      </c>
    </row>
    <row r="41" spans="1:15" x14ac:dyDescent="0.4">
      <c r="A41" s="37">
        <v>40</v>
      </c>
      <c r="B41" s="37" t="s">
        <v>1361</v>
      </c>
      <c r="C41" s="37" t="s">
        <v>2</v>
      </c>
      <c r="D41" s="37" t="s">
        <v>701</v>
      </c>
      <c r="E41" s="12" t="s">
        <v>581</v>
      </c>
      <c r="F41" s="83">
        <v>43493.574999999997</v>
      </c>
      <c r="G41" s="83">
        <v>43493.616666666669</v>
      </c>
      <c r="H41" s="84">
        <v>60</v>
      </c>
      <c r="I41" s="12" t="s">
        <v>313</v>
      </c>
      <c r="J41" s="12" t="s">
        <v>879</v>
      </c>
      <c r="K41" s="100" t="s">
        <v>1326</v>
      </c>
      <c r="L41" s="38" t="s">
        <v>701</v>
      </c>
      <c r="M41" s="37" t="s">
        <v>678</v>
      </c>
      <c r="N41" s="12"/>
      <c r="O41" s="38" t="str">
        <f t="shared" si="0"/>
        <v>ISLA</v>
      </c>
    </row>
    <row r="42" spans="1:15" x14ac:dyDescent="0.4">
      <c r="A42" s="37">
        <v>41</v>
      </c>
      <c r="B42" s="37" t="s">
        <v>1362</v>
      </c>
      <c r="C42" s="37" t="s">
        <v>2</v>
      </c>
      <c r="D42" s="37" t="s">
        <v>701</v>
      </c>
      <c r="E42" s="12" t="s">
        <v>581</v>
      </c>
      <c r="F42" s="83">
        <v>43494.614583333336</v>
      </c>
      <c r="G42" s="83">
        <v>43494.647916666669</v>
      </c>
      <c r="H42" s="84">
        <v>48</v>
      </c>
      <c r="I42" s="12" t="s">
        <v>313</v>
      </c>
      <c r="J42" s="12" t="s">
        <v>879</v>
      </c>
      <c r="K42" s="100" t="s">
        <v>1326</v>
      </c>
      <c r="L42" s="38" t="s">
        <v>701</v>
      </c>
      <c r="M42" s="37" t="s">
        <v>678</v>
      </c>
      <c r="N42" s="12"/>
      <c r="O42" s="38" t="str">
        <f t="shared" si="0"/>
        <v>ISLA</v>
      </c>
    </row>
    <row r="43" spans="1:15" x14ac:dyDescent="0.4">
      <c r="A43" s="37">
        <v>42</v>
      </c>
      <c r="B43" s="37" t="s">
        <v>1363</v>
      </c>
      <c r="C43" s="37" t="s">
        <v>2</v>
      </c>
      <c r="D43" s="37" t="s">
        <v>701</v>
      </c>
      <c r="E43" s="12" t="s">
        <v>581</v>
      </c>
      <c r="F43" s="83">
        <v>43495.646527777775</v>
      </c>
      <c r="G43" s="83">
        <v>43495.678472222222</v>
      </c>
      <c r="H43" s="84">
        <v>46</v>
      </c>
      <c r="I43" s="12" t="s">
        <v>313</v>
      </c>
      <c r="J43" s="12" t="s">
        <v>879</v>
      </c>
      <c r="K43" s="100" t="s">
        <v>1326</v>
      </c>
      <c r="L43" s="38" t="s">
        <v>701</v>
      </c>
      <c r="M43" s="37" t="s">
        <v>678</v>
      </c>
      <c r="N43" s="12"/>
      <c r="O43" s="38" t="str">
        <f t="shared" si="0"/>
        <v>ISLA</v>
      </c>
    </row>
    <row r="44" spans="1:15" x14ac:dyDescent="0.4">
      <c r="A44" s="37">
        <v>43</v>
      </c>
      <c r="B44" s="37" t="s">
        <v>1364</v>
      </c>
      <c r="C44" s="37" t="s">
        <v>2</v>
      </c>
      <c r="D44" s="37" t="s">
        <v>701</v>
      </c>
      <c r="E44" s="12" t="s">
        <v>581</v>
      </c>
      <c r="F44" s="83">
        <v>43496.681250000001</v>
      </c>
      <c r="G44" s="83">
        <v>43496.711805555555</v>
      </c>
      <c r="H44" s="84">
        <v>44</v>
      </c>
      <c r="I44" s="12" t="s">
        <v>313</v>
      </c>
      <c r="J44" s="12" t="s">
        <v>879</v>
      </c>
      <c r="K44" s="100" t="s">
        <v>1326</v>
      </c>
      <c r="L44" s="38" t="s">
        <v>701</v>
      </c>
      <c r="M44" s="37" t="s">
        <v>678</v>
      </c>
      <c r="N44" s="12"/>
      <c r="O44" s="38" t="str">
        <f t="shared" si="0"/>
        <v>ISLA</v>
      </c>
    </row>
    <row r="51" spans="2:12" s="73" customFormat="1" x14ac:dyDescent="0.4">
      <c r="B51" s="73" t="s">
        <v>2</v>
      </c>
      <c r="C51" s="73" t="s">
        <v>776</v>
      </c>
      <c r="D51" s="73">
        <v>120</v>
      </c>
    </row>
    <row r="52" spans="2:12" s="73" customFormat="1" x14ac:dyDescent="0.4">
      <c r="B52" s="73" t="s">
        <v>14</v>
      </c>
      <c r="C52" s="73" t="s">
        <v>777</v>
      </c>
      <c r="D52" s="73">
        <v>240</v>
      </c>
    </row>
    <row r="53" spans="2:12" s="73" customFormat="1" x14ac:dyDescent="0.4">
      <c r="B53" s="73" t="s">
        <v>158</v>
      </c>
      <c r="C53" s="73" t="s">
        <v>778</v>
      </c>
      <c r="D53" s="73">
        <f>1440*2</f>
        <v>2880</v>
      </c>
    </row>
    <row r="54" spans="2:12" s="73" customFormat="1" x14ac:dyDescent="0.4">
      <c r="B54" s="73" t="s">
        <v>757</v>
      </c>
      <c r="C54" s="73" t="s">
        <v>779</v>
      </c>
      <c r="D54" s="73">
        <f>3*1440</f>
        <v>4320</v>
      </c>
      <c r="E54" s="122"/>
      <c r="F54" s="123"/>
      <c r="G54" s="123"/>
      <c r="H54" s="124"/>
      <c r="I54" s="125"/>
      <c r="J54" s="122"/>
      <c r="K54" s="122"/>
      <c r="L54" s="126"/>
    </row>
    <row r="55" spans="2:12" s="73" customFormat="1" x14ac:dyDescent="0.4">
      <c r="B55" s="126"/>
      <c r="C55" s="126"/>
      <c r="D55" s="126"/>
      <c r="E55" s="127"/>
      <c r="F55" s="123"/>
      <c r="G55" s="123"/>
      <c r="H55" s="124"/>
      <c r="I55" s="125"/>
      <c r="J55" s="125"/>
      <c r="K55" s="122"/>
      <c r="L55" s="126"/>
    </row>
    <row r="56" spans="2:12" x14ac:dyDescent="0.4">
      <c r="B56" s="113"/>
      <c r="C56" s="113"/>
      <c r="D56" s="113"/>
      <c r="E56" s="114"/>
      <c r="F56" s="115"/>
      <c r="G56" s="115"/>
      <c r="H56" s="116"/>
      <c r="I56" s="117"/>
      <c r="J56" s="117"/>
      <c r="K56" s="114"/>
      <c r="L56" s="113"/>
    </row>
    <row r="57" spans="2:12" x14ac:dyDescent="0.4">
      <c r="B57" s="113"/>
      <c r="C57" s="113"/>
      <c r="D57" s="113"/>
      <c r="E57" s="114"/>
      <c r="F57" s="115"/>
      <c r="G57" s="115"/>
      <c r="H57" s="116"/>
      <c r="I57" s="117"/>
      <c r="J57" s="114"/>
      <c r="K57" s="114"/>
      <c r="L57" s="113"/>
    </row>
    <row r="58" spans="2:12" x14ac:dyDescent="0.4">
      <c r="B58" s="113"/>
      <c r="C58" s="113"/>
      <c r="D58" s="113"/>
      <c r="E58" s="118"/>
      <c r="F58" s="115"/>
      <c r="G58" s="115"/>
      <c r="H58" s="116"/>
      <c r="I58" s="117"/>
      <c r="J58" s="117"/>
      <c r="K58" s="114"/>
      <c r="L58" s="113"/>
    </row>
    <row r="59" spans="2:12" x14ac:dyDescent="0.4">
      <c r="B59" s="113"/>
      <c r="C59" s="113"/>
      <c r="D59" s="113"/>
      <c r="E59" s="114"/>
      <c r="F59" s="115"/>
      <c r="G59" s="115"/>
      <c r="H59" s="116"/>
      <c r="I59" s="117"/>
      <c r="J59" s="114"/>
      <c r="K59" s="114"/>
      <c r="L59" s="113"/>
    </row>
    <row r="60" spans="2:12" x14ac:dyDescent="0.4">
      <c r="B60" s="113"/>
      <c r="C60" s="113"/>
      <c r="D60" s="113"/>
      <c r="E60" s="114"/>
      <c r="F60" s="115"/>
      <c r="G60" s="115"/>
      <c r="H60" s="116"/>
      <c r="I60" s="117"/>
      <c r="J60" s="114"/>
      <c r="K60" s="114"/>
      <c r="L60" s="113"/>
    </row>
    <row r="61" spans="2:12" x14ac:dyDescent="0.4">
      <c r="B61" s="113"/>
      <c r="C61" s="113"/>
      <c r="D61" s="113"/>
      <c r="E61" s="114"/>
      <c r="F61" s="115"/>
      <c r="G61" s="115"/>
      <c r="H61" s="119"/>
      <c r="I61" s="117"/>
      <c r="J61" s="117"/>
      <c r="K61" s="117"/>
      <c r="L61" s="113"/>
    </row>
    <row r="62" spans="2:12" x14ac:dyDescent="0.4">
      <c r="B62" s="113"/>
      <c r="C62" s="113"/>
      <c r="D62" s="113"/>
      <c r="E62" s="114"/>
      <c r="F62" s="115"/>
      <c r="G62" s="115"/>
      <c r="H62" s="116"/>
      <c r="I62" s="117"/>
      <c r="J62" s="114"/>
      <c r="K62" s="114"/>
      <c r="L62" s="113"/>
    </row>
    <row r="63" spans="2:12" x14ac:dyDescent="0.4">
      <c r="B63" s="113"/>
      <c r="C63" s="113"/>
      <c r="D63" s="113"/>
      <c r="E63" s="114"/>
      <c r="F63" s="115"/>
      <c r="G63" s="115"/>
      <c r="H63" s="120"/>
      <c r="I63" s="117"/>
      <c r="J63" s="114"/>
      <c r="K63" s="114"/>
      <c r="L63" s="113"/>
    </row>
  </sheetData>
  <autoFilter ref="A1:O44" xr:uid="{00000000-0009-0000-0000-000010000000}"/>
  <conditionalFormatting sqref="F2:H29">
    <cfRule type="cellIs" dxfId="69" priority="4" operator="equal">
      <formula>"NOK"</formula>
    </cfRule>
  </conditionalFormatting>
  <conditionalFormatting sqref="F40:H44">
    <cfRule type="cellIs" dxfId="68" priority="1" operator="equal">
      <formula>"NOK"</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9">
    <tabColor rgb="FF0070C0"/>
  </sheetPr>
  <dimension ref="A1:O54"/>
  <sheetViews>
    <sheetView workbookViewId="0">
      <selection activeCell="L45" sqref="L45"/>
    </sheetView>
  </sheetViews>
  <sheetFormatPr baseColWidth="10" defaultRowHeight="14.6" x14ac:dyDescent="0.4"/>
  <cols>
    <col min="1" max="1" width="6" customWidth="1"/>
    <col min="5" max="5" width="35.07421875" bestFit="1" customWidth="1"/>
    <col min="6" max="6" width="21.69140625" bestFit="1" customWidth="1"/>
    <col min="7" max="7" width="18.3046875" bestFit="1" customWidth="1"/>
    <col min="8" max="8" width="11.69140625" bestFit="1" customWidth="1"/>
    <col min="9" max="9" width="48.53515625" bestFit="1" customWidth="1"/>
    <col min="10" max="10" width="52.84375" bestFit="1" customWidth="1"/>
    <col min="11" max="11" width="36.07421875" bestFit="1" customWidth="1"/>
  </cols>
  <sheetData>
    <row r="1" spans="1:15" x14ac:dyDescent="0.4">
      <c r="A1" s="6" t="s">
        <v>0</v>
      </c>
      <c r="B1" s="6" t="s">
        <v>792</v>
      </c>
      <c r="C1" s="6" t="s">
        <v>793</v>
      </c>
      <c r="D1" s="7" t="s">
        <v>700</v>
      </c>
      <c r="E1" s="7" t="s">
        <v>897</v>
      </c>
      <c r="F1" s="6" t="s">
        <v>795</v>
      </c>
      <c r="G1" s="6" t="s">
        <v>796</v>
      </c>
      <c r="H1" s="6" t="s">
        <v>797</v>
      </c>
      <c r="I1" s="7" t="s">
        <v>898</v>
      </c>
      <c r="J1" s="6" t="s">
        <v>798</v>
      </c>
      <c r="K1" s="6" t="s">
        <v>799</v>
      </c>
      <c r="L1" s="7" t="s">
        <v>699</v>
      </c>
      <c r="M1" s="6" t="s">
        <v>684</v>
      </c>
      <c r="N1" s="7" t="s">
        <v>659</v>
      </c>
      <c r="O1" s="6" t="s">
        <v>888</v>
      </c>
    </row>
    <row r="2" spans="1:15" x14ac:dyDescent="0.4">
      <c r="A2" s="37">
        <v>1</v>
      </c>
      <c r="B2" s="37" t="s">
        <v>1365</v>
      </c>
      <c r="C2" s="37" t="s">
        <v>2</v>
      </c>
      <c r="D2" s="37" t="s">
        <v>701</v>
      </c>
      <c r="E2" s="12" t="s">
        <v>581</v>
      </c>
      <c r="F2" s="83">
        <v>43497.715277777781</v>
      </c>
      <c r="G2" s="83">
        <v>43497.750694444447</v>
      </c>
      <c r="H2" s="84">
        <v>50.999999998603016</v>
      </c>
      <c r="I2" s="12" t="s">
        <v>313</v>
      </c>
      <c r="J2" s="12" t="s">
        <v>879</v>
      </c>
      <c r="K2" s="100" t="s">
        <v>1326</v>
      </c>
      <c r="L2" s="38" t="s">
        <v>701</v>
      </c>
      <c r="M2" s="37" t="s">
        <v>678</v>
      </c>
      <c r="N2" s="12"/>
      <c r="O2" s="38" t="str">
        <f t="shared" ref="O2:O30" si="0">IF(AND(C2=$B$51,H2&lt;=$D$51),"ISLA",IF((AND(C2=$B$52,H2&lt;=$D$52)),"ISLA",IF((AND(C2=$B$53,H2&lt;=$D$53)),"ISLA","OSLA")))</f>
        <v>ISLA</v>
      </c>
    </row>
    <row r="3" spans="1:15" x14ac:dyDescent="0.4">
      <c r="A3" s="37">
        <v>2</v>
      </c>
      <c r="B3" s="37" t="s">
        <v>1366</v>
      </c>
      <c r="C3" s="37" t="s">
        <v>2</v>
      </c>
      <c r="D3" s="37" t="s">
        <v>701</v>
      </c>
      <c r="E3" s="12" t="s">
        <v>581</v>
      </c>
      <c r="F3" s="83">
        <v>43498.754166666666</v>
      </c>
      <c r="G3" s="83">
        <v>43498.785416666666</v>
      </c>
      <c r="H3" s="84">
        <v>45</v>
      </c>
      <c r="I3" s="12" t="s">
        <v>313</v>
      </c>
      <c r="J3" s="12" t="s">
        <v>879</v>
      </c>
      <c r="K3" s="100" t="s">
        <v>1326</v>
      </c>
      <c r="L3" s="38" t="s">
        <v>701</v>
      </c>
      <c r="M3" s="37" t="s">
        <v>678</v>
      </c>
      <c r="N3" s="12"/>
      <c r="O3" s="38" t="str">
        <f t="shared" si="0"/>
        <v>ISLA</v>
      </c>
    </row>
    <row r="4" spans="1:15" x14ac:dyDescent="0.4">
      <c r="A4" s="37">
        <v>3</v>
      </c>
      <c r="B4" s="37" t="s">
        <v>1368</v>
      </c>
      <c r="C4" s="37" t="s">
        <v>2</v>
      </c>
      <c r="D4" s="37" t="s">
        <v>701</v>
      </c>
      <c r="E4" s="12" t="s">
        <v>581</v>
      </c>
      <c r="F4" s="83">
        <v>43499.788888888892</v>
      </c>
      <c r="G4" s="83">
        <v>43499.822222222225</v>
      </c>
      <c r="H4" s="84">
        <v>48</v>
      </c>
      <c r="I4" s="12" t="s">
        <v>313</v>
      </c>
      <c r="J4" s="12" t="s">
        <v>879</v>
      </c>
      <c r="K4" s="100" t="s">
        <v>351</v>
      </c>
      <c r="L4" s="38" t="s">
        <v>701</v>
      </c>
      <c r="M4" s="37" t="s">
        <v>678</v>
      </c>
      <c r="N4" s="12"/>
      <c r="O4" s="38" t="str">
        <f t="shared" si="0"/>
        <v>ISLA</v>
      </c>
    </row>
    <row r="5" spans="1:15" x14ac:dyDescent="0.4">
      <c r="A5" s="37">
        <v>4</v>
      </c>
      <c r="B5" s="37" t="s">
        <v>1369</v>
      </c>
      <c r="C5" s="37" t="s">
        <v>2</v>
      </c>
      <c r="D5" s="37" t="s">
        <v>701</v>
      </c>
      <c r="E5" s="12" t="s">
        <v>581</v>
      </c>
      <c r="F5" s="83">
        <v>43500.820138888892</v>
      </c>
      <c r="G5" s="83">
        <v>43501.01458333333</v>
      </c>
      <c r="H5" s="84">
        <v>280</v>
      </c>
      <c r="I5" s="12" t="s">
        <v>313</v>
      </c>
      <c r="J5" s="12" t="s">
        <v>879</v>
      </c>
      <c r="K5" s="100" t="s">
        <v>351</v>
      </c>
      <c r="L5" s="38" t="s">
        <v>701</v>
      </c>
      <c r="M5" s="37" t="s">
        <v>678</v>
      </c>
      <c r="N5" s="12"/>
      <c r="O5" s="38" t="str">
        <f t="shared" si="0"/>
        <v>OSLA</v>
      </c>
    </row>
    <row r="6" spans="1:15" x14ac:dyDescent="0.4">
      <c r="A6" s="37">
        <v>5</v>
      </c>
      <c r="B6" s="37" t="s">
        <v>1370</v>
      </c>
      <c r="C6" s="37" t="s">
        <v>2</v>
      </c>
      <c r="D6" s="37" t="s">
        <v>1389</v>
      </c>
      <c r="E6" s="12" t="s">
        <v>81</v>
      </c>
      <c r="F6" s="83">
        <v>43500.922222222223</v>
      </c>
      <c r="G6" s="83">
        <v>43501.347222222219</v>
      </c>
      <c r="H6" s="84">
        <v>612</v>
      </c>
      <c r="I6" s="12" t="s">
        <v>1371</v>
      </c>
      <c r="J6" s="12" t="s">
        <v>1372</v>
      </c>
      <c r="K6" s="100" t="s">
        <v>588</v>
      </c>
      <c r="L6" s="38" t="s">
        <v>713</v>
      </c>
      <c r="M6" s="37" t="s">
        <v>678</v>
      </c>
      <c r="N6" s="12"/>
      <c r="O6" s="38" t="str">
        <f t="shared" si="0"/>
        <v>OSLA</v>
      </c>
    </row>
    <row r="7" spans="1:15" x14ac:dyDescent="0.4">
      <c r="A7" s="37">
        <v>6</v>
      </c>
      <c r="B7" s="37" t="s">
        <v>1373</v>
      </c>
      <c r="C7" s="37" t="s">
        <v>2</v>
      </c>
      <c r="D7" s="37" t="s">
        <v>701</v>
      </c>
      <c r="E7" s="12" t="s">
        <v>1374</v>
      </c>
      <c r="F7" s="83">
        <v>43501.25</v>
      </c>
      <c r="G7" s="83">
        <v>43501.373611111114</v>
      </c>
      <c r="H7" s="84">
        <v>178</v>
      </c>
      <c r="I7" s="12" t="s">
        <v>1375</v>
      </c>
      <c r="J7" s="12" t="s">
        <v>1376</v>
      </c>
      <c r="K7" s="100" t="s">
        <v>95</v>
      </c>
      <c r="L7" s="38" t="s">
        <v>701</v>
      </c>
      <c r="M7" s="37" t="s">
        <v>678</v>
      </c>
      <c r="N7" s="12"/>
      <c r="O7" s="38" t="str">
        <f t="shared" si="0"/>
        <v>OSLA</v>
      </c>
    </row>
    <row r="8" spans="1:15" x14ac:dyDescent="0.4">
      <c r="A8" s="37">
        <v>7</v>
      </c>
      <c r="B8" s="37" t="s">
        <v>1377</v>
      </c>
      <c r="C8" s="37" t="s">
        <v>2</v>
      </c>
      <c r="D8" s="37" t="s">
        <v>701</v>
      </c>
      <c r="E8" s="12" t="s">
        <v>581</v>
      </c>
      <c r="F8" s="83">
        <v>43501.847916666666</v>
      </c>
      <c r="G8" s="83">
        <v>43501.87777777778</v>
      </c>
      <c r="H8" s="84">
        <v>43</v>
      </c>
      <c r="I8" s="12" t="s">
        <v>313</v>
      </c>
      <c r="J8" s="12" t="s">
        <v>879</v>
      </c>
      <c r="K8" s="100" t="s">
        <v>351</v>
      </c>
      <c r="L8" s="38" t="s">
        <v>701</v>
      </c>
      <c r="M8" s="37" t="s">
        <v>678</v>
      </c>
      <c r="N8" s="12"/>
      <c r="O8" s="38" t="str">
        <f t="shared" si="0"/>
        <v>ISLA</v>
      </c>
    </row>
    <row r="9" spans="1:15" x14ac:dyDescent="0.4">
      <c r="A9" s="37">
        <v>8</v>
      </c>
      <c r="B9" s="37" t="s">
        <v>1378</v>
      </c>
      <c r="C9" s="37" t="s">
        <v>2</v>
      </c>
      <c r="D9" s="37" t="s">
        <v>701</v>
      </c>
      <c r="E9" s="12" t="s">
        <v>581</v>
      </c>
      <c r="F9" s="83">
        <v>43502.880555555559</v>
      </c>
      <c r="G9" s="83">
        <v>43502.906944444447</v>
      </c>
      <c r="H9" s="84">
        <v>38</v>
      </c>
      <c r="I9" s="12" t="s">
        <v>313</v>
      </c>
      <c r="J9" s="12" t="s">
        <v>879</v>
      </c>
      <c r="K9" s="100" t="s">
        <v>351</v>
      </c>
      <c r="L9" s="38" t="s">
        <v>701</v>
      </c>
      <c r="M9" s="37" t="s">
        <v>678</v>
      </c>
      <c r="N9" s="12"/>
      <c r="O9" s="38" t="str">
        <f t="shared" si="0"/>
        <v>ISLA</v>
      </c>
    </row>
    <row r="10" spans="1:15" x14ac:dyDescent="0.4">
      <c r="A10" s="37">
        <v>9</v>
      </c>
      <c r="B10" s="37" t="s">
        <v>1379</v>
      </c>
      <c r="C10" s="37" t="s">
        <v>2</v>
      </c>
      <c r="D10" s="37" t="s">
        <v>1389</v>
      </c>
      <c r="E10" s="12" t="s">
        <v>766</v>
      </c>
      <c r="F10" s="83">
        <v>43503.291666666664</v>
      </c>
      <c r="G10" s="83">
        <v>43504.21875</v>
      </c>
      <c r="H10" s="84">
        <v>1335</v>
      </c>
      <c r="I10" s="12" t="s">
        <v>1380</v>
      </c>
      <c r="J10" s="12" t="s">
        <v>1381</v>
      </c>
      <c r="K10" s="100" t="s">
        <v>1382</v>
      </c>
      <c r="L10" s="38" t="s">
        <v>704</v>
      </c>
      <c r="M10" s="37" t="s">
        <v>678</v>
      </c>
      <c r="N10" s="12"/>
      <c r="O10" s="38" t="str">
        <f t="shared" si="0"/>
        <v>OSLA</v>
      </c>
    </row>
    <row r="11" spans="1:15" x14ac:dyDescent="0.4">
      <c r="A11" s="37">
        <v>10</v>
      </c>
      <c r="B11" s="37" t="s">
        <v>1383</v>
      </c>
      <c r="C11" s="37" t="s">
        <v>2</v>
      </c>
      <c r="D11" s="37" t="s">
        <v>701</v>
      </c>
      <c r="E11" s="12" t="s">
        <v>581</v>
      </c>
      <c r="F11" s="83">
        <v>43503.906944444447</v>
      </c>
      <c r="G11" s="83">
        <v>43503.946527777778</v>
      </c>
      <c r="H11" s="84">
        <v>57</v>
      </c>
      <c r="I11" s="12" t="s">
        <v>313</v>
      </c>
      <c r="J11" s="12" t="s">
        <v>879</v>
      </c>
      <c r="K11" s="100" t="s">
        <v>351</v>
      </c>
      <c r="L11" s="38" t="s">
        <v>701</v>
      </c>
      <c r="M11" s="37" t="s">
        <v>678</v>
      </c>
      <c r="N11" s="12"/>
      <c r="O11" s="38" t="str">
        <f t="shared" si="0"/>
        <v>ISLA</v>
      </c>
    </row>
    <row r="12" spans="1:15" x14ac:dyDescent="0.4">
      <c r="A12" s="37">
        <v>11</v>
      </c>
      <c r="B12" s="37" t="s">
        <v>1384</v>
      </c>
      <c r="C12" s="37" t="s">
        <v>2</v>
      </c>
      <c r="D12" s="37" t="s">
        <v>1389</v>
      </c>
      <c r="E12" s="12" t="s">
        <v>27</v>
      </c>
      <c r="F12" s="83">
        <v>43504.074999999997</v>
      </c>
      <c r="G12" s="83">
        <v>43504.348611111112</v>
      </c>
      <c r="H12" s="84">
        <v>394.0000000060536</v>
      </c>
      <c r="I12" s="12" t="s">
        <v>1268</v>
      </c>
      <c r="J12" s="12" t="s">
        <v>1385</v>
      </c>
      <c r="K12" s="100" t="s">
        <v>1386</v>
      </c>
      <c r="L12" s="38" t="s">
        <v>719</v>
      </c>
      <c r="M12" s="37" t="s">
        <v>678</v>
      </c>
      <c r="N12" s="12"/>
      <c r="O12" s="38" t="str">
        <f t="shared" si="0"/>
        <v>OSLA</v>
      </c>
    </row>
    <row r="13" spans="1:15" x14ac:dyDescent="0.4">
      <c r="A13" s="37">
        <v>12</v>
      </c>
      <c r="B13" s="37" t="s">
        <v>1387</v>
      </c>
      <c r="C13" s="37" t="s">
        <v>2</v>
      </c>
      <c r="D13" s="37" t="s">
        <v>701</v>
      </c>
      <c r="E13" s="12" t="s">
        <v>581</v>
      </c>
      <c r="F13" s="83">
        <v>43504.941666666666</v>
      </c>
      <c r="G13" s="83">
        <v>43504.968055555553</v>
      </c>
      <c r="H13" s="84">
        <v>37.999999998137355</v>
      </c>
      <c r="I13" s="12" t="s">
        <v>313</v>
      </c>
      <c r="J13" s="12" t="s">
        <v>879</v>
      </c>
      <c r="K13" s="100" t="s">
        <v>351</v>
      </c>
      <c r="L13" s="38" t="s">
        <v>701</v>
      </c>
      <c r="M13" s="37" t="s">
        <v>678</v>
      </c>
      <c r="N13" s="12"/>
      <c r="O13" s="38" t="str">
        <f t="shared" si="0"/>
        <v>ISLA</v>
      </c>
    </row>
    <row r="14" spans="1:15" x14ac:dyDescent="0.4">
      <c r="A14" s="37">
        <v>13</v>
      </c>
      <c r="B14" s="37" t="s">
        <v>1388</v>
      </c>
      <c r="C14" s="37" t="s">
        <v>2</v>
      </c>
      <c r="D14" s="37" t="s">
        <v>701</v>
      </c>
      <c r="E14" s="12" t="s">
        <v>581</v>
      </c>
      <c r="F14" s="83">
        <v>43505.972222222219</v>
      </c>
      <c r="G14" s="83">
        <v>43506.000694444447</v>
      </c>
      <c r="H14" s="84">
        <v>41.000000007916242</v>
      </c>
      <c r="I14" s="12" t="s">
        <v>313</v>
      </c>
      <c r="J14" s="12" t="s">
        <v>879</v>
      </c>
      <c r="K14" s="100" t="s">
        <v>351</v>
      </c>
      <c r="L14" s="38" t="s">
        <v>701</v>
      </c>
      <c r="M14" s="37" t="s">
        <v>678</v>
      </c>
      <c r="N14" s="12"/>
      <c r="O14" s="38" t="str">
        <f t="shared" si="0"/>
        <v>ISLA</v>
      </c>
    </row>
    <row r="15" spans="1:15" ht="15" x14ac:dyDescent="0.4">
      <c r="A15" s="37">
        <v>14</v>
      </c>
      <c r="B15" s="37" t="s">
        <v>1391</v>
      </c>
      <c r="C15" s="37" t="s">
        <v>2</v>
      </c>
      <c r="D15" s="37" t="s">
        <v>1389</v>
      </c>
      <c r="E15" s="12" t="s">
        <v>766</v>
      </c>
      <c r="F15" s="83">
        <v>43506.538194444445</v>
      </c>
      <c r="G15" s="83">
        <v>43507.663194444445</v>
      </c>
      <c r="H15" s="84">
        <v>1620</v>
      </c>
      <c r="I15" s="12" t="s">
        <v>1392</v>
      </c>
      <c r="J15" s="12" t="s">
        <v>1393</v>
      </c>
      <c r="K15" s="100" t="s">
        <v>1394</v>
      </c>
      <c r="L15" s="38" t="s">
        <v>701</v>
      </c>
      <c r="M15" s="37" t="s">
        <v>678</v>
      </c>
      <c r="N15" s="12"/>
      <c r="O15" s="38" t="str">
        <f t="shared" si="0"/>
        <v>OSLA</v>
      </c>
    </row>
    <row r="16" spans="1:15" x14ac:dyDescent="0.4">
      <c r="A16" s="37">
        <v>15</v>
      </c>
      <c r="B16" s="37" t="s">
        <v>1395</v>
      </c>
      <c r="C16" s="37" t="s">
        <v>2</v>
      </c>
      <c r="D16" s="37" t="s">
        <v>701</v>
      </c>
      <c r="E16" s="12" t="s">
        <v>581</v>
      </c>
      <c r="F16" s="83">
        <v>43507.004166666666</v>
      </c>
      <c r="G16" s="83">
        <v>43507.02847222222</v>
      </c>
      <c r="H16" s="84">
        <v>35</v>
      </c>
      <c r="I16" s="12" t="s">
        <v>313</v>
      </c>
      <c r="J16" s="12" t="s">
        <v>879</v>
      </c>
      <c r="K16" s="100" t="s">
        <v>351</v>
      </c>
      <c r="L16" s="38" t="s">
        <v>701</v>
      </c>
      <c r="M16" s="37" t="s">
        <v>678</v>
      </c>
      <c r="N16" s="12"/>
      <c r="O16" s="38" t="str">
        <f t="shared" si="0"/>
        <v>ISLA</v>
      </c>
    </row>
    <row r="17" spans="1:15" x14ac:dyDescent="0.4">
      <c r="A17" s="37">
        <v>16</v>
      </c>
      <c r="B17" s="37" t="s">
        <v>1396</v>
      </c>
      <c r="C17" s="37" t="s">
        <v>2</v>
      </c>
      <c r="D17" s="37" t="s">
        <v>1389</v>
      </c>
      <c r="E17" s="12" t="s">
        <v>1407</v>
      </c>
      <c r="F17" s="83">
        <v>43508.020833333336</v>
      </c>
      <c r="G17" s="83">
        <v>43508.0625</v>
      </c>
      <c r="H17" s="84">
        <v>60</v>
      </c>
      <c r="I17" s="12" t="s">
        <v>313</v>
      </c>
      <c r="J17" s="12" t="s">
        <v>1397</v>
      </c>
      <c r="K17" s="100" t="s">
        <v>1398</v>
      </c>
      <c r="L17" s="38" t="s">
        <v>701</v>
      </c>
      <c r="M17" s="37" t="s">
        <v>678</v>
      </c>
      <c r="N17" s="12"/>
      <c r="O17" s="38" t="str">
        <f t="shared" si="0"/>
        <v>ISLA</v>
      </c>
    </row>
    <row r="18" spans="1:15" x14ac:dyDescent="0.4">
      <c r="A18" s="37">
        <v>17</v>
      </c>
      <c r="B18" s="37" t="s">
        <v>1399</v>
      </c>
      <c r="C18" s="37" t="s">
        <v>2</v>
      </c>
      <c r="D18" s="37" t="s">
        <v>701</v>
      </c>
      <c r="E18" s="12" t="s">
        <v>1400</v>
      </c>
      <c r="F18" s="83">
        <v>43508.204861111109</v>
      </c>
      <c r="G18" s="83">
        <v>43508.254861111112</v>
      </c>
      <c r="H18" s="84">
        <v>72</v>
      </c>
      <c r="I18" s="12" t="s">
        <v>1401</v>
      </c>
      <c r="J18" s="12" t="s">
        <v>1402</v>
      </c>
      <c r="K18" s="100" t="s">
        <v>1403</v>
      </c>
      <c r="L18" s="38" t="s">
        <v>701</v>
      </c>
      <c r="M18" s="37" t="s">
        <v>678</v>
      </c>
      <c r="N18" s="12"/>
      <c r="O18" s="38" t="str">
        <f t="shared" si="0"/>
        <v>ISLA</v>
      </c>
    </row>
    <row r="19" spans="1:15" x14ac:dyDescent="0.4">
      <c r="A19" s="37">
        <v>18</v>
      </c>
      <c r="B19" s="37" t="s">
        <v>1404</v>
      </c>
      <c r="C19" s="37" t="s">
        <v>2</v>
      </c>
      <c r="D19" s="37" t="s">
        <v>701</v>
      </c>
      <c r="E19" s="12" t="s">
        <v>581</v>
      </c>
      <c r="F19" s="83">
        <v>43509.056250000001</v>
      </c>
      <c r="G19" s="83">
        <v>43509.095138888886</v>
      </c>
      <c r="H19" s="84">
        <f>(G19-F19)*1440</f>
        <v>55.999999993946403</v>
      </c>
      <c r="I19" s="12" t="s">
        <v>313</v>
      </c>
      <c r="J19" s="12" t="s">
        <v>879</v>
      </c>
      <c r="K19" s="100" t="s">
        <v>351</v>
      </c>
      <c r="L19" s="38" t="s">
        <v>701</v>
      </c>
      <c r="M19" s="37" t="s">
        <v>678</v>
      </c>
      <c r="N19" s="12"/>
      <c r="O19" s="38" t="str">
        <f t="shared" si="0"/>
        <v>ISLA</v>
      </c>
    </row>
    <row r="20" spans="1:15" x14ac:dyDescent="0.4">
      <c r="A20" s="37">
        <v>19</v>
      </c>
      <c r="B20" s="37" t="s">
        <v>1405</v>
      </c>
      <c r="C20" s="37" t="s">
        <v>2</v>
      </c>
      <c r="D20" s="37" t="s">
        <v>701</v>
      </c>
      <c r="E20" s="12" t="s">
        <v>594</v>
      </c>
      <c r="F20" s="83">
        <v>43510.451388888891</v>
      </c>
      <c r="G20" s="83">
        <v>43510.494444444441</v>
      </c>
      <c r="H20" s="84">
        <v>62</v>
      </c>
      <c r="I20" s="12" t="s">
        <v>313</v>
      </c>
      <c r="J20" s="12" t="s">
        <v>1425</v>
      </c>
      <c r="K20" s="100" t="s">
        <v>1426</v>
      </c>
      <c r="L20" s="38" t="s">
        <v>701</v>
      </c>
      <c r="M20" s="37" t="s">
        <v>678</v>
      </c>
      <c r="N20" s="12"/>
      <c r="O20" s="38" t="str">
        <f t="shared" si="0"/>
        <v>ISLA</v>
      </c>
    </row>
    <row r="21" spans="1:15" x14ac:dyDescent="0.4">
      <c r="A21" s="37">
        <v>20</v>
      </c>
      <c r="B21" s="37" t="s">
        <v>1406</v>
      </c>
      <c r="C21" s="37" t="s">
        <v>2</v>
      </c>
      <c r="D21" s="37" t="s">
        <v>1389</v>
      </c>
      <c r="E21" s="12" t="s">
        <v>1407</v>
      </c>
      <c r="F21" s="83">
        <v>43512.003472222219</v>
      </c>
      <c r="G21" s="83">
        <v>43512.756944444445</v>
      </c>
      <c r="H21" s="84">
        <f>(G21-F21)*1440</f>
        <v>1085.0000000058208</v>
      </c>
      <c r="I21" s="12" t="s">
        <v>313</v>
      </c>
      <c r="J21" s="12" t="s">
        <v>1408</v>
      </c>
      <c r="K21" s="100" t="s">
        <v>1409</v>
      </c>
      <c r="L21" s="38" t="s">
        <v>701</v>
      </c>
      <c r="M21" s="37" t="s">
        <v>678</v>
      </c>
      <c r="N21" s="12"/>
      <c r="O21" s="38" t="str">
        <f t="shared" si="0"/>
        <v>OSLA</v>
      </c>
    </row>
    <row r="22" spans="1:15" x14ac:dyDescent="0.4">
      <c r="A22" s="37">
        <v>21</v>
      </c>
      <c r="B22" s="37" t="s">
        <v>1410</v>
      </c>
      <c r="C22" s="37" t="s">
        <v>2</v>
      </c>
      <c r="D22" s="37" t="s">
        <v>701</v>
      </c>
      <c r="E22" s="12" t="s">
        <v>75</v>
      </c>
      <c r="F22" s="83">
        <v>43514.28402777778</v>
      </c>
      <c r="G22" s="83">
        <v>43514.299305555556</v>
      </c>
      <c r="H22" s="84">
        <v>22</v>
      </c>
      <c r="I22" s="12" t="s">
        <v>1183</v>
      </c>
      <c r="J22" s="12" t="s">
        <v>1411</v>
      </c>
      <c r="K22" s="12" t="s">
        <v>1412</v>
      </c>
      <c r="L22" s="38" t="s">
        <v>701</v>
      </c>
      <c r="M22" s="37" t="s">
        <v>678</v>
      </c>
      <c r="N22" s="12"/>
      <c r="O22" s="38" t="str">
        <f t="shared" si="0"/>
        <v>ISLA</v>
      </c>
    </row>
    <row r="23" spans="1:15" x14ac:dyDescent="0.4">
      <c r="A23" s="37">
        <v>22</v>
      </c>
      <c r="B23" s="37" t="s">
        <v>1413</v>
      </c>
      <c r="C23" s="37" t="s">
        <v>2</v>
      </c>
      <c r="D23" s="37" t="s">
        <v>701</v>
      </c>
      <c r="E23" s="12" t="s">
        <v>1414</v>
      </c>
      <c r="F23" s="83">
        <v>43514.65902777778</v>
      </c>
      <c r="G23" s="83">
        <v>43514.666666666664</v>
      </c>
      <c r="H23" s="84">
        <v>11</v>
      </c>
      <c r="I23" s="12" t="s">
        <v>860</v>
      </c>
      <c r="J23" s="12" t="s">
        <v>1415</v>
      </c>
      <c r="K23" s="12" t="s">
        <v>1416</v>
      </c>
      <c r="L23" s="38" t="s">
        <v>701</v>
      </c>
      <c r="M23" s="37" t="s">
        <v>678</v>
      </c>
      <c r="N23" s="12"/>
      <c r="O23" s="38" t="str">
        <f t="shared" si="0"/>
        <v>ISLA</v>
      </c>
    </row>
    <row r="24" spans="1:15" x14ac:dyDescent="0.4">
      <c r="A24" s="37">
        <v>23</v>
      </c>
      <c r="B24" s="37" t="s">
        <v>1417</v>
      </c>
      <c r="C24" s="37" t="s">
        <v>2</v>
      </c>
      <c r="D24" s="37" t="s">
        <v>701</v>
      </c>
      <c r="E24" s="12" t="s">
        <v>581</v>
      </c>
      <c r="F24" s="83">
        <v>43514.763888888891</v>
      </c>
      <c r="G24" s="83">
        <v>43514.798611111109</v>
      </c>
      <c r="H24" s="84">
        <v>50</v>
      </c>
      <c r="I24" s="12" t="s">
        <v>313</v>
      </c>
      <c r="J24" s="12" t="s">
        <v>879</v>
      </c>
      <c r="K24" s="12" t="s">
        <v>351</v>
      </c>
      <c r="L24" s="38" t="s">
        <v>701</v>
      </c>
      <c r="M24" s="37" t="s">
        <v>678</v>
      </c>
      <c r="N24" s="12"/>
      <c r="O24" s="38" t="str">
        <f t="shared" si="0"/>
        <v>ISLA</v>
      </c>
    </row>
    <row r="25" spans="1:15" x14ac:dyDescent="0.4">
      <c r="A25" s="37">
        <v>24</v>
      </c>
      <c r="B25" s="37" t="s">
        <v>1418</v>
      </c>
      <c r="C25" s="37" t="s">
        <v>2</v>
      </c>
      <c r="D25" s="37" t="s">
        <v>701</v>
      </c>
      <c r="E25" s="12" t="s">
        <v>581</v>
      </c>
      <c r="F25" s="83">
        <v>43515.799305555556</v>
      </c>
      <c r="G25" s="83">
        <v>43515.838888888888</v>
      </c>
      <c r="H25" s="84">
        <v>57</v>
      </c>
      <c r="I25" s="12" t="s">
        <v>313</v>
      </c>
      <c r="J25" s="12" t="s">
        <v>879</v>
      </c>
      <c r="K25" s="12" t="s">
        <v>351</v>
      </c>
      <c r="L25" s="38" t="s">
        <v>701</v>
      </c>
      <c r="M25" s="37" t="s">
        <v>678</v>
      </c>
      <c r="N25" s="12"/>
      <c r="O25" s="38" t="str">
        <f t="shared" si="0"/>
        <v>ISLA</v>
      </c>
    </row>
    <row r="26" spans="1:15" x14ac:dyDescent="0.4">
      <c r="A26" s="37">
        <v>25</v>
      </c>
      <c r="B26" s="37" t="s">
        <v>1419</v>
      </c>
      <c r="C26" s="37" t="s">
        <v>2</v>
      </c>
      <c r="D26" s="37" t="s">
        <v>701</v>
      </c>
      <c r="E26" s="12" t="s">
        <v>2096</v>
      </c>
      <c r="F26" s="83">
        <v>43516.229166666664</v>
      </c>
      <c r="G26" s="83">
        <v>43516.5</v>
      </c>
      <c r="H26" s="84">
        <v>390</v>
      </c>
      <c r="I26" s="12" t="s">
        <v>1420</v>
      </c>
      <c r="J26" s="12" t="s">
        <v>1446</v>
      </c>
      <c r="K26" s="12" t="s">
        <v>1445</v>
      </c>
      <c r="L26" s="38" t="s">
        <v>701</v>
      </c>
      <c r="M26" s="37" t="s">
        <v>678</v>
      </c>
      <c r="N26" s="12"/>
      <c r="O26" s="38" t="str">
        <f t="shared" si="0"/>
        <v>OSLA</v>
      </c>
    </row>
    <row r="27" spans="1:15" x14ac:dyDescent="0.4">
      <c r="A27" s="37">
        <v>26</v>
      </c>
      <c r="B27" s="37" t="s">
        <v>1421</v>
      </c>
      <c r="C27" s="37" t="s">
        <v>2</v>
      </c>
      <c r="D27" s="37" t="s">
        <v>701</v>
      </c>
      <c r="E27" s="12" t="s">
        <v>581</v>
      </c>
      <c r="F27" s="83">
        <v>43516.836805555555</v>
      </c>
      <c r="G27" s="83">
        <v>43516.868055555555</v>
      </c>
      <c r="H27" s="84">
        <v>45</v>
      </c>
      <c r="I27" s="12" t="s">
        <v>313</v>
      </c>
      <c r="J27" s="12" t="s">
        <v>879</v>
      </c>
      <c r="K27" s="12" t="s">
        <v>351</v>
      </c>
      <c r="L27" s="38" t="s">
        <v>701</v>
      </c>
      <c r="M27" s="37" t="s">
        <v>678</v>
      </c>
      <c r="N27" s="12"/>
      <c r="O27" s="38" t="str">
        <f t="shared" si="0"/>
        <v>ISLA</v>
      </c>
    </row>
    <row r="28" spans="1:15" x14ac:dyDescent="0.4">
      <c r="A28" s="37">
        <v>27</v>
      </c>
      <c r="B28" s="37" t="s">
        <v>1422</v>
      </c>
      <c r="C28" s="37" t="s">
        <v>2</v>
      </c>
      <c r="D28" s="37" t="s">
        <v>701</v>
      </c>
      <c r="E28" s="12" t="s">
        <v>581</v>
      </c>
      <c r="F28" s="83">
        <v>43517.868055555555</v>
      </c>
      <c r="G28" s="83">
        <v>43517.916666666664</v>
      </c>
      <c r="H28" s="84">
        <v>70</v>
      </c>
      <c r="I28" s="12" t="s">
        <v>313</v>
      </c>
      <c r="J28" s="12" t="s">
        <v>879</v>
      </c>
      <c r="K28" s="12" t="s">
        <v>351</v>
      </c>
      <c r="L28" s="38" t="s">
        <v>701</v>
      </c>
      <c r="M28" s="37" t="s">
        <v>678</v>
      </c>
      <c r="N28" s="12"/>
      <c r="O28" s="38" t="str">
        <f t="shared" si="0"/>
        <v>ISLA</v>
      </c>
    </row>
    <row r="29" spans="1:15" x14ac:dyDescent="0.4">
      <c r="A29" s="37">
        <v>28</v>
      </c>
      <c r="B29" s="37" t="s">
        <v>1423</v>
      </c>
      <c r="C29" s="37" t="s">
        <v>2</v>
      </c>
      <c r="D29" s="37" t="s">
        <v>701</v>
      </c>
      <c r="E29" s="12" t="s">
        <v>581</v>
      </c>
      <c r="F29" s="83">
        <v>43518.90902777778</v>
      </c>
      <c r="G29" s="83">
        <v>43519.482638888891</v>
      </c>
      <c r="H29" s="84">
        <v>825.99999999976717</v>
      </c>
      <c r="I29" s="12" t="s">
        <v>313</v>
      </c>
      <c r="J29" s="12" t="s">
        <v>879</v>
      </c>
      <c r="K29" s="12" t="s">
        <v>351</v>
      </c>
      <c r="L29" s="38" t="s">
        <v>701</v>
      </c>
      <c r="M29" s="37" t="s">
        <v>678</v>
      </c>
      <c r="N29" s="12"/>
      <c r="O29" s="38" t="str">
        <f t="shared" si="0"/>
        <v>OSLA</v>
      </c>
    </row>
    <row r="30" spans="1:15" x14ac:dyDescent="0.4">
      <c r="A30" s="37">
        <v>29</v>
      </c>
      <c r="B30" s="37" t="s">
        <v>1424</v>
      </c>
      <c r="C30" s="37" t="s">
        <v>2</v>
      </c>
      <c r="D30" s="37" t="s">
        <v>701</v>
      </c>
      <c r="E30" s="12" t="s">
        <v>581</v>
      </c>
      <c r="F30" s="83">
        <v>43520.399305555555</v>
      </c>
      <c r="G30" s="83">
        <v>43520.432638888888</v>
      </c>
      <c r="H30" s="84">
        <v>47.999999999301508</v>
      </c>
      <c r="I30" s="12" t="s">
        <v>313</v>
      </c>
      <c r="J30" s="12" t="s">
        <v>879</v>
      </c>
      <c r="K30" s="12" t="s">
        <v>351</v>
      </c>
      <c r="L30" s="38" t="s">
        <v>701</v>
      </c>
      <c r="M30" s="37" t="s">
        <v>678</v>
      </c>
      <c r="N30" s="12"/>
      <c r="O30" s="38" t="str">
        <f t="shared" si="0"/>
        <v>ISLA</v>
      </c>
    </row>
    <row r="31" spans="1:15" x14ac:dyDescent="0.4">
      <c r="A31" s="37">
        <v>30</v>
      </c>
      <c r="B31" s="37" t="s">
        <v>1427</v>
      </c>
      <c r="C31" s="37" t="s">
        <v>2</v>
      </c>
      <c r="D31" s="37" t="s">
        <v>701</v>
      </c>
      <c r="E31" s="12" t="s">
        <v>581</v>
      </c>
      <c r="F31" s="83">
        <v>43521.426388888889</v>
      </c>
      <c r="G31" s="83">
        <v>43521.486805555556</v>
      </c>
      <c r="H31" s="84">
        <v>87</v>
      </c>
      <c r="I31" s="12" t="s">
        <v>313</v>
      </c>
      <c r="J31" s="12" t="s">
        <v>879</v>
      </c>
      <c r="K31" s="12" t="s">
        <v>351</v>
      </c>
      <c r="L31" s="38" t="s">
        <v>701</v>
      </c>
      <c r="M31" s="37" t="s">
        <v>678</v>
      </c>
      <c r="N31" s="12"/>
      <c r="O31" s="38" t="str">
        <f t="shared" ref="O31:O37" si="1">IF(AND(C31=$B$51,H31&lt;=$D$51),"ISLA",IF((AND(C31=$B$52,H31&lt;=$D$52)),"ISLA",IF((AND(C31=$B$53,H31&lt;=$D$53)),"ISLA","OSLA")))</f>
        <v>ISLA</v>
      </c>
    </row>
    <row r="32" spans="1:15" x14ac:dyDescent="0.4">
      <c r="A32" s="37">
        <v>31</v>
      </c>
      <c r="B32" s="37" t="s">
        <v>1428</v>
      </c>
      <c r="C32" s="37" t="s">
        <v>2</v>
      </c>
      <c r="D32" s="37" t="s">
        <v>701</v>
      </c>
      <c r="E32" s="12" t="s">
        <v>581</v>
      </c>
      <c r="F32" s="83">
        <v>43522.468055555553</v>
      </c>
      <c r="G32" s="83">
        <v>43522.499305555553</v>
      </c>
      <c r="H32" s="84">
        <v>45</v>
      </c>
      <c r="I32" s="12" t="s">
        <v>313</v>
      </c>
      <c r="J32" s="12" t="s">
        <v>879</v>
      </c>
      <c r="K32" s="12" t="s">
        <v>351</v>
      </c>
      <c r="L32" s="38" t="s">
        <v>701</v>
      </c>
      <c r="M32" s="37" t="s">
        <v>678</v>
      </c>
      <c r="N32" s="12"/>
      <c r="O32" s="38" t="str">
        <f t="shared" si="1"/>
        <v>ISLA</v>
      </c>
    </row>
    <row r="33" spans="1:15" x14ac:dyDescent="0.4">
      <c r="A33" s="37">
        <v>32</v>
      </c>
      <c r="B33" s="37" t="s">
        <v>1429</v>
      </c>
      <c r="C33" s="37" t="s">
        <v>2</v>
      </c>
      <c r="D33" s="37" t="s">
        <v>1389</v>
      </c>
      <c r="E33" s="12" t="s">
        <v>228</v>
      </c>
      <c r="F33" s="83">
        <v>43523.25</v>
      </c>
      <c r="G33" s="83">
        <v>43524.15625</v>
      </c>
      <c r="H33" s="84">
        <v>1305</v>
      </c>
      <c r="I33" s="12" t="s">
        <v>1430</v>
      </c>
      <c r="J33" s="12" t="s">
        <v>1431</v>
      </c>
      <c r="K33" s="12" t="s">
        <v>1432</v>
      </c>
      <c r="L33" s="38" t="s">
        <v>707</v>
      </c>
      <c r="M33" s="37" t="s">
        <v>678</v>
      </c>
      <c r="N33" s="12"/>
      <c r="O33" s="38" t="str">
        <f t="shared" si="1"/>
        <v>OSLA</v>
      </c>
    </row>
    <row r="34" spans="1:15" x14ac:dyDescent="0.4">
      <c r="A34" s="37">
        <v>33</v>
      </c>
      <c r="B34" s="37" t="s">
        <v>1433</v>
      </c>
      <c r="C34" s="37" t="s">
        <v>2</v>
      </c>
      <c r="D34" s="37" t="s">
        <v>701</v>
      </c>
      <c r="E34" s="12" t="s">
        <v>1434</v>
      </c>
      <c r="F34" s="83">
        <v>43523.50277777778</v>
      </c>
      <c r="G34" s="83">
        <v>43523.529166666667</v>
      </c>
      <c r="H34" s="84">
        <v>38</v>
      </c>
      <c r="I34" s="12" t="s">
        <v>313</v>
      </c>
      <c r="J34" s="12" t="s">
        <v>879</v>
      </c>
      <c r="K34" s="12" t="s">
        <v>351</v>
      </c>
      <c r="L34" s="38" t="s">
        <v>701</v>
      </c>
      <c r="M34" s="37" t="s">
        <v>678</v>
      </c>
      <c r="N34" s="12"/>
      <c r="O34" s="38" t="str">
        <f t="shared" si="1"/>
        <v>ISLA</v>
      </c>
    </row>
    <row r="35" spans="1:15" x14ac:dyDescent="0.4">
      <c r="A35" s="37">
        <v>34</v>
      </c>
      <c r="B35" s="37" t="s">
        <v>1435</v>
      </c>
      <c r="C35" s="37" t="s">
        <v>2</v>
      </c>
      <c r="D35" s="37" t="s">
        <v>1389</v>
      </c>
      <c r="E35" s="12" t="s">
        <v>1436</v>
      </c>
      <c r="F35" s="83">
        <v>43524</v>
      </c>
      <c r="G35" s="83">
        <v>43524.083333333336</v>
      </c>
      <c r="H35" s="84">
        <v>120</v>
      </c>
      <c r="I35" s="12" t="s">
        <v>313</v>
      </c>
      <c r="J35" s="12" t="s">
        <v>1437</v>
      </c>
      <c r="K35" s="12" t="s">
        <v>1438</v>
      </c>
      <c r="L35" s="38" t="s">
        <v>701</v>
      </c>
      <c r="M35" s="37" t="s">
        <v>678</v>
      </c>
      <c r="N35" s="12"/>
      <c r="O35" s="38" t="str">
        <f t="shared" si="1"/>
        <v>ISLA</v>
      </c>
    </row>
    <row r="36" spans="1:15" x14ac:dyDescent="0.4">
      <c r="A36" s="37">
        <v>35</v>
      </c>
      <c r="B36" s="37" t="s">
        <v>1439</v>
      </c>
      <c r="C36" s="37" t="s">
        <v>2</v>
      </c>
      <c r="D36" s="37" t="s">
        <v>704</v>
      </c>
      <c r="E36" s="12" t="s">
        <v>1440</v>
      </c>
      <c r="F36" s="83">
        <v>43524.228472222225</v>
      </c>
      <c r="G36" s="83">
        <v>43524.697916666664</v>
      </c>
      <c r="H36" s="84">
        <v>676</v>
      </c>
      <c r="I36" s="12" t="s">
        <v>1441</v>
      </c>
      <c r="J36" s="12" t="s">
        <v>1442</v>
      </c>
      <c r="K36" s="12" t="s">
        <v>1443</v>
      </c>
      <c r="L36" s="38" t="s">
        <v>704</v>
      </c>
      <c r="M36" s="37" t="s">
        <v>678</v>
      </c>
      <c r="N36" s="12"/>
      <c r="O36" s="38" t="str">
        <f t="shared" si="1"/>
        <v>OSLA</v>
      </c>
    </row>
    <row r="37" spans="1:15" x14ac:dyDescent="0.4">
      <c r="A37" s="37">
        <v>36</v>
      </c>
      <c r="B37" s="37" t="s">
        <v>1444</v>
      </c>
      <c r="C37" s="37" t="s">
        <v>2</v>
      </c>
      <c r="D37" s="37" t="s">
        <v>701</v>
      </c>
      <c r="E37" s="12" t="s">
        <v>1434</v>
      </c>
      <c r="F37" s="83">
        <v>43524.535416666666</v>
      </c>
      <c r="G37" s="83">
        <v>43524.566666666666</v>
      </c>
      <c r="H37" s="84">
        <v>45</v>
      </c>
      <c r="I37" s="12" t="s">
        <v>313</v>
      </c>
      <c r="J37" s="12" t="s">
        <v>879</v>
      </c>
      <c r="K37" s="12" t="s">
        <v>351</v>
      </c>
      <c r="L37" s="38" t="s">
        <v>701</v>
      </c>
      <c r="M37" s="37" t="s">
        <v>678</v>
      </c>
      <c r="N37" s="12"/>
      <c r="O37" s="38" t="str">
        <f t="shared" si="1"/>
        <v>ISLA</v>
      </c>
    </row>
    <row r="50" spans="2:4" s="73" customFormat="1" x14ac:dyDescent="0.4"/>
    <row r="51" spans="2:4" s="73" customFormat="1" x14ac:dyDescent="0.4">
      <c r="B51" s="73" t="s">
        <v>2</v>
      </c>
      <c r="C51" s="73" t="s">
        <v>776</v>
      </c>
      <c r="D51" s="73">
        <v>120</v>
      </c>
    </row>
    <row r="52" spans="2:4" s="73" customFormat="1" x14ac:dyDescent="0.4">
      <c r="B52" s="73" t="s">
        <v>14</v>
      </c>
      <c r="C52" s="73" t="s">
        <v>777</v>
      </c>
      <c r="D52" s="73">
        <v>240</v>
      </c>
    </row>
    <row r="53" spans="2:4" s="73" customFormat="1" x14ac:dyDescent="0.4">
      <c r="B53" s="73" t="s">
        <v>158</v>
      </c>
      <c r="C53" s="73" t="s">
        <v>778</v>
      </c>
      <c r="D53" s="73">
        <v>2880</v>
      </c>
    </row>
    <row r="54" spans="2:4" s="73" customFormat="1" x14ac:dyDescent="0.4"/>
  </sheetData>
  <autoFilter ref="A1:O37" xr:uid="{00000000-0009-0000-0000-000011000000}"/>
  <conditionalFormatting sqref="F2:H37">
    <cfRule type="cellIs" dxfId="67" priority="1" operator="equal">
      <formula>"NOK"</formula>
    </cfRule>
  </conditionalFormatting>
  <dataValidations count="1">
    <dataValidation type="list" allowBlank="1" showInputMessage="1" showErrorMessage="1" promptTitle="Priorité" prompt="La Priorité de l'Incident" sqref="C12:C14" xr:uid="{00000000-0002-0000-1100-000000000000}">
      <formula1>prio</formula1>
    </dataValidation>
  </dataValidation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tabColor rgb="FF00B050"/>
  </sheetPr>
  <dimension ref="A1:O65"/>
  <sheetViews>
    <sheetView workbookViewId="0">
      <selection activeCell="L45" sqref="L45"/>
    </sheetView>
  </sheetViews>
  <sheetFormatPr baseColWidth="10" defaultRowHeight="14.6" x14ac:dyDescent="0.4"/>
  <cols>
    <col min="1" max="1" width="6.07421875" customWidth="1"/>
    <col min="5" max="5" width="43.3046875" bestFit="1" customWidth="1"/>
    <col min="6" max="6" width="21.69140625" customWidth="1"/>
    <col min="7" max="7" width="18.3046875" customWidth="1"/>
    <col min="8" max="8" width="11.69140625" customWidth="1"/>
    <col min="9" max="9" width="48.53515625" customWidth="1"/>
    <col min="10" max="10" width="52.84375" customWidth="1"/>
    <col min="11" max="11" width="36.07421875" customWidth="1"/>
  </cols>
  <sheetData>
    <row r="1" spans="1:15" x14ac:dyDescent="0.4">
      <c r="A1" s="6" t="s">
        <v>0</v>
      </c>
      <c r="B1" s="6" t="s">
        <v>792</v>
      </c>
      <c r="C1" s="6" t="s">
        <v>793</v>
      </c>
      <c r="D1" s="7" t="s">
        <v>700</v>
      </c>
      <c r="E1" s="7" t="s">
        <v>897</v>
      </c>
      <c r="F1" s="6" t="s">
        <v>795</v>
      </c>
      <c r="G1" s="6" t="s">
        <v>796</v>
      </c>
      <c r="H1" s="6" t="s">
        <v>797</v>
      </c>
      <c r="I1" s="7" t="s">
        <v>898</v>
      </c>
      <c r="J1" s="6" t="s">
        <v>798</v>
      </c>
      <c r="K1" s="6" t="s">
        <v>799</v>
      </c>
      <c r="L1" s="7" t="s">
        <v>699</v>
      </c>
      <c r="M1" s="6" t="s">
        <v>684</v>
      </c>
      <c r="N1" s="7" t="s">
        <v>659</v>
      </c>
      <c r="O1" s="6" t="s">
        <v>888</v>
      </c>
    </row>
    <row r="2" spans="1:15" x14ac:dyDescent="0.4">
      <c r="A2" s="37">
        <v>1</v>
      </c>
      <c r="B2" s="37" t="s">
        <v>1447</v>
      </c>
      <c r="C2" s="37" t="s">
        <v>2</v>
      </c>
      <c r="D2" s="37" t="s">
        <v>701</v>
      </c>
      <c r="E2" s="12" t="s">
        <v>581</v>
      </c>
      <c r="F2" s="83">
        <v>43525.5625</v>
      </c>
      <c r="G2" s="83">
        <v>43525.599305555559</v>
      </c>
      <c r="H2" s="84">
        <f>(G2-F2)*1440</f>
        <v>53.000000005122274</v>
      </c>
      <c r="I2" s="12" t="s">
        <v>313</v>
      </c>
      <c r="J2" s="12" t="s">
        <v>879</v>
      </c>
      <c r="K2" s="100" t="s">
        <v>351</v>
      </c>
      <c r="L2" s="37" t="s">
        <v>701</v>
      </c>
      <c r="M2" s="37" t="s">
        <v>678</v>
      </c>
      <c r="N2" s="12"/>
      <c r="O2" s="38" t="str">
        <f t="shared" ref="O2:O29" si="0">IF(AND(C2=$B$60,H2&lt;=$D$60),"ISLA",IF((AND(C2=$B$61,H2&lt;=$D$61)),"ISLA",IF((AND(C2=$B$62,H2&lt;=$D$62)),"ISLA","OSLA")))</f>
        <v>ISLA</v>
      </c>
    </row>
    <row r="3" spans="1:15" x14ac:dyDescent="0.4">
      <c r="A3" s="37">
        <v>2</v>
      </c>
      <c r="B3" s="37" t="s">
        <v>1448</v>
      </c>
      <c r="C3" s="37" t="s">
        <v>2</v>
      </c>
      <c r="D3" s="37" t="s">
        <v>701</v>
      </c>
      <c r="E3" s="12" t="s">
        <v>581</v>
      </c>
      <c r="F3" s="83">
        <v>43526.601388888892</v>
      </c>
      <c r="G3" s="83">
        <v>43526.632638888892</v>
      </c>
      <c r="H3" s="84">
        <f>(G3-F3)*1440</f>
        <v>45</v>
      </c>
      <c r="I3" s="12" t="s">
        <v>313</v>
      </c>
      <c r="J3" s="12" t="s">
        <v>879</v>
      </c>
      <c r="K3" s="100" t="s">
        <v>351</v>
      </c>
      <c r="L3" s="37" t="s">
        <v>701</v>
      </c>
      <c r="M3" s="37" t="s">
        <v>678</v>
      </c>
      <c r="N3" s="12"/>
      <c r="O3" s="38" t="str">
        <f t="shared" si="0"/>
        <v>ISLA</v>
      </c>
    </row>
    <row r="4" spans="1:15" x14ac:dyDescent="0.4">
      <c r="A4" s="37">
        <v>3</v>
      </c>
      <c r="B4" s="37" t="s">
        <v>1449</v>
      </c>
      <c r="C4" s="37" t="s">
        <v>2</v>
      </c>
      <c r="D4" s="37" t="s">
        <v>701</v>
      </c>
      <c r="E4" s="12" t="s">
        <v>1125</v>
      </c>
      <c r="F4" s="83">
        <v>43526.75</v>
      </c>
      <c r="G4" s="83">
        <v>43526.802777777775</v>
      </c>
      <c r="H4" s="84">
        <f>(G4-F4)*1440</f>
        <v>75.99999999627471</v>
      </c>
      <c r="I4" s="12" t="s">
        <v>1450</v>
      </c>
      <c r="J4" s="12" t="s">
        <v>1592</v>
      </c>
      <c r="K4" s="100" t="s">
        <v>1451</v>
      </c>
      <c r="L4" s="37" t="s">
        <v>704</v>
      </c>
      <c r="M4" s="37" t="s">
        <v>678</v>
      </c>
      <c r="N4" s="12"/>
      <c r="O4" s="38" t="str">
        <f t="shared" si="0"/>
        <v>ISLA</v>
      </c>
    </row>
    <row r="5" spans="1:15" x14ac:dyDescent="0.4">
      <c r="A5" s="37">
        <v>4</v>
      </c>
      <c r="B5" s="37" t="s">
        <v>1453</v>
      </c>
      <c r="C5" s="37" t="s">
        <v>2</v>
      </c>
      <c r="D5" s="37" t="s">
        <v>1389</v>
      </c>
      <c r="E5" s="12" t="s">
        <v>299</v>
      </c>
      <c r="F5" s="83">
        <v>43526.847222222219</v>
      </c>
      <c r="G5" s="83">
        <v>43527.284722222219</v>
      </c>
      <c r="H5" s="84">
        <f>(G5-F5)*1440</f>
        <v>630</v>
      </c>
      <c r="I5" s="12" t="s">
        <v>826</v>
      </c>
      <c r="J5" s="12" t="s">
        <v>20</v>
      </c>
      <c r="K5" s="100" t="s">
        <v>105</v>
      </c>
      <c r="L5" s="37" t="s">
        <v>703</v>
      </c>
      <c r="M5" s="37" t="s">
        <v>678</v>
      </c>
      <c r="N5" s="12"/>
      <c r="O5" s="38" t="str">
        <f t="shared" si="0"/>
        <v>OSLA</v>
      </c>
    </row>
    <row r="6" spans="1:15" x14ac:dyDescent="0.4">
      <c r="A6" s="37">
        <v>5</v>
      </c>
      <c r="B6" s="37" t="s">
        <v>1452</v>
      </c>
      <c r="C6" s="37" t="s">
        <v>2</v>
      </c>
      <c r="D6" s="37" t="s">
        <v>701</v>
      </c>
      <c r="E6" s="12" t="s">
        <v>581</v>
      </c>
      <c r="F6" s="83">
        <v>43527.63958333333</v>
      </c>
      <c r="G6" s="83">
        <v>43527.665972222225</v>
      </c>
      <c r="H6" s="84">
        <v>38</v>
      </c>
      <c r="I6" s="12" t="s">
        <v>313</v>
      </c>
      <c r="J6" s="12" t="s">
        <v>879</v>
      </c>
      <c r="K6" s="100" t="s">
        <v>351</v>
      </c>
      <c r="L6" s="37" t="s">
        <v>701</v>
      </c>
      <c r="M6" s="37" t="s">
        <v>678</v>
      </c>
      <c r="N6" s="12"/>
      <c r="O6" s="38" t="str">
        <f t="shared" si="0"/>
        <v>ISLA</v>
      </c>
    </row>
    <row r="7" spans="1:15" x14ac:dyDescent="0.4">
      <c r="A7" s="37">
        <v>6</v>
      </c>
      <c r="B7" s="37" t="s">
        <v>1454</v>
      </c>
      <c r="C7" s="37" t="s">
        <v>2</v>
      </c>
      <c r="D7" s="37" t="s">
        <v>701</v>
      </c>
      <c r="E7" s="12" t="s">
        <v>581</v>
      </c>
      <c r="F7" s="83">
        <v>43528.67083333333</v>
      </c>
      <c r="G7" s="83">
        <v>43528.702777777777</v>
      </c>
      <c r="H7" s="84">
        <v>46</v>
      </c>
      <c r="I7" s="12" t="s">
        <v>313</v>
      </c>
      <c r="J7" s="12" t="s">
        <v>879</v>
      </c>
      <c r="K7" s="100" t="s">
        <v>351</v>
      </c>
      <c r="L7" s="37" t="s">
        <v>701</v>
      </c>
      <c r="M7" s="37" t="s">
        <v>678</v>
      </c>
      <c r="N7" s="12"/>
      <c r="O7" s="38" t="str">
        <f t="shared" si="0"/>
        <v>ISLA</v>
      </c>
    </row>
    <row r="8" spans="1:15" x14ac:dyDescent="0.4">
      <c r="A8" s="37">
        <v>7</v>
      </c>
      <c r="B8" s="37" t="s">
        <v>1455</v>
      </c>
      <c r="C8" s="37" t="s">
        <v>2</v>
      </c>
      <c r="D8" s="37" t="s">
        <v>701</v>
      </c>
      <c r="E8" s="12" t="s">
        <v>1472</v>
      </c>
      <c r="F8" s="83">
        <v>43529.464583333334</v>
      </c>
      <c r="G8" s="83">
        <v>43529.665277777778</v>
      </c>
      <c r="H8" s="84">
        <f>(G8-F8)*1440</f>
        <v>288.99999999906868</v>
      </c>
      <c r="I8" s="12" t="s">
        <v>1462</v>
      </c>
      <c r="J8" s="12" t="s">
        <v>1593</v>
      </c>
      <c r="K8" s="100" t="s">
        <v>1006</v>
      </c>
      <c r="L8" s="37" t="s">
        <v>701</v>
      </c>
      <c r="M8" s="37" t="s">
        <v>678</v>
      </c>
      <c r="N8" s="12"/>
      <c r="O8" s="38" t="str">
        <f t="shared" si="0"/>
        <v>OSLA</v>
      </c>
    </row>
    <row r="9" spans="1:15" x14ac:dyDescent="0.4">
      <c r="A9" s="37">
        <v>8</v>
      </c>
      <c r="B9" s="37" t="s">
        <v>1456</v>
      </c>
      <c r="C9" s="37" t="s">
        <v>2</v>
      </c>
      <c r="D9" s="37" t="s">
        <v>701</v>
      </c>
      <c r="E9" s="12" t="s">
        <v>1591</v>
      </c>
      <c r="F9" s="83">
        <v>43529.70416666667</v>
      </c>
      <c r="G9" s="83">
        <v>43529.737500000003</v>
      </c>
      <c r="H9" s="84">
        <f>(G9-F9)*1440</f>
        <v>47.999999999301508</v>
      </c>
      <c r="I9" s="12" t="s">
        <v>313</v>
      </c>
      <c r="J9" s="12" t="s">
        <v>1463</v>
      </c>
      <c r="K9" s="100" t="s">
        <v>351</v>
      </c>
      <c r="L9" s="37" t="s">
        <v>701</v>
      </c>
      <c r="M9" s="37" t="s">
        <v>678</v>
      </c>
      <c r="N9" s="12"/>
      <c r="O9" s="38" t="str">
        <f t="shared" si="0"/>
        <v>ISLA</v>
      </c>
    </row>
    <row r="10" spans="1:15" x14ac:dyDescent="0.4">
      <c r="A10" s="37">
        <v>9</v>
      </c>
      <c r="B10" s="37" t="s">
        <v>1457</v>
      </c>
      <c r="C10" s="37" t="s">
        <v>2</v>
      </c>
      <c r="D10" s="37" t="s">
        <v>701</v>
      </c>
      <c r="E10" s="12" t="s">
        <v>1464</v>
      </c>
      <c r="F10" s="83">
        <v>43530.237500000003</v>
      </c>
      <c r="G10" s="83">
        <v>43530.279166666667</v>
      </c>
      <c r="H10" s="84">
        <v>60</v>
      </c>
      <c r="I10" s="12" t="s">
        <v>1465</v>
      </c>
      <c r="J10" s="12" t="s">
        <v>1402</v>
      </c>
      <c r="K10" s="100" t="s">
        <v>1466</v>
      </c>
      <c r="L10" s="37" t="s">
        <v>707</v>
      </c>
      <c r="M10" s="37" t="s">
        <v>678</v>
      </c>
      <c r="N10" s="12"/>
      <c r="O10" s="38" t="str">
        <f t="shared" si="0"/>
        <v>ISLA</v>
      </c>
    </row>
    <row r="11" spans="1:15" x14ac:dyDescent="0.4">
      <c r="A11" s="37">
        <v>10</v>
      </c>
      <c r="B11" s="37" t="s">
        <v>1458</v>
      </c>
      <c r="C11" s="37" t="s">
        <v>2</v>
      </c>
      <c r="D11" s="37" t="s">
        <v>701</v>
      </c>
      <c r="E11" s="12" t="s">
        <v>1467</v>
      </c>
      <c r="F11" s="83">
        <v>43530.64166666667</v>
      </c>
      <c r="G11" s="83">
        <v>43531.107638888891</v>
      </c>
      <c r="H11" s="84">
        <f>(G11-F11)*1440</f>
        <v>670.99999999743886</v>
      </c>
      <c r="I11" s="12" t="s">
        <v>1468</v>
      </c>
      <c r="J11" s="12" t="s">
        <v>1469</v>
      </c>
      <c r="K11" s="100" t="s">
        <v>105</v>
      </c>
      <c r="L11" s="37" t="s">
        <v>701</v>
      </c>
      <c r="M11" s="37" t="s">
        <v>678</v>
      </c>
      <c r="N11" s="12"/>
      <c r="O11" s="38" t="str">
        <f t="shared" si="0"/>
        <v>OSLA</v>
      </c>
    </row>
    <row r="12" spans="1:15" x14ac:dyDescent="0.4">
      <c r="A12" s="37">
        <v>11</v>
      </c>
      <c r="B12" s="37" t="s">
        <v>1459</v>
      </c>
      <c r="C12" s="37" t="s">
        <v>2</v>
      </c>
      <c r="D12" s="37" t="s">
        <v>701</v>
      </c>
      <c r="E12" s="12" t="s">
        <v>581</v>
      </c>
      <c r="F12" s="83">
        <v>43530.739583333336</v>
      </c>
      <c r="G12" s="83">
        <v>43530.774305555555</v>
      </c>
      <c r="H12" s="84">
        <v>50</v>
      </c>
      <c r="I12" s="12" t="s">
        <v>313</v>
      </c>
      <c r="J12" s="12" t="s">
        <v>879</v>
      </c>
      <c r="K12" s="100" t="s">
        <v>351</v>
      </c>
      <c r="L12" s="37" t="s">
        <v>701</v>
      </c>
      <c r="M12" s="37" t="s">
        <v>678</v>
      </c>
      <c r="N12" s="12"/>
      <c r="O12" s="38" t="str">
        <f t="shared" si="0"/>
        <v>ISLA</v>
      </c>
    </row>
    <row r="13" spans="1:15" x14ac:dyDescent="0.4">
      <c r="A13" s="37">
        <v>12</v>
      </c>
      <c r="B13" s="37" t="s">
        <v>1460</v>
      </c>
      <c r="C13" s="37" t="s">
        <v>2</v>
      </c>
      <c r="D13" s="37" t="s">
        <v>701</v>
      </c>
      <c r="E13" s="12" t="s">
        <v>581</v>
      </c>
      <c r="F13" s="83">
        <v>43531.5625</v>
      </c>
      <c r="G13" s="83">
        <v>43531.609027777777</v>
      </c>
      <c r="H13" s="84">
        <v>67</v>
      </c>
      <c r="I13" s="12" t="s">
        <v>313</v>
      </c>
      <c r="J13" s="12" t="s">
        <v>879</v>
      </c>
      <c r="K13" s="100" t="s">
        <v>351</v>
      </c>
      <c r="L13" s="37" t="s">
        <v>701</v>
      </c>
      <c r="M13" s="37" t="s">
        <v>678</v>
      </c>
      <c r="N13" s="12"/>
      <c r="O13" s="38" t="str">
        <f t="shared" si="0"/>
        <v>ISLA</v>
      </c>
    </row>
    <row r="14" spans="1:15" x14ac:dyDescent="0.4">
      <c r="A14" s="37">
        <v>13</v>
      </c>
      <c r="B14" s="37" t="s">
        <v>1461</v>
      </c>
      <c r="C14" s="37" t="s">
        <v>2</v>
      </c>
      <c r="D14" s="37" t="s">
        <v>1389</v>
      </c>
      <c r="E14" s="12" t="s">
        <v>1470</v>
      </c>
      <c r="F14" s="83">
        <v>43531.695833333331</v>
      </c>
      <c r="G14" s="83">
        <v>43532.445833333331</v>
      </c>
      <c r="H14" s="84">
        <v>1080</v>
      </c>
      <c r="I14" s="12" t="s">
        <v>1471</v>
      </c>
      <c r="J14" s="12" t="s">
        <v>1594</v>
      </c>
      <c r="K14" s="100" t="s">
        <v>356</v>
      </c>
      <c r="L14" s="37" t="s">
        <v>704</v>
      </c>
      <c r="M14" s="37" t="s">
        <v>678</v>
      </c>
      <c r="N14" s="12"/>
      <c r="O14" s="38" t="str">
        <f t="shared" si="0"/>
        <v>OSLA</v>
      </c>
    </row>
    <row r="15" spans="1:15" x14ac:dyDescent="0.4">
      <c r="A15" s="37">
        <v>14</v>
      </c>
      <c r="B15" s="37" t="s">
        <v>1473</v>
      </c>
      <c r="C15" s="37" t="s">
        <v>2</v>
      </c>
      <c r="D15" s="37" t="s">
        <v>1389</v>
      </c>
      <c r="E15" s="12" t="s">
        <v>150</v>
      </c>
      <c r="F15" s="83">
        <v>43532.9</v>
      </c>
      <c r="G15" s="83">
        <v>43532.9375</v>
      </c>
      <c r="H15" s="84">
        <v>53.999999997904524</v>
      </c>
      <c r="I15" s="12" t="s">
        <v>1474</v>
      </c>
      <c r="J15" s="12" t="s">
        <v>1475</v>
      </c>
      <c r="K15" s="100" t="s">
        <v>1595</v>
      </c>
      <c r="L15" s="37" t="s">
        <v>703</v>
      </c>
      <c r="M15" s="37" t="s">
        <v>678</v>
      </c>
      <c r="N15" s="12"/>
      <c r="O15" s="38" t="str">
        <f t="shared" si="0"/>
        <v>ISLA</v>
      </c>
    </row>
    <row r="16" spans="1:15" x14ac:dyDescent="0.4">
      <c r="A16" s="37">
        <v>15</v>
      </c>
      <c r="B16" s="37" t="s">
        <v>1476</v>
      </c>
      <c r="C16" s="37" t="s">
        <v>2</v>
      </c>
      <c r="D16" s="37" t="s">
        <v>1389</v>
      </c>
      <c r="E16" s="12" t="s">
        <v>75</v>
      </c>
      <c r="F16" s="83">
        <v>43536.402777777781</v>
      </c>
      <c r="G16" s="83">
        <v>43536.463194444441</v>
      </c>
      <c r="H16" s="84">
        <v>87</v>
      </c>
      <c r="I16" s="12" t="s">
        <v>1183</v>
      </c>
      <c r="J16" s="12" t="s">
        <v>1495</v>
      </c>
      <c r="K16" s="100" t="s">
        <v>1496</v>
      </c>
      <c r="L16" s="37" t="s">
        <v>701</v>
      </c>
      <c r="M16" s="37" t="s">
        <v>678</v>
      </c>
      <c r="N16" s="12"/>
      <c r="O16" s="38" t="str">
        <f t="shared" si="0"/>
        <v>ISLA</v>
      </c>
    </row>
    <row r="17" spans="1:15" x14ac:dyDescent="0.4">
      <c r="A17" s="37">
        <v>16</v>
      </c>
      <c r="B17" s="37" t="s">
        <v>1503</v>
      </c>
      <c r="C17" s="37" t="s">
        <v>2</v>
      </c>
      <c r="D17" s="37" t="s">
        <v>1389</v>
      </c>
      <c r="E17" s="12" t="s">
        <v>1487</v>
      </c>
      <c r="F17" s="83">
        <v>43536.440972222219</v>
      </c>
      <c r="G17" s="83">
        <v>43536.527777777781</v>
      </c>
      <c r="H17" s="84">
        <v>125</v>
      </c>
      <c r="I17" s="12" t="s">
        <v>1504</v>
      </c>
      <c r="J17" s="12" t="s">
        <v>1501</v>
      </c>
      <c r="K17" s="100" t="s">
        <v>1502</v>
      </c>
      <c r="L17" s="37" t="s">
        <v>1600</v>
      </c>
      <c r="M17" s="37" t="s">
        <v>678</v>
      </c>
      <c r="N17" s="12"/>
      <c r="O17" s="38" t="str">
        <f t="shared" si="0"/>
        <v>OSLA</v>
      </c>
    </row>
    <row r="18" spans="1:15" x14ac:dyDescent="0.4">
      <c r="A18" s="37">
        <v>17</v>
      </c>
      <c r="B18" s="37" t="s">
        <v>1478</v>
      </c>
      <c r="C18" s="37" t="s">
        <v>2</v>
      </c>
      <c r="D18" s="37" t="s">
        <v>1389</v>
      </c>
      <c r="E18" s="12" t="s">
        <v>150</v>
      </c>
      <c r="F18" s="83">
        <v>43536.46875</v>
      </c>
      <c r="G18" s="83">
        <v>43536.493055555555</v>
      </c>
      <c r="H18" s="84">
        <v>35</v>
      </c>
      <c r="I18" s="12" t="s">
        <v>1512</v>
      </c>
      <c r="J18" s="12" t="s">
        <v>1486</v>
      </c>
      <c r="K18" s="100" t="s">
        <v>105</v>
      </c>
      <c r="L18" s="37" t="s">
        <v>704</v>
      </c>
      <c r="M18" s="37" t="s">
        <v>678</v>
      </c>
      <c r="N18" s="12"/>
      <c r="O18" s="38" t="str">
        <f t="shared" si="0"/>
        <v>ISLA</v>
      </c>
    </row>
    <row r="19" spans="1:15" x14ac:dyDescent="0.4">
      <c r="A19" s="37">
        <v>18</v>
      </c>
      <c r="B19" s="37" t="s">
        <v>1477</v>
      </c>
      <c r="C19" s="37" t="s">
        <v>2</v>
      </c>
      <c r="D19" s="37" t="s">
        <v>1389</v>
      </c>
      <c r="E19" s="12" t="s">
        <v>1507</v>
      </c>
      <c r="F19" s="83">
        <v>43536.51666666667</v>
      </c>
      <c r="G19" s="83">
        <v>43536.54791666667</v>
      </c>
      <c r="H19" s="84">
        <v>45</v>
      </c>
      <c r="I19" s="12" t="s">
        <v>1510</v>
      </c>
      <c r="J19" s="12" t="s">
        <v>1511</v>
      </c>
      <c r="K19" s="100" t="s">
        <v>105</v>
      </c>
      <c r="L19" s="37" t="s">
        <v>703</v>
      </c>
      <c r="M19" s="37" t="s">
        <v>678</v>
      </c>
      <c r="N19" s="12"/>
      <c r="O19" s="38" t="str">
        <f t="shared" si="0"/>
        <v>ISLA</v>
      </c>
    </row>
    <row r="20" spans="1:15" x14ac:dyDescent="0.4">
      <c r="A20" s="37">
        <v>19</v>
      </c>
      <c r="B20" s="37" t="s">
        <v>1479</v>
      </c>
      <c r="C20" s="37" t="s">
        <v>2</v>
      </c>
      <c r="D20" s="37" t="s">
        <v>1389</v>
      </c>
      <c r="E20" s="12" t="s">
        <v>1507</v>
      </c>
      <c r="F20" s="83">
        <v>43537.381944444445</v>
      </c>
      <c r="G20" s="83">
        <v>43537.40625</v>
      </c>
      <c r="H20" s="84">
        <v>35</v>
      </c>
      <c r="I20" s="12" t="s">
        <v>1513</v>
      </c>
      <c r="J20" s="12" t="s">
        <v>1469</v>
      </c>
      <c r="K20" s="100" t="s">
        <v>105</v>
      </c>
      <c r="L20" s="37" t="s">
        <v>703</v>
      </c>
      <c r="M20" s="37" t="s">
        <v>678</v>
      </c>
      <c r="N20" s="12"/>
      <c r="O20" s="38" t="str">
        <f t="shared" si="0"/>
        <v>ISLA</v>
      </c>
    </row>
    <row r="21" spans="1:15" x14ac:dyDescent="0.4">
      <c r="A21" s="37">
        <v>20</v>
      </c>
      <c r="B21" s="37" t="s">
        <v>1480</v>
      </c>
      <c r="C21" s="37" t="s">
        <v>2</v>
      </c>
      <c r="D21" s="37" t="s">
        <v>1389</v>
      </c>
      <c r="E21" s="12" t="s">
        <v>1487</v>
      </c>
      <c r="F21" s="83">
        <v>43537.440972222219</v>
      </c>
      <c r="G21" s="83">
        <v>43537.451388888891</v>
      </c>
      <c r="H21" s="84">
        <v>15</v>
      </c>
      <c r="I21" s="12" t="s">
        <v>1488</v>
      </c>
      <c r="J21" s="12" t="s">
        <v>1469</v>
      </c>
      <c r="K21" s="100" t="s">
        <v>105</v>
      </c>
      <c r="L21" s="37" t="s">
        <v>1600</v>
      </c>
      <c r="M21" s="37" t="s">
        <v>678</v>
      </c>
      <c r="N21" s="12"/>
      <c r="O21" s="38" t="str">
        <f t="shared" si="0"/>
        <v>ISLA</v>
      </c>
    </row>
    <row r="22" spans="1:15" x14ac:dyDescent="0.4">
      <c r="A22" s="37">
        <v>21</v>
      </c>
      <c r="B22" s="37" t="s">
        <v>1481</v>
      </c>
      <c r="C22" s="37" t="s">
        <v>2</v>
      </c>
      <c r="D22" s="37" t="s">
        <v>1389</v>
      </c>
      <c r="E22" s="12" t="s">
        <v>1489</v>
      </c>
      <c r="F22" s="83">
        <v>43537.550694444442</v>
      </c>
      <c r="G22" s="83">
        <v>43537.673611111109</v>
      </c>
      <c r="H22" s="84">
        <v>177</v>
      </c>
      <c r="I22" s="12" t="s">
        <v>1490</v>
      </c>
      <c r="J22" s="12" t="s">
        <v>1491</v>
      </c>
      <c r="K22" s="100" t="s">
        <v>1596</v>
      </c>
      <c r="L22" s="37" t="s">
        <v>1600</v>
      </c>
      <c r="M22" s="37" t="s">
        <v>678</v>
      </c>
      <c r="N22" s="12"/>
      <c r="O22" s="38" t="str">
        <f t="shared" si="0"/>
        <v>OSLA</v>
      </c>
    </row>
    <row r="23" spans="1:15" x14ac:dyDescent="0.4">
      <c r="A23" s="37">
        <v>22</v>
      </c>
      <c r="B23" s="37" t="s">
        <v>1482</v>
      </c>
      <c r="C23" s="37" t="s">
        <v>14</v>
      </c>
      <c r="D23" s="37" t="s">
        <v>1389</v>
      </c>
      <c r="E23" s="12" t="s">
        <v>75</v>
      </c>
      <c r="F23" s="83">
        <v>43537.614583333336</v>
      </c>
      <c r="G23" s="83">
        <v>43538.487500000003</v>
      </c>
      <c r="H23" s="84">
        <v>1257</v>
      </c>
      <c r="I23" s="12" t="s">
        <v>1492</v>
      </c>
      <c r="J23" s="12" t="s">
        <v>1514</v>
      </c>
      <c r="K23" s="100" t="s">
        <v>1493</v>
      </c>
      <c r="L23" s="37" t="s">
        <v>701</v>
      </c>
      <c r="M23" s="37" t="s">
        <v>678</v>
      </c>
      <c r="N23" s="12"/>
      <c r="O23" s="38" t="str">
        <f t="shared" si="0"/>
        <v>OSLA</v>
      </c>
    </row>
    <row r="24" spans="1:15" x14ac:dyDescent="0.4">
      <c r="A24" s="37">
        <v>23</v>
      </c>
      <c r="B24" s="37" t="s">
        <v>1483</v>
      </c>
      <c r="C24" s="37" t="s">
        <v>2</v>
      </c>
      <c r="D24" s="37" t="s">
        <v>701</v>
      </c>
      <c r="E24" s="12" t="s">
        <v>75</v>
      </c>
      <c r="F24" s="83">
        <v>43539.338888888888</v>
      </c>
      <c r="G24" s="83">
        <v>43539.352777777778</v>
      </c>
      <c r="H24" s="84">
        <v>20</v>
      </c>
      <c r="I24" s="12" t="s">
        <v>1494</v>
      </c>
      <c r="J24" s="12" t="s">
        <v>1495</v>
      </c>
      <c r="K24" s="100" t="s">
        <v>1496</v>
      </c>
      <c r="L24" s="37" t="s">
        <v>701</v>
      </c>
      <c r="M24" s="37" t="s">
        <v>678</v>
      </c>
      <c r="N24" s="12"/>
      <c r="O24" s="38" t="str">
        <f t="shared" si="0"/>
        <v>ISLA</v>
      </c>
    </row>
    <row r="25" spans="1:15" x14ac:dyDescent="0.4">
      <c r="A25" s="37">
        <v>24</v>
      </c>
      <c r="B25" s="37" t="s">
        <v>1518</v>
      </c>
      <c r="C25" s="37" t="s">
        <v>2</v>
      </c>
      <c r="D25" s="37" t="s">
        <v>701</v>
      </c>
      <c r="E25" s="12" t="s">
        <v>1519</v>
      </c>
      <c r="F25" s="83">
        <v>43539.458333333336</v>
      </c>
      <c r="G25" s="83">
        <v>43539.509027777778</v>
      </c>
      <c r="H25" s="84">
        <v>72.999999996973202</v>
      </c>
      <c r="I25" s="12" t="s">
        <v>1520</v>
      </c>
      <c r="J25" s="12" t="s">
        <v>1521</v>
      </c>
      <c r="K25" s="100" t="s">
        <v>433</v>
      </c>
      <c r="L25" s="37" t="s">
        <v>1517</v>
      </c>
      <c r="M25" s="37" t="s">
        <v>678</v>
      </c>
      <c r="N25" s="12"/>
      <c r="O25" s="38" t="str">
        <f t="shared" si="0"/>
        <v>ISLA</v>
      </c>
    </row>
    <row r="26" spans="1:15" x14ac:dyDescent="0.4">
      <c r="A26" s="37">
        <v>25</v>
      </c>
      <c r="B26" s="37" t="s">
        <v>1484</v>
      </c>
      <c r="C26" s="37" t="s">
        <v>2</v>
      </c>
      <c r="D26" s="37" t="s">
        <v>701</v>
      </c>
      <c r="E26" s="12" t="s">
        <v>138</v>
      </c>
      <c r="F26" s="83">
        <v>43539.96875</v>
      </c>
      <c r="G26" s="83">
        <v>43540.009027777778</v>
      </c>
      <c r="H26" s="84">
        <v>58.000000000465661</v>
      </c>
      <c r="I26" s="12" t="s">
        <v>1497</v>
      </c>
      <c r="J26" s="12" t="s">
        <v>1498</v>
      </c>
      <c r="K26" s="100" t="s">
        <v>1499</v>
      </c>
      <c r="L26" s="37" t="s">
        <v>1517</v>
      </c>
      <c r="M26" s="37" t="s">
        <v>678</v>
      </c>
      <c r="N26" s="12"/>
      <c r="O26" s="38" t="str">
        <f t="shared" si="0"/>
        <v>ISLA</v>
      </c>
    </row>
    <row r="27" spans="1:15" x14ac:dyDescent="0.4">
      <c r="A27" s="37">
        <v>26</v>
      </c>
      <c r="B27" s="37" t="s">
        <v>1485</v>
      </c>
      <c r="C27" s="37" t="s">
        <v>2</v>
      </c>
      <c r="D27" s="37" t="s">
        <v>1389</v>
      </c>
      <c r="E27" s="12" t="s">
        <v>1508</v>
      </c>
      <c r="F27" s="83">
        <v>43540.034722222219</v>
      </c>
      <c r="G27" s="83">
        <v>43540.438888888886</v>
      </c>
      <c r="H27" s="84">
        <v>582.00000000069849</v>
      </c>
      <c r="I27" s="12" t="s">
        <v>1515</v>
      </c>
      <c r="J27" s="12" t="s">
        <v>1500</v>
      </c>
      <c r="K27" s="100" t="s">
        <v>219</v>
      </c>
      <c r="L27" s="37" t="s">
        <v>704</v>
      </c>
      <c r="M27" s="37" t="s">
        <v>678</v>
      </c>
      <c r="N27" s="12"/>
      <c r="O27" s="38" t="str">
        <f t="shared" si="0"/>
        <v>OSLA</v>
      </c>
    </row>
    <row r="28" spans="1:15" x14ac:dyDescent="0.4">
      <c r="A28" s="37">
        <v>27</v>
      </c>
      <c r="B28" s="37" t="s">
        <v>1505</v>
      </c>
      <c r="C28" s="37" t="s">
        <v>2</v>
      </c>
      <c r="D28" s="37" t="s">
        <v>701</v>
      </c>
      <c r="E28" s="12" t="s">
        <v>367</v>
      </c>
      <c r="F28" s="83">
        <v>43541.785416666666</v>
      </c>
      <c r="G28" s="83">
        <v>43542.362500000003</v>
      </c>
      <c r="H28" s="84">
        <v>831.00000000558794</v>
      </c>
      <c r="I28" s="12" t="s">
        <v>1516</v>
      </c>
      <c r="J28" s="12" t="s">
        <v>1469</v>
      </c>
      <c r="K28" s="100" t="s">
        <v>569</v>
      </c>
      <c r="L28" s="37" t="s">
        <v>701</v>
      </c>
      <c r="M28" s="37" t="s">
        <v>678</v>
      </c>
      <c r="N28" s="12"/>
      <c r="O28" s="38" t="str">
        <f t="shared" si="0"/>
        <v>OSLA</v>
      </c>
    </row>
    <row r="29" spans="1:15" x14ac:dyDescent="0.4">
      <c r="A29" s="37">
        <v>28</v>
      </c>
      <c r="B29" s="37" t="s">
        <v>1506</v>
      </c>
      <c r="C29" s="37" t="s">
        <v>2</v>
      </c>
      <c r="D29" s="37" t="s">
        <v>1389</v>
      </c>
      <c r="E29" s="12" t="s">
        <v>1509</v>
      </c>
      <c r="F29" s="83">
        <v>43541.868055555555</v>
      </c>
      <c r="G29" s="83">
        <v>43541.888888888891</v>
      </c>
      <c r="H29" s="84">
        <v>30.00000000349246</v>
      </c>
      <c r="I29" s="12" t="s">
        <v>1586</v>
      </c>
      <c r="J29" s="12" t="s">
        <v>1469</v>
      </c>
      <c r="K29" s="100" t="s">
        <v>105</v>
      </c>
      <c r="L29" s="37" t="s">
        <v>703</v>
      </c>
      <c r="M29" s="37" t="s">
        <v>678</v>
      </c>
      <c r="N29" s="12"/>
      <c r="O29" s="38" t="str">
        <f t="shared" si="0"/>
        <v>ISLA</v>
      </c>
    </row>
    <row r="30" spans="1:15" x14ac:dyDescent="0.4">
      <c r="A30" s="37">
        <v>29</v>
      </c>
      <c r="B30" s="37" t="s">
        <v>1522</v>
      </c>
      <c r="C30" s="37" t="s">
        <v>2</v>
      </c>
      <c r="D30" s="37" t="s">
        <v>707</v>
      </c>
      <c r="E30" s="12" t="s">
        <v>147</v>
      </c>
      <c r="F30" s="83">
        <v>43542.563194444447</v>
      </c>
      <c r="G30" s="83">
        <v>43542.582638888889</v>
      </c>
      <c r="H30" s="84">
        <v>27.999999996973202</v>
      </c>
      <c r="I30" s="12" t="s">
        <v>1533</v>
      </c>
      <c r="J30" s="12" t="s">
        <v>1534</v>
      </c>
      <c r="K30" s="100" t="s">
        <v>1535</v>
      </c>
      <c r="L30" s="37" t="s">
        <v>1517</v>
      </c>
      <c r="M30" s="37" t="s">
        <v>678</v>
      </c>
      <c r="N30" s="12"/>
      <c r="O30" s="38" t="str">
        <f t="shared" ref="O30:O56" si="1">IF(AND(C30=$B$60,H30&lt;=$D$60),"ISLA",IF((AND(C30=$B$61,H30&lt;=$D$61)),"ISLA",IF((AND(C30=$B$62,H30&lt;=$D$62)),"ISLA","OSLA")))</f>
        <v>ISLA</v>
      </c>
    </row>
    <row r="31" spans="1:15" x14ac:dyDescent="0.4">
      <c r="A31" s="37">
        <v>30</v>
      </c>
      <c r="B31" s="37" t="s">
        <v>1523</v>
      </c>
      <c r="C31" s="37" t="s">
        <v>2</v>
      </c>
      <c r="D31" s="37" t="s">
        <v>1389</v>
      </c>
      <c r="E31" s="12" t="s">
        <v>40</v>
      </c>
      <c r="F31" s="83">
        <v>43542.614583333336</v>
      </c>
      <c r="G31" s="83">
        <v>43542.75</v>
      </c>
      <c r="H31" s="84">
        <v>194.99999999650754</v>
      </c>
      <c r="I31" s="12" t="s">
        <v>1554</v>
      </c>
      <c r="J31" s="12" t="s">
        <v>1536</v>
      </c>
      <c r="K31" s="100" t="s">
        <v>105</v>
      </c>
      <c r="L31" s="37" t="s">
        <v>701</v>
      </c>
      <c r="M31" s="37" t="s">
        <v>678</v>
      </c>
      <c r="N31" s="12"/>
      <c r="O31" s="38" t="str">
        <f t="shared" si="1"/>
        <v>OSLA</v>
      </c>
    </row>
    <row r="32" spans="1:15" x14ac:dyDescent="0.4">
      <c r="A32" s="37">
        <v>31</v>
      </c>
      <c r="B32" s="37" t="s">
        <v>1550</v>
      </c>
      <c r="C32" s="37" t="s">
        <v>2</v>
      </c>
      <c r="D32" s="37" t="s">
        <v>1389</v>
      </c>
      <c r="E32" s="12" t="s">
        <v>581</v>
      </c>
      <c r="F32" s="83">
        <v>43543.659722222219</v>
      </c>
      <c r="G32" s="83">
        <v>43543.722222222219</v>
      </c>
      <c r="H32" s="84">
        <v>90</v>
      </c>
      <c r="I32" s="12" t="s">
        <v>1537</v>
      </c>
      <c r="J32" s="12" t="s">
        <v>1538</v>
      </c>
      <c r="K32" s="100" t="s">
        <v>1539</v>
      </c>
      <c r="L32" s="37" t="s">
        <v>701</v>
      </c>
      <c r="M32" s="37" t="s">
        <v>678</v>
      </c>
      <c r="N32" s="12"/>
      <c r="O32" s="38" t="str">
        <f>IF(AND(C32=$B$60,H32&lt;=$D$60),"ISLA",IF((AND(C32=$B$61,H32&lt;=$D$61)),"ISLA",IF((AND(C32=$B$62,H32&lt;=$D$62)),"ISLA","OSLA")))</f>
        <v>ISLA</v>
      </c>
    </row>
    <row r="33" spans="1:15" x14ac:dyDescent="0.4">
      <c r="A33" s="37">
        <v>32</v>
      </c>
      <c r="B33" s="37" t="s">
        <v>1550</v>
      </c>
      <c r="C33" s="37" t="s">
        <v>2</v>
      </c>
      <c r="D33" s="37" t="s">
        <v>1389</v>
      </c>
      <c r="E33" s="12" t="s">
        <v>1599</v>
      </c>
      <c r="F33" s="83">
        <v>43543.659722222219</v>
      </c>
      <c r="G33" s="83">
        <v>43543.722222222219</v>
      </c>
      <c r="H33" s="84">
        <v>90</v>
      </c>
      <c r="I33" s="12" t="s">
        <v>1537</v>
      </c>
      <c r="J33" s="12" t="s">
        <v>1538</v>
      </c>
      <c r="K33" s="100" t="s">
        <v>1539</v>
      </c>
      <c r="L33" s="37" t="s">
        <v>701</v>
      </c>
      <c r="M33" s="37" t="s">
        <v>678</v>
      </c>
      <c r="N33" s="12"/>
      <c r="O33" s="38" t="str">
        <f>IF(AND(C33=$B$60,H33&lt;=$D$60),"ISLA",IF((AND(C33=$B$61,H33&lt;=$D$61)),"ISLA",IF((AND(C33=$B$62,H33&lt;=$D$62)),"ISLA","OSLA")))</f>
        <v>ISLA</v>
      </c>
    </row>
    <row r="34" spans="1:15" x14ac:dyDescent="0.4">
      <c r="A34" s="37">
        <v>33</v>
      </c>
      <c r="B34" s="37" t="s">
        <v>1550</v>
      </c>
      <c r="C34" s="37" t="s">
        <v>2</v>
      </c>
      <c r="D34" s="37" t="s">
        <v>1389</v>
      </c>
      <c r="E34" s="12" t="s">
        <v>75</v>
      </c>
      <c r="F34" s="83">
        <v>43543.659722222219</v>
      </c>
      <c r="G34" s="83">
        <v>43543.722222222219</v>
      </c>
      <c r="H34" s="84">
        <v>90</v>
      </c>
      <c r="I34" s="12" t="s">
        <v>1537</v>
      </c>
      <c r="J34" s="12" t="s">
        <v>1538</v>
      </c>
      <c r="K34" s="100" t="s">
        <v>1539</v>
      </c>
      <c r="L34" s="37" t="s">
        <v>701</v>
      </c>
      <c r="M34" s="37" t="s">
        <v>678</v>
      </c>
      <c r="N34" s="12"/>
      <c r="O34" s="38" t="str">
        <f>IF(AND(C34=$B$60,H34&lt;=$D$60),"ISLA",IF((AND(C34=$B$61,H34&lt;=$D$61)),"ISLA",IF((AND(C34=$B$62,H34&lt;=$D$62)),"ISLA","OSLA")))</f>
        <v>ISLA</v>
      </c>
    </row>
    <row r="35" spans="1:15" x14ac:dyDescent="0.4">
      <c r="A35" s="37">
        <v>34</v>
      </c>
      <c r="B35" s="37" t="s">
        <v>1550</v>
      </c>
      <c r="C35" s="37" t="s">
        <v>2</v>
      </c>
      <c r="D35" s="37" t="s">
        <v>1389</v>
      </c>
      <c r="E35" s="12" t="s">
        <v>1598</v>
      </c>
      <c r="F35" s="83">
        <v>43543.659722222219</v>
      </c>
      <c r="G35" s="83">
        <v>43543.722222222219</v>
      </c>
      <c r="H35" s="84">
        <v>90</v>
      </c>
      <c r="I35" s="12" t="s">
        <v>1537</v>
      </c>
      <c r="J35" s="12" t="s">
        <v>1538</v>
      </c>
      <c r="K35" s="100" t="s">
        <v>1539</v>
      </c>
      <c r="L35" s="37" t="s">
        <v>701</v>
      </c>
      <c r="M35" s="37" t="s">
        <v>678</v>
      </c>
      <c r="N35" s="12"/>
      <c r="O35" s="38" t="str">
        <f t="shared" si="1"/>
        <v>ISLA</v>
      </c>
    </row>
    <row r="36" spans="1:15" x14ac:dyDescent="0.4">
      <c r="A36" s="37">
        <v>35</v>
      </c>
      <c r="B36" s="37" t="s">
        <v>1524</v>
      </c>
      <c r="C36" s="37" t="s">
        <v>2</v>
      </c>
      <c r="D36" s="37" t="s">
        <v>1389</v>
      </c>
      <c r="E36" s="12" t="s">
        <v>1509</v>
      </c>
      <c r="F36" s="83">
        <v>43545.318055555559</v>
      </c>
      <c r="G36" s="83">
        <v>43545.363194444442</v>
      </c>
      <c r="H36" s="84">
        <v>64.999999991850927</v>
      </c>
      <c r="I36" s="12" t="s">
        <v>1586</v>
      </c>
      <c r="J36" s="12" t="s">
        <v>1540</v>
      </c>
      <c r="K36" s="100" t="s">
        <v>1541</v>
      </c>
      <c r="L36" s="37" t="s">
        <v>1590</v>
      </c>
      <c r="M36" s="37" t="s">
        <v>678</v>
      </c>
      <c r="N36" s="12"/>
      <c r="O36" s="38" t="str">
        <f t="shared" si="1"/>
        <v>ISLA</v>
      </c>
    </row>
    <row r="37" spans="1:15" x14ac:dyDescent="0.4">
      <c r="A37" s="37">
        <v>36</v>
      </c>
      <c r="B37" s="37" t="s">
        <v>1525</v>
      </c>
      <c r="C37" s="37" t="s">
        <v>2</v>
      </c>
      <c r="D37" s="37" t="s">
        <v>1389</v>
      </c>
      <c r="E37" s="12" t="s">
        <v>299</v>
      </c>
      <c r="F37" s="83">
        <v>43545.859027777777</v>
      </c>
      <c r="G37" s="83">
        <v>43545.905555555553</v>
      </c>
      <c r="H37" s="84">
        <v>66.999999998370185</v>
      </c>
      <c r="I37" s="12" t="s">
        <v>1542</v>
      </c>
      <c r="J37" s="12" t="s">
        <v>1469</v>
      </c>
      <c r="K37" s="100" t="s">
        <v>1255</v>
      </c>
      <c r="L37" s="37" t="s">
        <v>703</v>
      </c>
      <c r="M37" s="37" t="s">
        <v>678</v>
      </c>
      <c r="N37" s="12"/>
      <c r="O37" s="38" t="str">
        <f t="shared" si="1"/>
        <v>ISLA</v>
      </c>
    </row>
    <row r="38" spans="1:15" x14ac:dyDescent="0.4">
      <c r="A38" s="37">
        <v>37</v>
      </c>
      <c r="B38" s="37" t="s">
        <v>1526</v>
      </c>
      <c r="C38" s="37" t="s">
        <v>2</v>
      </c>
      <c r="D38" s="37" t="s">
        <v>701</v>
      </c>
      <c r="E38" s="12" t="s">
        <v>1527</v>
      </c>
      <c r="F38" s="83">
        <v>43545.963194444441</v>
      </c>
      <c r="G38" s="83">
        <v>43546.361111111109</v>
      </c>
      <c r="H38" s="84">
        <v>573.00000000279397</v>
      </c>
      <c r="I38" s="12" t="s">
        <v>1543</v>
      </c>
      <c r="J38" s="12" t="s">
        <v>1521</v>
      </c>
      <c r="K38" s="100" t="s">
        <v>433</v>
      </c>
      <c r="L38" s="37" t="s">
        <v>1517</v>
      </c>
      <c r="M38" s="37" t="s">
        <v>678</v>
      </c>
      <c r="N38" s="12"/>
      <c r="O38" s="38" t="str">
        <f t="shared" si="1"/>
        <v>OSLA</v>
      </c>
    </row>
    <row r="39" spans="1:15" x14ac:dyDescent="0.4">
      <c r="A39" s="37">
        <v>38</v>
      </c>
      <c r="B39" s="37" t="s">
        <v>1528</v>
      </c>
      <c r="C39" s="37" t="s">
        <v>2</v>
      </c>
      <c r="D39" s="37" t="s">
        <v>701</v>
      </c>
      <c r="E39" s="12" t="s">
        <v>33</v>
      </c>
      <c r="F39" s="83">
        <v>43546.077777777777</v>
      </c>
      <c r="G39" s="83">
        <v>43546.694444444445</v>
      </c>
      <c r="H39" s="84">
        <v>888.00000000279397</v>
      </c>
      <c r="I39" s="12" t="s">
        <v>1544</v>
      </c>
      <c r="J39" s="12" t="s">
        <v>1545</v>
      </c>
      <c r="K39" s="100" t="s">
        <v>1546</v>
      </c>
      <c r="L39" s="37" t="s">
        <v>707</v>
      </c>
      <c r="M39" s="37" t="s">
        <v>678</v>
      </c>
      <c r="N39" s="12"/>
      <c r="O39" s="38" t="str">
        <f t="shared" si="1"/>
        <v>OSLA</v>
      </c>
    </row>
    <row r="40" spans="1:15" x14ac:dyDescent="0.4">
      <c r="A40" s="37">
        <v>39</v>
      </c>
      <c r="B40" s="37" t="s">
        <v>1551</v>
      </c>
      <c r="C40" s="37" t="s">
        <v>2</v>
      </c>
      <c r="D40" s="37" t="s">
        <v>1389</v>
      </c>
      <c r="E40" s="12" t="s">
        <v>1601</v>
      </c>
      <c r="F40" s="83">
        <v>43546.416666666664</v>
      </c>
      <c r="G40" s="83">
        <v>43546.48541666667</v>
      </c>
      <c r="H40" s="84">
        <v>99.000000008381903</v>
      </c>
      <c r="I40" s="12" t="s">
        <v>1552</v>
      </c>
      <c r="J40" s="12" t="s">
        <v>68</v>
      </c>
      <c r="K40" s="100" t="s">
        <v>1553</v>
      </c>
      <c r="L40" s="37" t="s">
        <v>704</v>
      </c>
      <c r="M40" s="37" t="s">
        <v>678</v>
      </c>
      <c r="N40" s="12"/>
      <c r="O40" s="38" t="str">
        <f t="shared" si="1"/>
        <v>ISLA</v>
      </c>
    </row>
    <row r="41" spans="1:15" x14ac:dyDescent="0.4">
      <c r="A41" s="37">
        <v>40</v>
      </c>
      <c r="B41" s="37" t="s">
        <v>1529</v>
      </c>
      <c r="C41" s="37" t="s">
        <v>14</v>
      </c>
      <c r="D41" s="37" t="s">
        <v>707</v>
      </c>
      <c r="E41" s="12" t="s">
        <v>147</v>
      </c>
      <c r="F41" s="83">
        <v>43546.534722222219</v>
      </c>
      <c r="G41" s="83">
        <v>43546.61041666667</v>
      </c>
      <c r="H41" s="84">
        <v>109.00000000954606</v>
      </c>
      <c r="I41" s="12" t="s">
        <v>1533</v>
      </c>
      <c r="J41" s="12" t="s">
        <v>1597</v>
      </c>
      <c r="K41" s="100" t="s">
        <v>1549</v>
      </c>
      <c r="L41" s="37" t="s">
        <v>1517</v>
      </c>
      <c r="M41" s="37" t="s">
        <v>678</v>
      </c>
      <c r="N41" s="12"/>
      <c r="O41" s="38" t="str">
        <f t="shared" si="1"/>
        <v>ISLA</v>
      </c>
    </row>
    <row r="42" spans="1:15" x14ac:dyDescent="0.4">
      <c r="A42" s="37">
        <v>41</v>
      </c>
      <c r="B42" s="130" t="s">
        <v>1530</v>
      </c>
      <c r="C42" s="37" t="s">
        <v>2</v>
      </c>
      <c r="D42" s="37" t="s">
        <v>1389</v>
      </c>
      <c r="E42" s="12" t="s">
        <v>150</v>
      </c>
      <c r="F42" s="83">
        <v>43547.5625</v>
      </c>
      <c r="G42" s="83">
        <v>43547.9375</v>
      </c>
      <c r="H42" s="84">
        <v>540</v>
      </c>
      <c r="I42" s="12" t="s">
        <v>1547</v>
      </c>
      <c r="J42" s="12" t="s">
        <v>2310</v>
      </c>
      <c r="K42" s="100" t="s">
        <v>1548</v>
      </c>
      <c r="L42" s="37" t="s">
        <v>704</v>
      </c>
      <c r="M42" s="37" t="s">
        <v>678</v>
      </c>
      <c r="N42" s="12"/>
      <c r="O42" s="38" t="str">
        <f t="shared" si="1"/>
        <v>OSLA</v>
      </c>
    </row>
    <row r="43" spans="1:15" x14ac:dyDescent="0.4">
      <c r="A43" s="37">
        <v>42</v>
      </c>
      <c r="B43" s="37" t="s">
        <v>1531</v>
      </c>
      <c r="C43" s="37" t="s">
        <v>2</v>
      </c>
      <c r="D43" s="37" t="s">
        <v>1389</v>
      </c>
      <c r="E43" s="12" t="s">
        <v>1509</v>
      </c>
      <c r="F43" s="83">
        <v>43548.574999999997</v>
      </c>
      <c r="G43" s="83">
        <v>43549.319444444445</v>
      </c>
      <c r="H43" s="84">
        <f>(G43-F43)*1440</f>
        <v>1072.0000000053551</v>
      </c>
      <c r="I43" s="12" t="s">
        <v>1586</v>
      </c>
      <c r="J43" s="12" t="s">
        <v>1540</v>
      </c>
      <c r="K43" s="100" t="s">
        <v>115</v>
      </c>
      <c r="L43" s="37" t="s">
        <v>1590</v>
      </c>
      <c r="M43" s="37" t="s">
        <v>678</v>
      </c>
      <c r="N43" s="12"/>
      <c r="O43" s="38" t="str">
        <f t="shared" si="1"/>
        <v>OSLA</v>
      </c>
    </row>
    <row r="44" spans="1:15" x14ac:dyDescent="0.4">
      <c r="A44" s="37">
        <v>43</v>
      </c>
      <c r="B44" s="37" t="s">
        <v>1532</v>
      </c>
      <c r="C44" s="37" t="s">
        <v>14</v>
      </c>
      <c r="D44" s="37" t="s">
        <v>707</v>
      </c>
      <c r="E44" s="12" t="s">
        <v>147</v>
      </c>
      <c r="F44" s="83">
        <v>43548.78402777778</v>
      </c>
      <c r="G44" s="83">
        <v>43549.033333333333</v>
      </c>
      <c r="H44" s="84">
        <f>(G44-F44)*1440</f>
        <v>358.99999999674037</v>
      </c>
      <c r="I44" s="12" t="s">
        <v>1533</v>
      </c>
      <c r="J44" s="12" t="s">
        <v>1534</v>
      </c>
      <c r="K44" s="100" t="s">
        <v>1535</v>
      </c>
      <c r="L44" s="37" t="s">
        <v>1517</v>
      </c>
      <c r="M44" s="37" t="s">
        <v>678</v>
      </c>
      <c r="N44" s="12"/>
      <c r="O44" s="38" t="str">
        <f t="shared" si="1"/>
        <v>OSLA</v>
      </c>
    </row>
    <row r="45" spans="1:15" x14ac:dyDescent="0.4">
      <c r="A45" s="37">
        <v>44</v>
      </c>
      <c r="B45" s="37" t="s">
        <v>1555</v>
      </c>
      <c r="C45" s="37" t="s">
        <v>2</v>
      </c>
      <c r="D45" s="37" t="s">
        <v>703</v>
      </c>
      <c r="E45" s="98" t="s">
        <v>2097</v>
      </c>
      <c r="F45" s="83">
        <v>43548.875</v>
      </c>
      <c r="G45" s="83">
        <v>43549.5</v>
      </c>
      <c r="H45" s="84">
        <f t="shared" ref="H45:H53" si="2">(G45-F45)*1440</f>
        <v>900</v>
      </c>
      <c r="I45" s="12" t="s">
        <v>1572</v>
      </c>
      <c r="J45" s="12" t="s">
        <v>1573</v>
      </c>
      <c r="K45" s="12" t="s">
        <v>1574</v>
      </c>
      <c r="L45" s="37" t="s">
        <v>703</v>
      </c>
      <c r="M45" s="37" t="s">
        <v>678</v>
      </c>
      <c r="N45" s="12"/>
      <c r="O45" s="38" t="str">
        <f t="shared" si="1"/>
        <v>OSLA</v>
      </c>
    </row>
    <row r="46" spans="1:15" x14ac:dyDescent="0.4">
      <c r="A46" s="37">
        <v>45</v>
      </c>
      <c r="B46" s="37" t="s">
        <v>1556</v>
      </c>
      <c r="C46" s="37" t="s">
        <v>2</v>
      </c>
      <c r="D46" s="37" t="s">
        <v>1389</v>
      </c>
      <c r="E46" s="12" t="s">
        <v>1566</v>
      </c>
      <c r="F46" s="83">
        <v>43549.104166666664</v>
      </c>
      <c r="G46" s="83">
        <v>43549.479166666664</v>
      </c>
      <c r="H46" s="84">
        <f t="shared" si="2"/>
        <v>540</v>
      </c>
      <c r="I46" s="12" t="s">
        <v>1575</v>
      </c>
      <c r="J46" s="12" t="s">
        <v>1576</v>
      </c>
      <c r="K46" s="12" t="s">
        <v>1577</v>
      </c>
      <c r="L46" s="37" t="s">
        <v>889</v>
      </c>
      <c r="M46" s="37" t="s">
        <v>678</v>
      </c>
      <c r="N46" s="12"/>
      <c r="O46" s="38" t="str">
        <f t="shared" si="1"/>
        <v>OSLA</v>
      </c>
    </row>
    <row r="47" spans="1:15" x14ac:dyDescent="0.4">
      <c r="A47" s="37">
        <v>46</v>
      </c>
      <c r="B47" s="37" t="s">
        <v>1557</v>
      </c>
      <c r="C47" s="37" t="s">
        <v>2</v>
      </c>
      <c r="D47" s="37" t="s">
        <v>1389</v>
      </c>
      <c r="E47" s="12" t="s">
        <v>1567</v>
      </c>
      <c r="F47" s="83">
        <v>43549.113194444442</v>
      </c>
      <c r="G47" s="83">
        <v>43549.298611111109</v>
      </c>
      <c r="H47" s="84">
        <f t="shared" si="2"/>
        <v>267.00000000069849</v>
      </c>
      <c r="I47" s="12" t="s">
        <v>1578</v>
      </c>
      <c r="J47" s="12" t="s">
        <v>1573</v>
      </c>
      <c r="K47" s="12" t="s">
        <v>1574</v>
      </c>
      <c r="L47" s="37" t="s">
        <v>703</v>
      </c>
      <c r="M47" s="37" t="s">
        <v>678</v>
      </c>
      <c r="N47" s="12"/>
      <c r="O47" s="38" t="str">
        <f t="shared" si="1"/>
        <v>OSLA</v>
      </c>
    </row>
    <row r="48" spans="1:15" x14ac:dyDescent="0.4">
      <c r="A48" s="37">
        <v>47</v>
      </c>
      <c r="B48" s="37" t="s">
        <v>1557</v>
      </c>
      <c r="C48" s="37" t="s">
        <v>2</v>
      </c>
      <c r="D48" s="37" t="s">
        <v>1389</v>
      </c>
      <c r="E48" s="12" t="s">
        <v>1568</v>
      </c>
      <c r="F48" s="102">
        <v>43549.113194444442</v>
      </c>
      <c r="G48" s="102">
        <v>43549.298611111109</v>
      </c>
      <c r="H48" s="103">
        <f t="shared" si="2"/>
        <v>267.00000000069849</v>
      </c>
      <c r="I48" s="12" t="s">
        <v>1579</v>
      </c>
      <c r="J48" s="12" t="s">
        <v>1573</v>
      </c>
      <c r="K48" s="12" t="s">
        <v>1574</v>
      </c>
      <c r="L48" s="37" t="s">
        <v>703</v>
      </c>
      <c r="M48" s="37" t="s">
        <v>678</v>
      </c>
      <c r="N48" s="12"/>
      <c r="O48" s="38" t="str">
        <f t="shared" si="1"/>
        <v>OSLA</v>
      </c>
    </row>
    <row r="49" spans="1:15" x14ac:dyDescent="0.4">
      <c r="A49" s="37">
        <v>48</v>
      </c>
      <c r="B49" s="37" t="s">
        <v>1558</v>
      </c>
      <c r="C49" s="37" t="s">
        <v>2</v>
      </c>
      <c r="D49" s="37" t="s">
        <v>701</v>
      </c>
      <c r="E49" s="12" t="s">
        <v>1569</v>
      </c>
      <c r="F49" s="83">
        <v>43550.074999999997</v>
      </c>
      <c r="G49" s="83">
        <v>43550.208333333336</v>
      </c>
      <c r="H49" s="84">
        <f t="shared" si="2"/>
        <v>192.00000000768341</v>
      </c>
      <c r="I49" s="12" t="s">
        <v>1580</v>
      </c>
      <c r="J49" s="12" t="s">
        <v>1581</v>
      </c>
      <c r="K49" s="12" t="s">
        <v>209</v>
      </c>
      <c r="L49" s="37" t="s">
        <v>1517</v>
      </c>
      <c r="M49" s="37" t="s">
        <v>678</v>
      </c>
      <c r="N49" s="12"/>
      <c r="O49" s="38" t="str">
        <f t="shared" si="1"/>
        <v>OSLA</v>
      </c>
    </row>
    <row r="50" spans="1:15" ht="15.45" x14ac:dyDescent="0.4">
      <c r="A50" s="37">
        <v>49</v>
      </c>
      <c r="B50" s="37" t="s">
        <v>1559</v>
      </c>
      <c r="C50" s="37" t="s">
        <v>2</v>
      </c>
      <c r="D50" s="37" t="s">
        <v>701</v>
      </c>
      <c r="E50" s="12" t="s">
        <v>1570</v>
      </c>
      <c r="F50" s="83">
        <v>43550.376388888886</v>
      </c>
      <c r="G50" s="83">
        <v>43550.416666666664</v>
      </c>
      <c r="H50" s="84">
        <f t="shared" si="2"/>
        <v>58.000000000465661</v>
      </c>
      <c r="I50" s="12" t="s">
        <v>1582</v>
      </c>
      <c r="J50" s="12" t="s">
        <v>1583</v>
      </c>
      <c r="K50" s="12" t="s">
        <v>1584</v>
      </c>
      <c r="L50" s="37" t="s">
        <v>707</v>
      </c>
      <c r="M50" s="37" t="s">
        <v>678</v>
      </c>
      <c r="N50" s="12"/>
      <c r="O50" s="38" t="str">
        <f t="shared" si="1"/>
        <v>ISLA</v>
      </c>
    </row>
    <row r="51" spans="1:15" x14ac:dyDescent="0.4">
      <c r="A51" s="37">
        <v>50</v>
      </c>
      <c r="B51" s="37" t="s">
        <v>1560</v>
      </c>
      <c r="C51" s="37" t="s">
        <v>2</v>
      </c>
      <c r="D51" s="37" t="s">
        <v>701</v>
      </c>
      <c r="E51" s="12" t="s">
        <v>1569</v>
      </c>
      <c r="F51" s="83">
        <v>43551.604861111111</v>
      </c>
      <c r="G51" s="83">
        <v>43551.67291666667</v>
      </c>
      <c r="H51" s="84">
        <f t="shared" si="2"/>
        <v>98.000000005122274</v>
      </c>
      <c r="I51" s="12" t="s">
        <v>1580</v>
      </c>
      <c r="J51" s="12" t="s">
        <v>1581</v>
      </c>
      <c r="K51" s="12" t="s">
        <v>209</v>
      </c>
      <c r="L51" s="37" t="s">
        <v>1517</v>
      </c>
      <c r="M51" s="37" t="s">
        <v>678</v>
      </c>
      <c r="N51" s="12"/>
      <c r="O51" s="38" t="str">
        <f t="shared" si="1"/>
        <v>ISLA</v>
      </c>
    </row>
    <row r="52" spans="1:15" x14ac:dyDescent="0.4">
      <c r="A52" s="37">
        <v>51</v>
      </c>
      <c r="B52" s="37" t="s">
        <v>1561</v>
      </c>
      <c r="C52" s="37" t="s">
        <v>14</v>
      </c>
      <c r="D52" s="37" t="s">
        <v>707</v>
      </c>
      <c r="E52" s="12" t="s">
        <v>147</v>
      </c>
      <c r="F52" s="83">
        <v>43552.805555555555</v>
      </c>
      <c r="G52" s="83">
        <v>43552.854166666664</v>
      </c>
      <c r="H52" s="84">
        <f t="shared" si="2"/>
        <v>69.999999997671694</v>
      </c>
      <c r="I52" s="12" t="s">
        <v>1533</v>
      </c>
      <c r="J52" s="12" t="s">
        <v>1534</v>
      </c>
      <c r="K52" s="12" t="s">
        <v>1535</v>
      </c>
      <c r="L52" s="37" t="s">
        <v>1517</v>
      </c>
      <c r="M52" s="37" t="s">
        <v>678</v>
      </c>
      <c r="N52" s="12"/>
      <c r="O52" s="38" t="str">
        <f t="shared" si="1"/>
        <v>ISLA</v>
      </c>
    </row>
    <row r="53" spans="1:15" x14ac:dyDescent="0.4">
      <c r="A53" s="37">
        <v>52</v>
      </c>
      <c r="B53" s="37" t="s">
        <v>1562</v>
      </c>
      <c r="C53" s="37" t="s">
        <v>2</v>
      </c>
      <c r="D53" s="37" t="s">
        <v>701</v>
      </c>
      <c r="E53" s="12" t="s">
        <v>1571</v>
      </c>
      <c r="F53" s="83">
        <v>43553.486111111109</v>
      </c>
      <c r="G53" s="83">
        <v>43558.111111111109</v>
      </c>
      <c r="H53" s="84">
        <f t="shared" si="2"/>
        <v>6660</v>
      </c>
      <c r="I53" s="12" t="s">
        <v>1585</v>
      </c>
      <c r="J53" s="12" t="s">
        <v>1581</v>
      </c>
      <c r="K53" s="12"/>
      <c r="L53" s="37" t="s">
        <v>1517</v>
      </c>
      <c r="M53" s="37" t="s">
        <v>678</v>
      </c>
      <c r="N53" s="12"/>
      <c r="O53" s="38" t="str">
        <f t="shared" si="1"/>
        <v>OSLA</v>
      </c>
    </row>
    <row r="54" spans="1:15" x14ac:dyDescent="0.4">
      <c r="A54" s="37">
        <v>53</v>
      </c>
      <c r="B54" s="37" t="s">
        <v>1563</v>
      </c>
      <c r="C54" s="37" t="s">
        <v>2</v>
      </c>
      <c r="D54" s="37" t="s">
        <v>1389</v>
      </c>
      <c r="E54" s="12" t="s">
        <v>1509</v>
      </c>
      <c r="F54" s="83">
        <v>43553.511111111111</v>
      </c>
      <c r="G54" s="83">
        <v>43553.52847222222</v>
      </c>
      <c r="H54" s="84">
        <v>25</v>
      </c>
      <c r="I54" s="12" t="s">
        <v>1586</v>
      </c>
      <c r="J54" s="12" t="s">
        <v>1587</v>
      </c>
      <c r="K54" s="12" t="s">
        <v>105</v>
      </c>
      <c r="L54" s="37" t="s">
        <v>1590</v>
      </c>
      <c r="M54" s="37" t="s">
        <v>678</v>
      </c>
      <c r="N54" s="12"/>
      <c r="O54" s="38" t="str">
        <f t="shared" si="1"/>
        <v>ISLA</v>
      </c>
    </row>
    <row r="55" spans="1:15" s="73" customFormat="1" x14ac:dyDescent="0.4">
      <c r="A55" s="37">
        <v>54</v>
      </c>
      <c r="B55" s="37" t="s">
        <v>1564</v>
      </c>
      <c r="C55" s="37" t="s">
        <v>2</v>
      </c>
      <c r="D55" s="37" t="s">
        <v>1389</v>
      </c>
      <c r="E55" s="12" t="s">
        <v>299</v>
      </c>
      <c r="F55" s="83">
        <v>43554.847222222219</v>
      </c>
      <c r="G55" s="83">
        <v>43554.861111111109</v>
      </c>
      <c r="H55" s="84">
        <f>(G55-F55)*1440</f>
        <v>20.000000002328306</v>
      </c>
      <c r="I55" s="12" t="s">
        <v>1588</v>
      </c>
      <c r="J55" s="12" t="s">
        <v>1587</v>
      </c>
      <c r="K55" s="12" t="s">
        <v>105</v>
      </c>
      <c r="L55" s="37" t="s">
        <v>703</v>
      </c>
      <c r="M55" s="37" t="s">
        <v>678</v>
      </c>
      <c r="N55" s="12"/>
      <c r="O55" s="38" t="str">
        <f t="shared" si="1"/>
        <v>ISLA</v>
      </c>
    </row>
    <row r="56" spans="1:15" s="73" customFormat="1" x14ac:dyDescent="0.4">
      <c r="A56" s="37">
        <v>55</v>
      </c>
      <c r="B56" s="37" t="s">
        <v>1565</v>
      </c>
      <c r="C56" s="37" t="s">
        <v>2</v>
      </c>
      <c r="D56" s="37" t="s">
        <v>1389</v>
      </c>
      <c r="E56" s="12" t="s">
        <v>1509</v>
      </c>
      <c r="F56" s="83">
        <v>43555.631944444445</v>
      </c>
      <c r="G56" s="83">
        <v>43555.685416666667</v>
      </c>
      <c r="H56" s="84">
        <f>(G56-F56)*1440</f>
        <v>76.999999999534339</v>
      </c>
      <c r="I56" s="12" t="s">
        <v>1586</v>
      </c>
      <c r="J56" s="12" t="s">
        <v>1589</v>
      </c>
      <c r="K56" s="12" t="s">
        <v>959</v>
      </c>
      <c r="L56" s="37" t="s">
        <v>1590</v>
      </c>
      <c r="M56" s="37" t="s">
        <v>678</v>
      </c>
      <c r="N56" s="12"/>
      <c r="O56" s="38" t="str">
        <f t="shared" si="1"/>
        <v>ISLA</v>
      </c>
    </row>
    <row r="57" spans="1:15" s="73" customFormat="1" x14ac:dyDescent="0.4">
      <c r="A57" s="128"/>
      <c r="B57" s="128"/>
      <c r="C57" s="128"/>
      <c r="D57" s="128"/>
    </row>
    <row r="58" spans="1:15" s="73" customFormat="1" x14ac:dyDescent="0.4">
      <c r="A58" s="128"/>
      <c r="B58" s="128"/>
      <c r="C58" s="128"/>
      <c r="D58" s="128"/>
      <c r="J58"/>
    </row>
    <row r="59" spans="1:15" s="73" customFormat="1" x14ac:dyDescent="0.4">
      <c r="A59" s="128"/>
      <c r="B59" s="128"/>
      <c r="C59" s="128"/>
      <c r="D59" s="128"/>
    </row>
    <row r="60" spans="1:15" x14ac:dyDescent="0.4">
      <c r="A60" s="128"/>
      <c r="B60" s="73" t="s">
        <v>2</v>
      </c>
      <c r="C60" s="73" t="s">
        <v>776</v>
      </c>
      <c r="D60" s="73">
        <v>120</v>
      </c>
      <c r="E60" s="73"/>
    </row>
    <row r="61" spans="1:15" x14ac:dyDescent="0.4">
      <c r="A61" s="128"/>
      <c r="B61" s="73" t="s">
        <v>14</v>
      </c>
      <c r="C61" s="73" t="s">
        <v>777</v>
      </c>
      <c r="D61" s="73">
        <v>240</v>
      </c>
      <c r="E61" s="73"/>
    </row>
    <row r="62" spans="1:15" x14ac:dyDescent="0.4">
      <c r="A62" s="128"/>
      <c r="B62" s="73" t="s">
        <v>158</v>
      </c>
      <c r="C62" s="73" t="s">
        <v>778</v>
      </c>
      <c r="D62" s="73">
        <v>2880</v>
      </c>
      <c r="E62" s="73"/>
    </row>
    <row r="63" spans="1:15" x14ac:dyDescent="0.4">
      <c r="A63" s="73"/>
      <c r="B63" s="128"/>
      <c r="C63" s="128"/>
      <c r="D63" s="128"/>
      <c r="E63" s="73"/>
    </row>
    <row r="64" spans="1:15" x14ac:dyDescent="0.4">
      <c r="B64" s="128"/>
      <c r="C64" s="128"/>
      <c r="D64" s="128"/>
    </row>
    <row r="65" spans="2:4" x14ac:dyDescent="0.4">
      <c r="B65" s="128"/>
      <c r="C65" s="128"/>
      <c r="D65" s="128"/>
    </row>
  </sheetData>
  <autoFilter ref="A1:O56" xr:uid="{00000000-0009-0000-0000-000012000000}">
    <sortState xmlns:xlrd2="http://schemas.microsoft.com/office/spreadsheetml/2017/richdata2" ref="A2:O32">
      <sortCondition ref="F1:F32"/>
    </sortState>
  </autoFilter>
  <conditionalFormatting sqref="F2:H56">
    <cfRule type="cellIs" dxfId="66" priority="1" operator="equal">
      <formula>"NOK"</formula>
    </cfRule>
  </conditionalFormatting>
  <dataValidations disablePrompts="1" count="2">
    <dataValidation type="list" allowBlank="1" showInputMessage="1" showErrorMessage="1" promptTitle="Priorité" prompt="La Priorité de l'Incident" sqref="C6:C8" xr:uid="{00000000-0002-0000-1200-000000000000}">
      <formula1>prio</formula1>
    </dataValidation>
    <dataValidation type="list" allowBlank="1" showInputMessage="1" showErrorMessage="1" promptTitle="Priorité" prompt="La Priorité de l'Incident" sqref="C2:C4" xr:uid="{00000000-0002-0000-1200-000001000000}">
      <formula1>g</formula1>
    </dataValidation>
  </dataValidation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tabColor theme="1" tint="0.14999847407452621"/>
  </sheetPr>
  <dimension ref="A1:Q50"/>
  <sheetViews>
    <sheetView workbookViewId="0">
      <selection activeCell="L45" sqref="L45"/>
    </sheetView>
  </sheetViews>
  <sheetFormatPr baseColWidth="10" defaultRowHeight="14.6" x14ac:dyDescent="0.4"/>
  <cols>
    <col min="1" max="1" width="6.3046875" customWidth="1"/>
    <col min="5" max="5" width="43.3046875" customWidth="1"/>
    <col min="6" max="6" width="21.69140625" customWidth="1"/>
    <col min="7" max="7" width="18.3046875" customWidth="1"/>
    <col min="8" max="8" width="11.69140625" customWidth="1"/>
    <col min="9" max="9" width="50.53515625" customWidth="1"/>
    <col min="10" max="10" width="52.84375" customWidth="1"/>
    <col min="11" max="11" width="36.07421875" customWidth="1"/>
    <col min="12" max="12" width="11.4609375" customWidth="1"/>
    <col min="13" max="13" width="8.3046875" customWidth="1"/>
    <col min="14" max="14" width="11.4609375" customWidth="1"/>
    <col min="15" max="15" width="6.84375" bestFit="1" customWidth="1"/>
  </cols>
  <sheetData>
    <row r="1" spans="1:15" x14ac:dyDescent="0.4">
      <c r="A1" s="6" t="s">
        <v>0</v>
      </c>
      <c r="B1" s="6" t="s">
        <v>792</v>
      </c>
      <c r="C1" s="6" t="s">
        <v>793</v>
      </c>
      <c r="D1" s="7" t="s">
        <v>700</v>
      </c>
      <c r="E1" s="7" t="s">
        <v>897</v>
      </c>
      <c r="F1" s="6" t="s">
        <v>795</v>
      </c>
      <c r="G1" s="6" t="s">
        <v>796</v>
      </c>
      <c r="H1" s="6" t="s">
        <v>797</v>
      </c>
      <c r="I1" s="7" t="s">
        <v>898</v>
      </c>
      <c r="J1" s="6" t="s">
        <v>798</v>
      </c>
      <c r="K1" s="6" t="s">
        <v>799</v>
      </c>
      <c r="L1" s="7" t="s">
        <v>699</v>
      </c>
      <c r="M1" s="6" t="s">
        <v>684</v>
      </c>
      <c r="N1" s="7" t="s">
        <v>659</v>
      </c>
      <c r="O1" s="6" t="s">
        <v>888</v>
      </c>
    </row>
    <row r="2" spans="1:15" x14ac:dyDescent="0.4">
      <c r="A2" s="37">
        <v>1</v>
      </c>
      <c r="B2" s="37" t="s">
        <v>1602</v>
      </c>
      <c r="C2" s="37" t="s">
        <v>2</v>
      </c>
      <c r="D2" s="37" t="s">
        <v>1389</v>
      </c>
      <c r="E2" s="12" t="s">
        <v>1727</v>
      </c>
      <c r="F2" s="83">
        <v>43556.461805555555</v>
      </c>
      <c r="G2" s="83">
        <v>43556.506944444445</v>
      </c>
      <c r="H2" s="84">
        <f>(G2-F2)*1440</f>
        <v>65.000000002328306</v>
      </c>
      <c r="I2" s="12" t="s">
        <v>1606</v>
      </c>
      <c r="J2" s="12" t="s">
        <v>1607</v>
      </c>
      <c r="K2" s="12" t="s">
        <v>1608</v>
      </c>
      <c r="L2" s="37" t="s">
        <v>703</v>
      </c>
      <c r="M2" s="37" t="s">
        <v>678</v>
      </c>
      <c r="N2" s="12"/>
      <c r="O2" s="38" t="str">
        <f t="shared" ref="O2:O44" si="0">IF(AND(C2=$B$48,H2&lt;=$D$48),"ISLA",IF((AND(C2=$B$49,H2&lt;=$D$49)),"ISLA",IF((AND(C2=$B$50,H2&lt;=$D$50)),"ISLA","OSLA")))</f>
        <v>ISLA</v>
      </c>
    </row>
    <row r="3" spans="1:15" x14ac:dyDescent="0.4">
      <c r="A3" s="37">
        <v>2</v>
      </c>
      <c r="B3" s="37" t="s">
        <v>1603</v>
      </c>
      <c r="C3" s="37" t="s">
        <v>2</v>
      </c>
      <c r="D3" s="37" t="s">
        <v>1389</v>
      </c>
      <c r="E3" s="12" t="s">
        <v>1509</v>
      </c>
      <c r="F3" s="83">
        <v>43557.184027777781</v>
      </c>
      <c r="G3" s="83">
        <v>43557.326388888891</v>
      </c>
      <c r="H3" s="84">
        <f>(G3-F3)*1440</f>
        <v>204.99999999767169</v>
      </c>
      <c r="I3" s="12" t="s">
        <v>1586</v>
      </c>
      <c r="J3" s="12" t="s">
        <v>1609</v>
      </c>
      <c r="K3" s="12" t="s">
        <v>1541</v>
      </c>
      <c r="L3" s="37" t="s">
        <v>1590</v>
      </c>
      <c r="M3" s="37" t="s">
        <v>678</v>
      </c>
      <c r="N3" s="12"/>
      <c r="O3" s="38" t="str">
        <f t="shared" si="0"/>
        <v>OSLA</v>
      </c>
    </row>
    <row r="4" spans="1:15" x14ac:dyDescent="0.4">
      <c r="A4" s="37">
        <v>3</v>
      </c>
      <c r="B4" s="101" t="s">
        <v>1604</v>
      </c>
      <c r="C4" s="37" t="s">
        <v>2</v>
      </c>
      <c r="D4" s="37" t="s">
        <v>1389</v>
      </c>
      <c r="E4" s="12" t="s">
        <v>1610</v>
      </c>
      <c r="F4" s="83">
        <v>43558.556944444441</v>
      </c>
      <c r="G4" s="83">
        <v>43558.577777777777</v>
      </c>
      <c r="H4" s="84">
        <f>(G4-F4)*1440</f>
        <v>30.00000000349246</v>
      </c>
      <c r="I4" s="12" t="s">
        <v>1183</v>
      </c>
      <c r="J4" s="12" t="s">
        <v>1469</v>
      </c>
      <c r="K4" s="12" t="s">
        <v>42</v>
      </c>
      <c r="L4" s="37" t="s">
        <v>701</v>
      </c>
      <c r="M4" s="37" t="s">
        <v>678</v>
      </c>
      <c r="N4" s="12"/>
      <c r="O4" s="38" t="str">
        <f t="shared" si="0"/>
        <v>ISLA</v>
      </c>
    </row>
    <row r="5" spans="1:15" x14ac:dyDescent="0.4">
      <c r="A5" s="37">
        <v>4</v>
      </c>
      <c r="B5" s="37" t="s">
        <v>1605</v>
      </c>
      <c r="C5" s="37" t="s">
        <v>2</v>
      </c>
      <c r="D5" s="37" t="s">
        <v>1389</v>
      </c>
      <c r="E5" s="12" t="s">
        <v>1611</v>
      </c>
      <c r="F5" s="83">
        <v>43560.26458333333</v>
      </c>
      <c r="G5" s="83">
        <v>43560.345833333333</v>
      </c>
      <c r="H5" s="84">
        <v>117.00000000419095</v>
      </c>
      <c r="I5" s="12" t="s">
        <v>1268</v>
      </c>
      <c r="J5" s="12" t="s">
        <v>1612</v>
      </c>
      <c r="K5" s="12" t="s">
        <v>1613</v>
      </c>
      <c r="L5" s="37" t="s">
        <v>719</v>
      </c>
      <c r="M5" s="37" t="s">
        <v>678</v>
      </c>
      <c r="N5" s="12"/>
      <c r="O5" s="38" t="str">
        <f t="shared" si="0"/>
        <v>ISLA</v>
      </c>
    </row>
    <row r="6" spans="1:15" x14ac:dyDescent="0.4">
      <c r="A6" s="37">
        <v>5</v>
      </c>
      <c r="B6" s="37" t="s">
        <v>1614</v>
      </c>
      <c r="C6" s="37" t="s">
        <v>2</v>
      </c>
      <c r="D6" s="37" t="s">
        <v>1389</v>
      </c>
      <c r="E6" s="12" t="s">
        <v>1628</v>
      </c>
      <c r="F6" s="83">
        <v>43564.420138888891</v>
      </c>
      <c r="G6" s="83">
        <v>43564.445138888892</v>
      </c>
      <c r="H6" s="84">
        <v>25</v>
      </c>
      <c r="I6" s="12" t="s">
        <v>1629</v>
      </c>
      <c r="J6" s="12" t="s">
        <v>1630</v>
      </c>
      <c r="K6" s="100" t="s">
        <v>105</v>
      </c>
      <c r="L6" s="37" t="s">
        <v>703</v>
      </c>
      <c r="M6" s="37" t="s">
        <v>678</v>
      </c>
      <c r="N6" s="12"/>
      <c r="O6" s="38" t="str">
        <f t="shared" si="0"/>
        <v>ISLA</v>
      </c>
    </row>
    <row r="7" spans="1:15" x14ac:dyDescent="0.4">
      <c r="A7" s="37">
        <v>6</v>
      </c>
      <c r="B7" s="37" t="s">
        <v>1615</v>
      </c>
      <c r="C7" s="37" t="s">
        <v>2</v>
      </c>
      <c r="D7" s="37" t="s">
        <v>701</v>
      </c>
      <c r="E7" s="12" t="s">
        <v>75</v>
      </c>
      <c r="F7" s="83">
        <v>43565.334722222222</v>
      </c>
      <c r="G7" s="83">
        <v>43565.34375</v>
      </c>
      <c r="H7" s="84">
        <v>13.000000000465661</v>
      </c>
      <c r="I7" s="12" t="s">
        <v>1494</v>
      </c>
      <c r="J7" s="12" t="s">
        <v>1631</v>
      </c>
      <c r="K7" s="100" t="s">
        <v>1632</v>
      </c>
      <c r="L7" s="37" t="s">
        <v>701</v>
      </c>
      <c r="M7" s="37" t="s">
        <v>678</v>
      </c>
      <c r="N7" s="12"/>
      <c r="O7" s="38" t="str">
        <f t="shared" si="0"/>
        <v>ISLA</v>
      </c>
    </row>
    <row r="8" spans="1:15" x14ac:dyDescent="0.4">
      <c r="A8" s="37">
        <v>7</v>
      </c>
      <c r="B8" s="37" t="s">
        <v>1616</v>
      </c>
      <c r="C8" s="37" t="s">
        <v>2</v>
      </c>
      <c r="D8" s="37" t="s">
        <v>1389</v>
      </c>
      <c r="E8" s="12" t="s">
        <v>1633</v>
      </c>
      <c r="F8" s="83">
        <v>43565.383333333331</v>
      </c>
      <c r="G8" s="83">
        <v>43565.399305555555</v>
      </c>
      <c r="H8" s="84">
        <v>23.000000001629815</v>
      </c>
      <c r="I8" s="12" t="s">
        <v>1586</v>
      </c>
      <c r="J8" s="12" t="s">
        <v>1729</v>
      </c>
      <c r="K8" s="100" t="s">
        <v>1728</v>
      </c>
      <c r="L8" s="37" t="s">
        <v>1590</v>
      </c>
      <c r="M8" s="37" t="s">
        <v>678</v>
      </c>
      <c r="N8" s="12"/>
      <c r="O8" s="38" t="str">
        <f t="shared" si="0"/>
        <v>ISLA</v>
      </c>
    </row>
    <row r="9" spans="1:15" x14ac:dyDescent="0.4">
      <c r="A9" s="37">
        <v>8</v>
      </c>
      <c r="B9" s="37" t="s">
        <v>1655</v>
      </c>
      <c r="C9" s="37" t="s">
        <v>2</v>
      </c>
      <c r="D9" s="37" t="s">
        <v>1389</v>
      </c>
      <c r="E9" s="12" t="s">
        <v>1749</v>
      </c>
      <c r="F9" s="83">
        <v>43565.423611111109</v>
      </c>
      <c r="G9" s="83">
        <v>43565.440972222219</v>
      </c>
      <c r="H9" s="84">
        <v>24.999999997671694</v>
      </c>
      <c r="I9" s="12" t="s">
        <v>1634</v>
      </c>
      <c r="J9" s="12" t="s">
        <v>1635</v>
      </c>
      <c r="K9" s="100" t="s">
        <v>1636</v>
      </c>
      <c r="L9" s="37" t="s">
        <v>704</v>
      </c>
      <c r="M9" s="37" t="s">
        <v>678</v>
      </c>
      <c r="N9" s="12"/>
      <c r="O9" s="38" t="str">
        <f t="shared" si="0"/>
        <v>ISLA</v>
      </c>
    </row>
    <row r="10" spans="1:15" x14ac:dyDescent="0.4">
      <c r="A10" s="37">
        <v>9</v>
      </c>
      <c r="B10" s="37" t="s">
        <v>1617</v>
      </c>
      <c r="C10" s="37" t="s">
        <v>2</v>
      </c>
      <c r="D10" s="37" t="s">
        <v>701</v>
      </c>
      <c r="E10" s="12" t="s">
        <v>1637</v>
      </c>
      <c r="F10" s="83">
        <v>43565.48333333333</v>
      </c>
      <c r="G10" s="83">
        <v>43565.59375</v>
      </c>
      <c r="H10" s="84">
        <v>159.00000000488944</v>
      </c>
      <c r="I10" s="12" t="s">
        <v>1520</v>
      </c>
      <c r="J10" s="12" t="s">
        <v>1581</v>
      </c>
      <c r="K10" s="100" t="s">
        <v>88</v>
      </c>
      <c r="L10" s="37" t="s">
        <v>1517</v>
      </c>
      <c r="M10" s="37" t="s">
        <v>678</v>
      </c>
      <c r="N10" s="12"/>
      <c r="O10" s="38" t="str">
        <f t="shared" si="0"/>
        <v>OSLA</v>
      </c>
    </row>
    <row r="11" spans="1:15" x14ac:dyDescent="0.4">
      <c r="A11" s="37">
        <v>10</v>
      </c>
      <c r="B11" s="37" t="s">
        <v>1618</v>
      </c>
      <c r="C11" s="37" t="s">
        <v>14</v>
      </c>
      <c r="D11" s="37" t="s">
        <v>1389</v>
      </c>
      <c r="E11" s="12" t="s">
        <v>1684</v>
      </c>
      <c r="F11" s="83">
        <v>43565.71597222222</v>
      </c>
      <c r="G11" s="83">
        <v>43565.816666666666</v>
      </c>
      <c r="H11" s="84">
        <v>145.00000000116415</v>
      </c>
      <c r="I11" s="12" t="s">
        <v>1638</v>
      </c>
      <c r="J11" s="12" t="s">
        <v>1730</v>
      </c>
      <c r="K11" s="100" t="s">
        <v>105</v>
      </c>
      <c r="L11" s="37" t="s">
        <v>1731</v>
      </c>
      <c r="M11" s="37" t="s">
        <v>678</v>
      </c>
      <c r="N11" s="12"/>
      <c r="O11" s="38" t="str">
        <f t="shared" si="0"/>
        <v>ISLA</v>
      </c>
    </row>
    <row r="12" spans="1:15" x14ac:dyDescent="0.4">
      <c r="A12" s="37">
        <v>11</v>
      </c>
      <c r="B12" s="37" t="s">
        <v>1683</v>
      </c>
      <c r="C12" s="37" t="s">
        <v>2</v>
      </c>
      <c r="D12" s="37" t="s">
        <v>1389</v>
      </c>
      <c r="E12" s="12" t="s">
        <v>33</v>
      </c>
      <c r="F12" s="83">
        <v>43565.791666666664</v>
      </c>
      <c r="G12" s="83">
        <v>43566.986805555556</v>
      </c>
      <c r="H12" s="84">
        <v>1721.0000000044238</v>
      </c>
      <c r="I12" s="12" t="s">
        <v>1747</v>
      </c>
      <c r="J12" s="12" t="s">
        <v>1732</v>
      </c>
      <c r="K12" s="100" t="s">
        <v>1733</v>
      </c>
      <c r="L12" s="37" t="s">
        <v>707</v>
      </c>
      <c r="M12" s="37" t="s">
        <v>678</v>
      </c>
      <c r="N12" s="12"/>
      <c r="O12" s="38" t="str">
        <f t="shared" si="0"/>
        <v>OSLA</v>
      </c>
    </row>
    <row r="13" spans="1:15" x14ac:dyDescent="0.4">
      <c r="A13" s="37">
        <v>12</v>
      </c>
      <c r="B13" s="37" t="s">
        <v>1619</v>
      </c>
      <c r="C13" s="37" t="s">
        <v>2</v>
      </c>
      <c r="D13" s="37" t="s">
        <v>1389</v>
      </c>
      <c r="E13" s="12" t="s">
        <v>1628</v>
      </c>
      <c r="F13" s="83">
        <v>43566.402777777781</v>
      </c>
      <c r="G13" s="83">
        <v>43566.409722222219</v>
      </c>
      <c r="H13" s="84">
        <v>9.9999999906867743</v>
      </c>
      <c r="I13" s="12" t="s">
        <v>1639</v>
      </c>
      <c r="J13" s="12" t="s">
        <v>1630</v>
      </c>
      <c r="K13" s="100" t="s">
        <v>105</v>
      </c>
      <c r="L13" s="37" t="s">
        <v>703</v>
      </c>
      <c r="M13" s="37" t="s">
        <v>678</v>
      </c>
      <c r="N13" s="12"/>
      <c r="O13" s="38" t="str">
        <f t="shared" si="0"/>
        <v>ISLA</v>
      </c>
    </row>
    <row r="14" spans="1:15" x14ac:dyDescent="0.4">
      <c r="A14" s="37">
        <v>13</v>
      </c>
      <c r="B14" s="37" t="s">
        <v>1620</v>
      </c>
      <c r="C14" s="37" t="s">
        <v>2</v>
      </c>
      <c r="D14" s="37" t="s">
        <v>1389</v>
      </c>
      <c r="E14" s="12" t="s">
        <v>1646</v>
      </c>
      <c r="F14" s="83">
        <v>43566.375</v>
      </c>
      <c r="G14" s="83">
        <v>43566.442361111112</v>
      </c>
      <c r="H14" s="84">
        <v>97.000000001862645</v>
      </c>
      <c r="I14" s="12" t="s">
        <v>1640</v>
      </c>
      <c r="J14" s="12" t="s">
        <v>1469</v>
      </c>
      <c r="K14" s="100" t="s">
        <v>105</v>
      </c>
      <c r="L14" s="37" t="s">
        <v>707</v>
      </c>
      <c r="M14" s="37" t="s">
        <v>678</v>
      </c>
      <c r="N14" s="12"/>
      <c r="O14" s="38" t="str">
        <f t="shared" si="0"/>
        <v>ISLA</v>
      </c>
    </row>
    <row r="15" spans="1:15" x14ac:dyDescent="0.4">
      <c r="A15" s="37">
        <v>14</v>
      </c>
      <c r="B15" s="37" t="s">
        <v>1621</v>
      </c>
      <c r="C15" s="37" t="s">
        <v>2</v>
      </c>
      <c r="D15" s="37" t="s">
        <v>1389</v>
      </c>
      <c r="E15" s="12" t="s">
        <v>1641</v>
      </c>
      <c r="F15" s="83">
        <v>43566.510416666664</v>
      </c>
      <c r="G15" s="83">
        <v>43566.590277777781</v>
      </c>
      <c r="H15" s="84">
        <v>115.00000000814907</v>
      </c>
      <c r="I15" s="12" t="s">
        <v>1642</v>
      </c>
      <c r="J15" s="12" t="s">
        <v>1643</v>
      </c>
      <c r="K15" s="100" t="s">
        <v>1644</v>
      </c>
      <c r="L15" s="37" t="s">
        <v>1734</v>
      </c>
      <c r="M15" s="37" t="s">
        <v>678</v>
      </c>
      <c r="N15" s="12"/>
      <c r="O15" s="38" t="str">
        <f t="shared" si="0"/>
        <v>ISLA</v>
      </c>
    </row>
    <row r="16" spans="1:15" x14ac:dyDescent="0.4">
      <c r="A16" s="37">
        <v>15</v>
      </c>
      <c r="B16" s="37" t="s">
        <v>1622</v>
      </c>
      <c r="C16" s="37" t="s">
        <v>2</v>
      </c>
      <c r="D16" s="37" t="s">
        <v>1389</v>
      </c>
      <c r="E16" s="12" t="s">
        <v>1684</v>
      </c>
      <c r="F16" s="83">
        <v>43566.770833333336</v>
      </c>
      <c r="G16" s="83">
        <v>43566.784722222219</v>
      </c>
      <c r="H16" s="84">
        <v>19.999999991850927</v>
      </c>
      <c r="I16" s="12" t="s">
        <v>1638</v>
      </c>
      <c r="J16" s="12" t="s">
        <v>1469</v>
      </c>
      <c r="K16" s="100" t="s">
        <v>105</v>
      </c>
      <c r="L16" s="37" t="s">
        <v>704</v>
      </c>
      <c r="M16" s="37" t="s">
        <v>678</v>
      </c>
      <c r="N16" s="12"/>
      <c r="O16" s="38" t="str">
        <f t="shared" si="0"/>
        <v>ISLA</v>
      </c>
    </row>
    <row r="17" spans="1:15" x14ac:dyDescent="0.4">
      <c r="A17" s="37">
        <v>16</v>
      </c>
      <c r="B17" s="37" t="s">
        <v>1623</v>
      </c>
      <c r="C17" s="37" t="s">
        <v>14</v>
      </c>
      <c r="D17" s="37" t="s">
        <v>1389</v>
      </c>
      <c r="E17" s="12" t="s">
        <v>1628</v>
      </c>
      <c r="F17" s="83">
        <v>43567.680555555555</v>
      </c>
      <c r="G17" s="83">
        <v>43567.899305555555</v>
      </c>
      <c r="H17" s="84">
        <v>315</v>
      </c>
      <c r="I17" s="12" t="s">
        <v>1645</v>
      </c>
      <c r="J17" s="12" t="s">
        <v>1735</v>
      </c>
      <c r="K17" s="100" t="s">
        <v>1688</v>
      </c>
      <c r="L17" s="37" t="s">
        <v>889</v>
      </c>
      <c r="M17" s="37" t="s">
        <v>678</v>
      </c>
      <c r="N17" s="12"/>
      <c r="O17" s="38" t="str">
        <f t="shared" si="0"/>
        <v>OSLA</v>
      </c>
    </row>
    <row r="18" spans="1:15" x14ac:dyDescent="0.4">
      <c r="A18" s="37">
        <v>17</v>
      </c>
      <c r="B18" s="37" t="s">
        <v>1624</v>
      </c>
      <c r="C18" s="37" t="s">
        <v>2</v>
      </c>
      <c r="D18" s="37" t="s">
        <v>1389</v>
      </c>
      <c r="E18" s="12" t="s">
        <v>1646</v>
      </c>
      <c r="F18" s="83">
        <v>43567.70208333333</v>
      </c>
      <c r="G18" s="83">
        <v>43568.443749999999</v>
      </c>
      <c r="H18" s="84">
        <v>1068.000000002794</v>
      </c>
      <c r="I18" s="12" t="s">
        <v>1647</v>
      </c>
      <c r="J18" s="12" t="s">
        <v>1648</v>
      </c>
      <c r="K18" s="100" t="s">
        <v>1535</v>
      </c>
      <c r="L18" s="37" t="s">
        <v>1517</v>
      </c>
      <c r="M18" s="37" t="s">
        <v>678</v>
      </c>
      <c r="N18" s="12"/>
      <c r="O18" s="38" t="str">
        <f t="shared" si="0"/>
        <v>OSLA</v>
      </c>
    </row>
    <row r="19" spans="1:15" x14ac:dyDescent="0.4">
      <c r="A19" s="37">
        <v>18</v>
      </c>
      <c r="B19" s="37" t="s">
        <v>1625</v>
      </c>
      <c r="C19" s="37" t="s">
        <v>2</v>
      </c>
      <c r="D19" s="37" t="s">
        <v>1389</v>
      </c>
      <c r="E19" s="12" t="s">
        <v>1742</v>
      </c>
      <c r="F19" s="83">
        <v>43568.384027777778</v>
      </c>
      <c r="G19" s="83">
        <v>43568.468055555553</v>
      </c>
      <c r="H19" s="84">
        <v>120.99999999627471</v>
      </c>
      <c r="I19" s="12" t="s">
        <v>1649</v>
      </c>
      <c r="J19" s="12" t="s">
        <v>1650</v>
      </c>
      <c r="K19" s="100" t="s">
        <v>1651</v>
      </c>
      <c r="L19" s="37" t="s">
        <v>1736</v>
      </c>
      <c r="M19" s="37" t="s">
        <v>678</v>
      </c>
      <c r="N19" s="12"/>
      <c r="O19" s="38" t="str">
        <f t="shared" si="0"/>
        <v>OSLA</v>
      </c>
    </row>
    <row r="20" spans="1:15" x14ac:dyDescent="0.4">
      <c r="A20" s="37">
        <v>19</v>
      </c>
      <c r="B20" s="37" t="s">
        <v>1626</v>
      </c>
      <c r="C20" s="37" t="s">
        <v>2</v>
      </c>
      <c r="D20" s="37" t="s">
        <v>707</v>
      </c>
      <c r="E20" s="12" t="s">
        <v>147</v>
      </c>
      <c r="F20" s="83">
        <v>43568.555555555555</v>
      </c>
      <c r="G20" s="83">
        <v>43568.806250000001</v>
      </c>
      <c r="H20" s="84">
        <v>361.00000000325963</v>
      </c>
      <c r="I20" s="12" t="s">
        <v>1533</v>
      </c>
      <c r="J20" s="12" t="s">
        <v>1534</v>
      </c>
      <c r="K20" s="100" t="s">
        <v>1535</v>
      </c>
      <c r="L20" s="37" t="s">
        <v>1517</v>
      </c>
      <c r="M20" s="37" t="s">
        <v>678</v>
      </c>
      <c r="N20" s="12"/>
      <c r="O20" s="38" t="str">
        <f t="shared" si="0"/>
        <v>OSLA</v>
      </c>
    </row>
    <row r="21" spans="1:15" x14ac:dyDescent="0.4">
      <c r="A21" s="37">
        <v>20</v>
      </c>
      <c r="B21" s="37" t="s">
        <v>1627</v>
      </c>
      <c r="C21" s="37" t="s">
        <v>2</v>
      </c>
      <c r="D21" s="37" t="s">
        <v>701</v>
      </c>
      <c r="E21" s="12" t="s">
        <v>1652</v>
      </c>
      <c r="F21" s="83">
        <v>43569.265972222223</v>
      </c>
      <c r="G21" s="83">
        <v>43569.504861111112</v>
      </c>
      <c r="H21" s="84">
        <v>344.00000000023283</v>
      </c>
      <c r="I21" s="12" t="s">
        <v>1750</v>
      </c>
      <c r="J21" s="12" t="s">
        <v>1653</v>
      </c>
      <c r="K21" s="100" t="s">
        <v>1654</v>
      </c>
      <c r="L21" s="37" t="s">
        <v>1656</v>
      </c>
      <c r="M21" s="37" t="s">
        <v>678</v>
      </c>
      <c r="N21" s="12"/>
      <c r="O21" s="38" t="str">
        <f t="shared" si="0"/>
        <v>OSLA</v>
      </c>
    </row>
    <row r="22" spans="1:15" x14ac:dyDescent="0.4">
      <c r="A22" s="37">
        <v>21</v>
      </c>
      <c r="B22" s="37" t="s">
        <v>1657</v>
      </c>
      <c r="C22" s="37" t="s">
        <v>2</v>
      </c>
      <c r="D22" s="37" t="s">
        <v>707</v>
      </c>
      <c r="E22" s="12" t="s">
        <v>147</v>
      </c>
      <c r="F22" s="83">
        <v>43569.477777777778</v>
      </c>
      <c r="G22" s="83">
        <v>43570.211111111108</v>
      </c>
      <c r="H22" s="84">
        <f t="shared" ref="H22:H31" si="1">(G22-F22)*1440</f>
        <v>1055.9999999951106</v>
      </c>
      <c r="I22" s="12" t="s">
        <v>1533</v>
      </c>
      <c r="J22" s="12" t="s">
        <v>1534</v>
      </c>
      <c r="K22" s="100" t="s">
        <v>1535</v>
      </c>
      <c r="L22" s="37" t="s">
        <v>1656</v>
      </c>
      <c r="M22" s="37" t="s">
        <v>678</v>
      </c>
      <c r="N22" s="12"/>
      <c r="O22" s="38" t="str">
        <f t="shared" si="0"/>
        <v>OSLA</v>
      </c>
    </row>
    <row r="23" spans="1:15" x14ac:dyDescent="0.4">
      <c r="A23" s="37">
        <v>22</v>
      </c>
      <c r="B23" s="37" t="s">
        <v>1658</v>
      </c>
      <c r="C23" s="37" t="s">
        <v>2</v>
      </c>
      <c r="D23" s="37" t="s">
        <v>1389</v>
      </c>
      <c r="E23" s="12" t="s">
        <v>1684</v>
      </c>
      <c r="F23" s="83">
        <v>43570.420138888891</v>
      </c>
      <c r="G23" s="83">
        <v>43570.541666666664</v>
      </c>
      <c r="H23" s="84">
        <f t="shared" si="1"/>
        <v>174.99999999417923</v>
      </c>
      <c r="I23" s="12" t="s">
        <v>1638</v>
      </c>
      <c r="J23" s="12" t="s">
        <v>1737</v>
      </c>
      <c r="K23" s="100" t="s">
        <v>105</v>
      </c>
      <c r="L23" s="37" t="s">
        <v>889</v>
      </c>
      <c r="M23" s="37" t="s">
        <v>678</v>
      </c>
      <c r="N23" s="12"/>
      <c r="O23" s="38" t="str">
        <f t="shared" si="0"/>
        <v>OSLA</v>
      </c>
    </row>
    <row r="24" spans="1:15" x14ac:dyDescent="0.4">
      <c r="A24" s="37">
        <v>23</v>
      </c>
      <c r="B24" s="37" t="s">
        <v>1685</v>
      </c>
      <c r="C24" s="37" t="s">
        <v>14</v>
      </c>
      <c r="D24" s="37" t="s">
        <v>1389</v>
      </c>
      <c r="E24" s="12" t="s">
        <v>44</v>
      </c>
      <c r="F24" s="83">
        <v>43570.359027777777</v>
      </c>
      <c r="G24" s="83">
        <v>43571.420138888891</v>
      </c>
      <c r="H24" s="84">
        <f t="shared" si="1"/>
        <v>1528.0000000039581</v>
      </c>
      <c r="I24" s="12" t="s">
        <v>1686</v>
      </c>
      <c r="J24" s="12" t="s">
        <v>1687</v>
      </c>
      <c r="K24" s="100" t="s">
        <v>1688</v>
      </c>
      <c r="L24" s="37" t="s">
        <v>889</v>
      </c>
      <c r="M24" s="37" t="s">
        <v>678</v>
      </c>
      <c r="N24" s="12"/>
      <c r="O24" s="38" t="str">
        <f t="shared" si="0"/>
        <v>OSLA</v>
      </c>
    </row>
    <row r="25" spans="1:15" x14ac:dyDescent="0.4">
      <c r="A25" s="37">
        <v>24</v>
      </c>
      <c r="B25" s="37" t="s">
        <v>1659</v>
      </c>
      <c r="C25" s="37" t="s">
        <v>2</v>
      </c>
      <c r="D25" s="37" t="s">
        <v>1389</v>
      </c>
      <c r="E25" s="12" t="s">
        <v>1738</v>
      </c>
      <c r="F25" s="83">
        <v>43571.208333333336</v>
      </c>
      <c r="G25" s="83">
        <v>43571.831250000003</v>
      </c>
      <c r="H25" s="84">
        <f t="shared" si="1"/>
        <v>897.00000000069849</v>
      </c>
      <c r="I25" s="12" t="s">
        <v>1669</v>
      </c>
      <c r="J25" s="12" t="s">
        <v>1670</v>
      </c>
      <c r="K25" s="100" t="s">
        <v>1739</v>
      </c>
      <c r="L25" s="37" t="s">
        <v>701</v>
      </c>
      <c r="M25" s="37" t="s">
        <v>678</v>
      </c>
      <c r="N25" s="12"/>
      <c r="O25" s="38" t="str">
        <f t="shared" si="0"/>
        <v>OSLA</v>
      </c>
    </row>
    <row r="26" spans="1:15" x14ac:dyDescent="0.4">
      <c r="A26" s="37">
        <v>25</v>
      </c>
      <c r="B26" s="37" t="s">
        <v>1660</v>
      </c>
      <c r="C26" s="37" t="s">
        <v>2</v>
      </c>
      <c r="D26" s="37" t="s">
        <v>1389</v>
      </c>
      <c r="E26" s="12" t="s">
        <v>1671</v>
      </c>
      <c r="F26" s="83">
        <v>43571.708333333336</v>
      </c>
      <c r="G26" s="83">
        <v>43571.772222222222</v>
      </c>
      <c r="H26" s="84">
        <f t="shared" si="1"/>
        <v>91.999999996041879</v>
      </c>
      <c r="I26" s="12" t="s">
        <v>1672</v>
      </c>
      <c r="J26" s="12" t="s">
        <v>1469</v>
      </c>
      <c r="K26" s="100" t="s">
        <v>105</v>
      </c>
      <c r="L26" s="37" t="s">
        <v>889</v>
      </c>
      <c r="M26" s="37" t="s">
        <v>678</v>
      </c>
      <c r="N26" s="12"/>
      <c r="O26" s="38" t="str">
        <f t="shared" si="0"/>
        <v>ISLA</v>
      </c>
    </row>
    <row r="27" spans="1:15" x14ac:dyDescent="0.4">
      <c r="A27" s="37">
        <v>26</v>
      </c>
      <c r="B27" s="37" t="s">
        <v>1661</v>
      </c>
      <c r="C27" s="37" t="s">
        <v>2</v>
      </c>
      <c r="D27" s="37" t="s">
        <v>1389</v>
      </c>
      <c r="E27" s="12" t="s">
        <v>1673</v>
      </c>
      <c r="F27" s="102">
        <v>43572.416666666664</v>
      </c>
      <c r="G27" s="83">
        <v>43578.563194444447</v>
      </c>
      <c r="H27" s="84">
        <f t="shared" si="1"/>
        <v>8851.0000000067521</v>
      </c>
      <c r="I27" s="12" t="s">
        <v>1674</v>
      </c>
      <c r="J27" s="12" t="s">
        <v>1689</v>
      </c>
      <c r="K27" s="100" t="s">
        <v>1690</v>
      </c>
      <c r="L27" s="37" t="s">
        <v>707</v>
      </c>
      <c r="M27" s="37" t="s">
        <v>678</v>
      </c>
      <c r="N27" s="12"/>
      <c r="O27" s="38" t="str">
        <f t="shared" si="0"/>
        <v>OSLA</v>
      </c>
    </row>
    <row r="28" spans="1:15" x14ac:dyDescent="0.4">
      <c r="A28" s="37">
        <v>27</v>
      </c>
      <c r="B28" s="37" t="s">
        <v>1662</v>
      </c>
      <c r="C28" s="37" t="s">
        <v>14</v>
      </c>
      <c r="D28" s="37" t="s">
        <v>707</v>
      </c>
      <c r="E28" s="12" t="s">
        <v>147</v>
      </c>
      <c r="F28" s="83">
        <v>43572.5</v>
      </c>
      <c r="G28" s="83">
        <v>43572.580555555556</v>
      </c>
      <c r="H28" s="84">
        <f t="shared" si="1"/>
        <v>116.00000000093132</v>
      </c>
      <c r="I28" s="12" t="s">
        <v>1533</v>
      </c>
      <c r="J28" s="12" t="s">
        <v>1534</v>
      </c>
      <c r="K28" s="100" t="s">
        <v>1535</v>
      </c>
      <c r="L28" s="37" t="s">
        <v>1656</v>
      </c>
      <c r="M28" s="37" t="s">
        <v>678</v>
      </c>
      <c r="N28" s="12"/>
      <c r="O28" s="38" t="str">
        <f t="shared" si="0"/>
        <v>ISLA</v>
      </c>
    </row>
    <row r="29" spans="1:15" x14ac:dyDescent="0.4">
      <c r="A29" s="37">
        <v>28</v>
      </c>
      <c r="B29" s="37" t="s">
        <v>1663</v>
      </c>
      <c r="C29" s="37" t="s">
        <v>2</v>
      </c>
      <c r="D29" s="37" t="s">
        <v>1389</v>
      </c>
      <c r="E29" s="12" t="s">
        <v>1675</v>
      </c>
      <c r="F29" s="83">
        <v>43573.03125</v>
      </c>
      <c r="G29" s="83">
        <v>43573.760416666664</v>
      </c>
      <c r="H29" s="84">
        <f t="shared" si="1"/>
        <v>1049.9999999965075</v>
      </c>
      <c r="I29" s="12" t="s">
        <v>1750</v>
      </c>
      <c r="J29" s="12" t="s">
        <v>1748</v>
      </c>
      <c r="K29" s="100" t="s">
        <v>1654</v>
      </c>
      <c r="L29" s="37" t="s">
        <v>1656</v>
      </c>
      <c r="M29" s="37" t="s">
        <v>678</v>
      </c>
      <c r="N29" s="12"/>
      <c r="O29" s="38" t="str">
        <f t="shared" si="0"/>
        <v>OSLA</v>
      </c>
    </row>
    <row r="30" spans="1:15" x14ac:dyDescent="0.4">
      <c r="A30" s="37">
        <v>29</v>
      </c>
      <c r="B30" s="37" t="s">
        <v>1664</v>
      </c>
      <c r="C30" s="37" t="s">
        <v>2</v>
      </c>
      <c r="D30" s="37" t="s">
        <v>1389</v>
      </c>
      <c r="E30" s="12" t="s">
        <v>1740</v>
      </c>
      <c r="F30" s="83">
        <v>43573.586805555555</v>
      </c>
      <c r="G30" s="83">
        <v>43574.385416666664</v>
      </c>
      <c r="H30" s="84">
        <f t="shared" si="1"/>
        <v>1149.9999999976717</v>
      </c>
      <c r="I30" s="12" t="s">
        <v>1676</v>
      </c>
      <c r="J30" s="12" t="s">
        <v>1677</v>
      </c>
      <c r="K30" s="100" t="s">
        <v>1678</v>
      </c>
      <c r="L30" s="37" t="s">
        <v>703</v>
      </c>
      <c r="M30" s="37" t="s">
        <v>678</v>
      </c>
      <c r="N30" s="12"/>
      <c r="O30" s="38" t="str">
        <f t="shared" si="0"/>
        <v>OSLA</v>
      </c>
    </row>
    <row r="31" spans="1:15" x14ac:dyDescent="0.4">
      <c r="A31" s="37">
        <v>30</v>
      </c>
      <c r="B31" s="37" t="s">
        <v>1665</v>
      </c>
      <c r="C31" s="37" t="s">
        <v>2</v>
      </c>
      <c r="D31" s="37" t="s">
        <v>707</v>
      </c>
      <c r="E31" s="12" t="s">
        <v>147</v>
      </c>
      <c r="F31" s="83">
        <v>43573.962500000001</v>
      </c>
      <c r="G31" s="83">
        <v>43574.129166666666</v>
      </c>
      <c r="H31" s="84">
        <f t="shared" si="1"/>
        <v>239.99999999650754</v>
      </c>
      <c r="I31" s="12" t="s">
        <v>1533</v>
      </c>
      <c r="J31" s="12" t="s">
        <v>1534</v>
      </c>
      <c r="K31" s="100" t="s">
        <v>1535</v>
      </c>
      <c r="L31" s="37" t="s">
        <v>1656</v>
      </c>
      <c r="M31" s="37" t="s">
        <v>678</v>
      </c>
      <c r="N31" s="12"/>
      <c r="O31" s="38" t="str">
        <f t="shared" si="0"/>
        <v>OSLA</v>
      </c>
    </row>
    <row r="32" spans="1:15" x14ac:dyDescent="0.4">
      <c r="A32" s="37">
        <v>31</v>
      </c>
      <c r="B32" s="37" t="s">
        <v>1666</v>
      </c>
      <c r="C32" s="37" t="s">
        <v>2</v>
      </c>
      <c r="D32" s="37" t="s">
        <v>701</v>
      </c>
      <c r="E32" s="12" t="s">
        <v>1682</v>
      </c>
      <c r="F32" s="83">
        <v>43574.48541666667</v>
      </c>
      <c r="G32" s="83">
        <v>43574.515972222223</v>
      </c>
      <c r="H32" s="84">
        <f>(G32-F32)*1440</f>
        <v>43.999999996740371</v>
      </c>
      <c r="I32" s="12" t="s">
        <v>1679</v>
      </c>
      <c r="J32" s="12" t="s">
        <v>1469</v>
      </c>
      <c r="K32" s="100" t="s">
        <v>105</v>
      </c>
      <c r="L32" s="37" t="s">
        <v>701</v>
      </c>
      <c r="M32" s="37" t="s">
        <v>678</v>
      </c>
      <c r="N32" s="12"/>
      <c r="O32" s="38" t="str">
        <f t="shared" si="0"/>
        <v>ISLA</v>
      </c>
    </row>
    <row r="33" spans="1:17" x14ac:dyDescent="0.4">
      <c r="A33" s="37">
        <v>32</v>
      </c>
      <c r="B33" s="37" t="s">
        <v>1667</v>
      </c>
      <c r="C33" s="37" t="s">
        <v>2</v>
      </c>
      <c r="D33" s="37" t="s">
        <v>1389</v>
      </c>
      <c r="E33" s="12" t="s">
        <v>1680</v>
      </c>
      <c r="F33" s="83">
        <v>43574.388888888891</v>
      </c>
      <c r="G33" s="83">
        <v>43574.420138888891</v>
      </c>
      <c r="H33" s="84">
        <f>(G33-F33)*1440</f>
        <v>45</v>
      </c>
      <c r="I33" s="12" t="s">
        <v>1639</v>
      </c>
      <c r="J33" s="12" t="s">
        <v>1630</v>
      </c>
      <c r="K33" s="100" t="s">
        <v>105</v>
      </c>
      <c r="L33" s="37" t="s">
        <v>703</v>
      </c>
      <c r="M33" s="37" t="s">
        <v>678</v>
      </c>
      <c r="N33" s="12"/>
      <c r="O33" s="38" t="str">
        <f t="shared" si="0"/>
        <v>ISLA</v>
      </c>
    </row>
    <row r="34" spans="1:17" x14ac:dyDescent="0.4">
      <c r="A34" s="37">
        <v>33</v>
      </c>
      <c r="B34" s="37" t="s">
        <v>1668</v>
      </c>
      <c r="C34" s="37" t="s">
        <v>2</v>
      </c>
      <c r="D34" s="37" t="s">
        <v>701</v>
      </c>
      <c r="E34" s="12" t="s">
        <v>33</v>
      </c>
      <c r="F34" s="83">
        <v>43576.884027777778</v>
      </c>
      <c r="G34" s="83">
        <v>43577.231249999997</v>
      </c>
      <c r="H34" s="84">
        <f>(G34-F34)*1440</f>
        <v>499.99999999534339</v>
      </c>
      <c r="I34" s="12" t="s">
        <v>1681</v>
      </c>
      <c r="J34" s="12" t="s">
        <v>1469</v>
      </c>
      <c r="K34" s="100" t="s">
        <v>105</v>
      </c>
      <c r="L34" s="37" t="s">
        <v>701</v>
      </c>
      <c r="M34" s="37" t="s">
        <v>678</v>
      </c>
      <c r="N34" s="12"/>
      <c r="O34" s="38" t="str">
        <f t="shared" si="0"/>
        <v>OSLA</v>
      </c>
    </row>
    <row r="35" spans="1:17" x14ac:dyDescent="0.4">
      <c r="A35" s="37">
        <v>34</v>
      </c>
      <c r="B35" s="37" t="s">
        <v>1691</v>
      </c>
      <c r="C35" s="37" t="s">
        <v>14</v>
      </c>
      <c r="D35" s="37" t="s">
        <v>57</v>
      </c>
      <c r="E35" s="12" t="s">
        <v>57</v>
      </c>
      <c r="F35" s="83">
        <v>43572.632638888892</v>
      </c>
      <c r="G35" s="83" t="s">
        <v>849</v>
      </c>
      <c r="H35" s="84" t="s">
        <v>849</v>
      </c>
      <c r="I35" s="12" t="s">
        <v>1704</v>
      </c>
      <c r="J35" s="12" t="s">
        <v>59</v>
      </c>
      <c r="K35" s="100" t="s">
        <v>59</v>
      </c>
      <c r="L35" s="37" t="s">
        <v>707</v>
      </c>
      <c r="M35" s="37" t="s">
        <v>678</v>
      </c>
      <c r="N35" s="12"/>
      <c r="O35" s="38" t="str">
        <f t="shared" si="0"/>
        <v>OSLA</v>
      </c>
    </row>
    <row r="36" spans="1:17" x14ac:dyDescent="0.4">
      <c r="A36" s="37">
        <v>35</v>
      </c>
      <c r="B36" s="37" t="s">
        <v>1692</v>
      </c>
      <c r="C36" s="37" t="s">
        <v>2</v>
      </c>
      <c r="D36" s="37" t="s">
        <v>1389</v>
      </c>
      <c r="E36" s="12" t="s">
        <v>1742</v>
      </c>
      <c r="F36" s="83">
        <v>43577.795138888891</v>
      </c>
      <c r="G36" s="83">
        <v>43577.878472222219</v>
      </c>
      <c r="H36" s="84">
        <v>119.99999999301508</v>
      </c>
      <c r="I36" s="12" t="s">
        <v>1701</v>
      </c>
      <c r="J36" s="12" t="s">
        <v>1741</v>
      </c>
      <c r="K36" s="100" t="s">
        <v>88</v>
      </c>
      <c r="L36" s="37" t="s">
        <v>1656</v>
      </c>
      <c r="M36" s="37" t="s">
        <v>678</v>
      </c>
      <c r="N36" s="12"/>
      <c r="O36" s="38" t="str">
        <f t="shared" si="0"/>
        <v>ISLA</v>
      </c>
    </row>
    <row r="37" spans="1:17" x14ac:dyDescent="0.4">
      <c r="A37" s="37">
        <v>36</v>
      </c>
      <c r="B37" s="37" t="s">
        <v>1693</v>
      </c>
      <c r="C37" s="37" t="s">
        <v>2</v>
      </c>
      <c r="D37" s="37" t="s">
        <v>1389</v>
      </c>
      <c r="E37" s="12" t="s">
        <v>228</v>
      </c>
      <c r="F37" s="83">
        <v>43578.239583333336</v>
      </c>
      <c r="G37" s="83">
        <v>43578.517361111109</v>
      </c>
      <c r="H37" s="84">
        <v>399.99999999417923</v>
      </c>
      <c r="I37" s="12" t="s">
        <v>1702</v>
      </c>
      <c r="J37" s="12" t="s">
        <v>1743</v>
      </c>
      <c r="K37" s="100" t="s">
        <v>1705</v>
      </c>
      <c r="L37" s="37" t="s">
        <v>707</v>
      </c>
      <c r="M37" s="37" t="s">
        <v>678</v>
      </c>
      <c r="N37" s="12"/>
      <c r="O37" s="38" t="str">
        <f t="shared" si="0"/>
        <v>OSLA</v>
      </c>
    </row>
    <row r="38" spans="1:17" x14ac:dyDescent="0.4">
      <c r="A38" s="37">
        <v>37</v>
      </c>
      <c r="B38" s="37" t="s">
        <v>1694</v>
      </c>
      <c r="C38" s="37" t="s">
        <v>2</v>
      </c>
      <c r="D38" s="37" t="s">
        <v>701</v>
      </c>
      <c r="E38" s="12" t="s">
        <v>33</v>
      </c>
      <c r="F38" s="83">
        <v>43579.058333333334</v>
      </c>
      <c r="G38" s="83">
        <v>43579.092361111114</v>
      </c>
      <c r="H38" s="84">
        <v>49.000000002561137</v>
      </c>
      <c r="I38" s="12" t="s">
        <v>1703</v>
      </c>
      <c r="J38" s="12" t="s">
        <v>1706</v>
      </c>
      <c r="K38" s="100" t="s">
        <v>105</v>
      </c>
      <c r="L38" s="37" t="s">
        <v>707</v>
      </c>
      <c r="M38" s="37" t="s">
        <v>678</v>
      </c>
      <c r="N38" s="12"/>
      <c r="O38" s="38" t="str">
        <f t="shared" si="0"/>
        <v>ISLA</v>
      </c>
      <c r="Q38" s="129"/>
    </row>
    <row r="39" spans="1:17" x14ac:dyDescent="0.4">
      <c r="A39" s="37">
        <v>38</v>
      </c>
      <c r="B39" s="37" t="s">
        <v>1695</v>
      </c>
      <c r="C39" s="37" t="s">
        <v>2</v>
      </c>
      <c r="D39" s="37" t="s">
        <v>701</v>
      </c>
      <c r="E39" s="12" t="s">
        <v>1698</v>
      </c>
      <c r="F39" s="83">
        <v>43579.350694444445</v>
      </c>
      <c r="G39" s="83">
        <v>43579.386111111111</v>
      </c>
      <c r="H39" s="84">
        <v>50.999999998603016</v>
      </c>
      <c r="I39" s="12" t="s">
        <v>313</v>
      </c>
      <c r="J39" s="12" t="s">
        <v>1745</v>
      </c>
      <c r="K39" s="100" t="s">
        <v>1744</v>
      </c>
      <c r="L39" s="37" t="s">
        <v>701</v>
      </c>
      <c r="M39" s="37" t="s">
        <v>678</v>
      </c>
      <c r="N39" s="12"/>
      <c r="O39" s="38" t="str">
        <f t="shared" si="0"/>
        <v>ISLA</v>
      </c>
    </row>
    <row r="40" spans="1:17" x14ac:dyDescent="0.4">
      <c r="A40" s="37">
        <v>39</v>
      </c>
      <c r="B40" s="37" t="s">
        <v>1696</v>
      </c>
      <c r="C40" s="37" t="s">
        <v>2</v>
      </c>
      <c r="D40" s="37" t="s">
        <v>701</v>
      </c>
      <c r="E40" s="12" t="s">
        <v>1637</v>
      </c>
      <c r="F40" s="83">
        <v>43579.675000000003</v>
      </c>
      <c r="G40" s="83">
        <v>43579.74722222222</v>
      </c>
      <c r="H40" s="84">
        <v>103.99999999324791</v>
      </c>
      <c r="I40" s="12" t="s">
        <v>1520</v>
      </c>
      <c r="J40" s="12" t="s">
        <v>1581</v>
      </c>
      <c r="K40" s="100" t="s">
        <v>88</v>
      </c>
      <c r="L40" s="37" t="s">
        <v>1656</v>
      </c>
      <c r="M40" s="37" t="s">
        <v>678</v>
      </c>
      <c r="N40" s="12"/>
      <c r="O40" s="38" t="str">
        <f t="shared" si="0"/>
        <v>ISLA</v>
      </c>
    </row>
    <row r="41" spans="1:17" x14ac:dyDescent="0.4">
      <c r="A41" s="37">
        <v>40</v>
      </c>
      <c r="B41" s="37" t="s">
        <v>1697</v>
      </c>
      <c r="C41" s="37" t="s">
        <v>2</v>
      </c>
      <c r="D41" s="37" t="s">
        <v>701</v>
      </c>
      <c r="E41" s="12" t="s">
        <v>1699</v>
      </c>
      <c r="F41" s="83">
        <v>43579.943055555559</v>
      </c>
      <c r="G41" s="83">
        <v>43580.022222222222</v>
      </c>
      <c r="H41" s="84">
        <v>113.99999999441206</v>
      </c>
      <c r="I41" s="12" t="s">
        <v>1520</v>
      </c>
      <c r="J41" s="12" t="s">
        <v>1581</v>
      </c>
      <c r="K41" s="100" t="s">
        <v>88</v>
      </c>
      <c r="L41" s="37" t="s">
        <v>1656</v>
      </c>
      <c r="M41" s="37" t="s">
        <v>678</v>
      </c>
      <c r="N41" s="12"/>
      <c r="O41" s="38" t="str">
        <f t="shared" si="0"/>
        <v>ISLA</v>
      </c>
    </row>
    <row r="42" spans="1:17" x14ac:dyDescent="0.4">
      <c r="A42" s="37">
        <v>41</v>
      </c>
      <c r="B42" s="37" t="s">
        <v>1700</v>
      </c>
      <c r="C42" s="37" t="s">
        <v>2</v>
      </c>
      <c r="D42" s="37" t="s">
        <v>1389</v>
      </c>
      <c r="E42" s="12" t="s">
        <v>1633</v>
      </c>
      <c r="F42" s="83">
        <v>43580.614583333336</v>
      </c>
      <c r="G42" s="83">
        <v>43580.666666666664</v>
      </c>
      <c r="H42" s="84">
        <v>74.999999993015081</v>
      </c>
      <c r="I42" s="12" t="s">
        <v>1586</v>
      </c>
      <c r="J42" s="12" t="s">
        <v>1746</v>
      </c>
      <c r="K42" s="100" t="s">
        <v>1654</v>
      </c>
      <c r="L42" s="37" t="s">
        <v>1590</v>
      </c>
      <c r="M42" s="37" t="s">
        <v>678</v>
      </c>
      <c r="N42" s="12"/>
      <c r="O42" s="38" t="str">
        <f t="shared" si="0"/>
        <v>ISLA</v>
      </c>
    </row>
    <row r="43" spans="1:17" x14ac:dyDescent="0.4">
      <c r="A43" s="37">
        <v>42</v>
      </c>
      <c r="B43" s="37" t="s">
        <v>1707</v>
      </c>
      <c r="C43" s="37" t="s">
        <v>2</v>
      </c>
      <c r="D43" s="37" t="s">
        <v>1389</v>
      </c>
      <c r="E43" s="12" t="s">
        <v>1713</v>
      </c>
      <c r="F43" s="83">
        <v>43584.384027777778</v>
      </c>
      <c r="G43" s="83">
        <v>43584.404861111114</v>
      </c>
      <c r="H43" s="84">
        <v>30.00000000349246</v>
      </c>
      <c r="I43" s="12" t="s">
        <v>1715</v>
      </c>
      <c r="J43" s="12" t="s">
        <v>1469</v>
      </c>
      <c r="K43" s="100" t="s">
        <v>105</v>
      </c>
      <c r="L43" s="37" t="s">
        <v>889</v>
      </c>
      <c r="M43" s="37" t="s">
        <v>678</v>
      </c>
      <c r="N43" s="12"/>
      <c r="O43" s="38" t="str">
        <f t="shared" si="0"/>
        <v>ISLA</v>
      </c>
    </row>
    <row r="44" spans="1:17" x14ac:dyDescent="0.4">
      <c r="A44" s="37">
        <v>43</v>
      </c>
      <c r="B44" s="37" t="s">
        <v>1708</v>
      </c>
      <c r="C44" s="37" t="s">
        <v>2</v>
      </c>
      <c r="D44" s="37" t="s">
        <v>1389</v>
      </c>
      <c r="E44" s="12" t="s">
        <v>1714</v>
      </c>
      <c r="F44" s="83">
        <v>43584.520833333336</v>
      </c>
      <c r="G44" s="83">
        <v>43584.697916666664</v>
      </c>
      <c r="H44" s="84">
        <v>254.99999999301508</v>
      </c>
      <c r="I44" s="12" t="s">
        <v>1716</v>
      </c>
      <c r="J44" s="12" t="s">
        <v>1719</v>
      </c>
      <c r="K44" s="100" t="s">
        <v>1720</v>
      </c>
      <c r="L44" s="37" t="s">
        <v>707</v>
      </c>
      <c r="M44" s="37" t="s">
        <v>678</v>
      </c>
      <c r="N44" s="12"/>
      <c r="O44" s="38" t="str">
        <f t="shared" si="0"/>
        <v>OSLA</v>
      </c>
    </row>
    <row r="45" spans="1:17" s="73" customFormat="1" x14ac:dyDescent="0.4">
      <c r="A45" s="128"/>
      <c r="B45" s="128"/>
      <c r="C45" s="128"/>
      <c r="D45" s="128"/>
    </row>
    <row r="46" spans="1:17" s="73" customFormat="1" x14ac:dyDescent="0.4">
      <c r="A46"/>
      <c r="B46"/>
      <c r="C46"/>
      <c r="D46"/>
      <c r="E46"/>
      <c r="J46"/>
    </row>
    <row r="47" spans="1:17" s="73" customFormat="1" x14ac:dyDescent="0.4">
      <c r="A47"/>
      <c r="B47"/>
      <c r="C47"/>
      <c r="D47"/>
      <c r="E47"/>
    </row>
    <row r="48" spans="1:17" x14ac:dyDescent="0.4">
      <c r="B48" s="73" t="s">
        <v>2</v>
      </c>
      <c r="C48" s="73" t="s">
        <v>776</v>
      </c>
      <c r="D48" s="73">
        <v>120</v>
      </c>
    </row>
    <row r="49" spans="2:4" x14ac:dyDescent="0.4">
      <c r="B49" s="73" t="s">
        <v>14</v>
      </c>
      <c r="C49" s="73" t="s">
        <v>777</v>
      </c>
      <c r="D49" s="73">
        <v>240</v>
      </c>
    </row>
    <row r="50" spans="2:4" x14ac:dyDescent="0.4">
      <c r="B50" s="73" t="s">
        <v>158</v>
      </c>
      <c r="C50" s="73" t="s">
        <v>778</v>
      </c>
      <c r="D50" s="73">
        <v>2880</v>
      </c>
    </row>
  </sheetData>
  <autoFilter ref="A1:O44" xr:uid="{00000000-0009-0000-0000-000013000000}"/>
  <conditionalFormatting sqref="F2:H44">
    <cfRule type="cellIs" dxfId="65" priority="1" operator="equal">
      <formula>"NOK"</formula>
    </cfRule>
  </conditionalFormatting>
  <dataValidations count="2">
    <dataValidation type="list" allowBlank="1" showInputMessage="1" showErrorMessage="1" promptTitle="Priorité" prompt="La Priorité de l'Incident" sqref="C2:C4" xr:uid="{00000000-0002-0000-1300-000000000000}">
      <formula1>g</formula1>
    </dataValidation>
    <dataValidation type="list" allowBlank="1" showInputMessage="1" showErrorMessage="1" promptTitle="Priorité" prompt="La Priorité de l'Incident" sqref="C6:C7 C22:C28" xr:uid="{00000000-0002-0000-1300-000001000000}">
      <formula1>prio</formula1>
    </dataValidation>
  </dataValidation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tabColor rgb="FF92D050"/>
  </sheetPr>
  <dimension ref="A1:O68"/>
  <sheetViews>
    <sheetView workbookViewId="0">
      <selection activeCell="L45" sqref="L45"/>
    </sheetView>
  </sheetViews>
  <sheetFormatPr baseColWidth="10" defaultRowHeight="14.6" x14ac:dyDescent="0.4"/>
  <cols>
    <col min="1" max="1" width="6" customWidth="1"/>
    <col min="3" max="3" width="9.07421875" bestFit="1" customWidth="1"/>
    <col min="5" max="5" width="43.3046875" customWidth="1"/>
    <col min="6" max="6" width="21.69140625" customWidth="1"/>
    <col min="7" max="7" width="18.3046875" customWidth="1"/>
    <col min="8" max="8" width="11.69140625" customWidth="1"/>
    <col min="9" max="9" width="50.53515625" customWidth="1"/>
    <col min="10" max="10" width="52.84375" customWidth="1"/>
    <col min="11" max="11" width="36.07421875" customWidth="1"/>
    <col min="12" max="12" width="11.4609375" customWidth="1"/>
    <col min="13" max="13" width="8.3046875" customWidth="1"/>
    <col min="14" max="14" width="11.4609375" customWidth="1"/>
    <col min="15" max="15" width="6.84375" bestFit="1" customWidth="1"/>
  </cols>
  <sheetData>
    <row r="1" spans="1:15" x14ac:dyDescent="0.4">
      <c r="A1" s="6" t="s">
        <v>0</v>
      </c>
      <c r="B1" s="6" t="s">
        <v>679</v>
      </c>
      <c r="C1" s="6" t="s">
        <v>680</v>
      </c>
      <c r="D1" s="7" t="s">
        <v>700</v>
      </c>
      <c r="E1" s="7" t="s">
        <v>1883</v>
      </c>
      <c r="F1" s="6" t="s">
        <v>695</v>
      </c>
      <c r="G1" s="6" t="s">
        <v>694</v>
      </c>
      <c r="H1" s="6" t="s">
        <v>681</v>
      </c>
      <c r="I1" s="7" t="s">
        <v>395</v>
      </c>
      <c r="J1" s="6" t="s">
        <v>682</v>
      </c>
      <c r="K1" s="6" t="s">
        <v>683</v>
      </c>
      <c r="L1" s="7" t="s">
        <v>699</v>
      </c>
      <c r="M1" s="6" t="s">
        <v>684</v>
      </c>
      <c r="N1" s="7" t="s">
        <v>659</v>
      </c>
      <c r="O1" s="6" t="s">
        <v>888</v>
      </c>
    </row>
    <row r="2" spans="1:15" x14ac:dyDescent="0.4">
      <c r="A2" s="37">
        <v>1</v>
      </c>
      <c r="B2" s="37" t="s">
        <v>1709</v>
      </c>
      <c r="C2" s="37" t="s">
        <v>2</v>
      </c>
      <c r="D2" s="37" t="s">
        <v>1389</v>
      </c>
      <c r="E2" s="12" t="s">
        <v>49</v>
      </c>
      <c r="F2" s="83">
        <v>43586.655555555553</v>
      </c>
      <c r="G2" s="83">
        <v>43586.936805555553</v>
      </c>
      <c r="H2" s="84">
        <v>405</v>
      </c>
      <c r="I2" s="12" t="s">
        <v>232</v>
      </c>
      <c r="J2" s="12" t="s">
        <v>1721</v>
      </c>
      <c r="K2" s="100" t="s">
        <v>1722</v>
      </c>
      <c r="L2" s="37" t="s">
        <v>716</v>
      </c>
      <c r="M2" s="37" t="s">
        <v>678</v>
      </c>
      <c r="N2" s="12"/>
      <c r="O2" s="38" t="str">
        <f t="shared" ref="O2:O33" si="0">IF(AND(C2=$B$63,H2&lt;=$D$63),"ISLA",IF((AND(C2=$B$64,H2&lt;=$D$64)),"ISLA",IF((AND(C2=$B$65,H2&lt;=$D$65)),"ISLA","OSLA")))</f>
        <v>OSLA</v>
      </c>
    </row>
    <row r="3" spans="1:15" x14ac:dyDescent="0.4">
      <c r="A3" s="37">
        <v>2</v>
      </c>
      <c r="B3" s="37" t="s">
        <v>1710</v>
      </c>
      <c r="C3" s="37" t="s">
        <v>2</v>
      </c>
      <c r="D3" s="37" t="s">
        <v>1389</v>
      </c>
      <c r="E3" s="12" t="s">
        <v>1807</v>
      </c>
      <c r="F3" s="83">
        <v>43588.465277777781</v>
      </c>
      <c r="G3" s="83">
        <v>43588.479166666664</v>
      </c>
      <c r="H3" s="84">
        <v>19.999999991850927</v>
      </c>
      <c r="I3" s="12" t="s">
        <v>1717</v>
      </c>
      <c r="J3" s="12" t="s">
        <v>1723</v>
      </c>
      <c r="K3" s="12" t="s">
        <v>1724</v>
      </c>
      <c r="L3" s="37" t="s">
        <v>703</v>
      </c>
      <c r="M3" s="37" t="s">
        <v>678</v>
      </c>
      <c r="N3" s="12"/>
      <c r="O3" s="38" t="str">
        <f t="shared" si="0"/>
        <v>ISLA</v>
      </c>
    </row>
    <row r="4" spans="1:15" x14ac:dyDescent="0.4">
      <c r="A4" s="37">
        <v>3</v>
      </c>
      <c r="B4" s="37" t="s">
        <v>1711</v>
      </c>
      <c r="C4" s="37" t="s">
        <v>2</v>
      </c>
      <c r="D4" s="37" t="s">
        <v>1389</v>
      </c>
      <c r="E4" s="12" t="s">
        <v>150</v>
      </c>
      <c r="F4" s="83">
        <v>43589.881944444445</v>
      </c>
      <c r="G4" s="83">
        <v>43590.145833333336</v>
      </c>
      <c r="H4" s="84">
        <v>380.00000000232831</v>
      </c>
      <c r="I4" s="12" t="s">
        <v>1718</v>
      </c>
      <c r="J4" s="12" t="s">
        <v>1725</v>
      </c>
      <c r="K4" s="12" t="s">
        <v>1726</v>
      </c>
      <c r="L4" s="37" t="s">
        <v>704</v>
      </c>
      <c r="M4" s="37" t="s">
        <v>678</v>
      </c>
      <c r="N4" s="12"/>
      <c r="O4" s="38" t="str">
        <f t="shared" si="0"/>
        <v>OSLA</v>
      </c>
    </row>
    <row r="5" spans="1:15" x14ac:dyDescent="0.4">
      <c r="A5" s="37">
        <v>4</v>
      </c>
      <c r="B5" s="37" t="s">
        <v>1712</v>
      </c>
      <c r="C5" s="37" t="s">
        <v>2</v>
      </c>
      <c r="D5" s="37" t="s">
        <v>1389</v>
      </c>
      <c r="E5" s="12" t="s">
        <v>1633</v>
      </c>
      <c r="F5" s="83">
        <v>43590.701388888891</v>
      </c>
      <c r="G5" s="83">
        <v>43591.395833333336</v>
      </c>
      <c r="H5" s="84">
        <v>1000.0000000011642</v>
      </c>
      <c r="I5" s="12" t="s">
        <v>1586</v>
      </c>
      <c r="J5" s="12" t="s">
        <v>1729</v>
      </c>
      <c r="K5" s="12" t="s">
        <v>1728</v>
      </c>
      <c r="L5" s="37" t="s">
        <v>1590</v>
      </c>
      <c r="M5" s="37" t="s">
        <v>678</v>
      </c>
      <c r="N5" s="12"/>
      <c r="O5" s="38" t="str">
        <f t="shared" si="0"/>
        <v>OSLA</v>
      </c>
    </row>
    <row r="6" spans="1:15" x14ac:dyDescent="0.4">
      <c r="A6" s="37">
        <v>5</v>
      </c>
      <c r="B6" s="37" t="s">
        <v>1751</v>
      </c>
      <c r="C6" s="37" t="s">
        <v>2</v>
      </c>
      <c r="D6" s="37" t="s">
        <v>701</v>
      </c>
      <c r="E6" s="12" t="s">
        <v>1767</v>
      </c>
      <c r="F6" s="83">
        <v>43591.347222222219</v>
      </c>
      <c r="G6" s="83">
        <v>43591.385416666664</v>
      </c>
      <c r="H6" s="84">
        <v>55.000000001164153</v>
      </c>
      <c r="I6" s="12" t="s">
        <v>1776</v>
      </c>
      <c r="J6" s="12" t="s">
        <v>1777</v>
      </c>
      <c r="K6" s="100" t="s">
        <v>1778</v>
      </c>
      <c r="L6" s="37" t="s">
        <v>701</v>
      </c>
      <c r="M6" s="37" t="s">
        <v>678</v>
      </c>
      <c r="N6" s="12"/>
      <c r="O6" s="38" t="str">
        <f t="shared" si="0"/>
        <v>ISLA</v>
      </c>
    </row>
    <row r="7" spans="1:15" x14ac:dyDescent="0.4">
      <c r="A7" s="37">
        <v>6</v>
      </c>
      <c r="B7" s="37" t="s">
        <v>1752</v>
      </c>
      <c r="C7" s="37" t="s">
        <v>2</v>
      </c>
      <c r="D7" s="37" t="s">
        <v>701</v>
      </c>
      <c r="E7" s="12" t="s">
        <v>1768</v>
      </c>
      <c r="F7" s="83">
        <v>43591.577777777777</v>
      </c>
      <c r="G7" s="83">
        <v>43591.604166666664</v>
      </c>
      <c r="H7" s="84">
        <v>37.999999998137355</v>
      </c>
      <c r="I7" s="12" t="s">
        <v>1779</v>
      </c>
      <c r="J7" s="12" t="s">
        <v>1780</v>
      </c>
      <c r="K7" s="100" t="s">
        <v>1781</v>
      </c>
      <c r="L7" s="37" t="s">
        <v>701</v>
      </c>
      <c r="M7" s="37" t="s">
        <v>678</v>
      </c>
      <c r="N7" s="12"/>
      <c r="O7" s="38" t="str">
        <f t="shared" si="0"/>
        <v>ISLA</v>
      </c>
    </row>
    <row r="8" spans="1:15" x14ac:dyDescent="0.4">
      <c r="A8" s="37">
        <v>7</v>
      </c>
      <c r="B8" s="37" t="s">
        <v>1753</v>
      </c>
      <c r="C8" s="37" t="s">
        <v>2</v>
      </c>
      <c r="D8" s="37" t="s">
        <v>1389</v>
      </c>
      <c r="E8" s="12" t="s">
        <v>1769</v>
      </c>
      <c r="F8" s="83">
        <v>43592.072916666664</v>
      </c>
      <c r="G8" s="83">
        <v>43592.114583333336</v>
      </c>
      <c r="H8" s="84">
        <v>60.000000006984919</v>
      </c>
      <c r="I8" s="12" t="s">
        <v>1782</v>
      </c>
      <c r="J8" s="12" t="s">
        <v>1947</v>
      </c>
      <c r="K8" s="100" t="s">
        <v>959</v>
      </c>
      <c r="L8" s="37" t="s">
        <v>1806</v>
      </c>
      <c r="M8" s="37" t="s">
        <v>678</v>
      </c>
      <c r="N8" s="12"/>
      <c r="O8" s="38" t="str">
        <f t="shared" si="0"/>
        <v>ISLA</v>
      </c>
    </row>
    <row r="9" spans="1:15" x14ac:dyDescent="0.4">
      <c r="A9" s="37">
        <v>8</v>
      </c>
      <c r="B9" s="37" t="s">
        <v>1754</v>
      </c>
      <c r="C9" s="37" t="s">
        <v>2</v>
      </c>
      <c r="D9" s="37" t="s">
        <v>1389</v>
      </c>
      <c r="E9" s="12" t="s">
        <v>1770</v>
      </c>
      <c r="F9" s="83">
        <v>43592.378472222219</v>
      </c>
      <c r="G9" s="83">
        <v>43592.715277777781</v>
      </c>
      <c r="H9" s="84">
        <v>485.00000000931323</v>
      </c>
      <c r="I9" s="12" t="s">
        <v>1783</v>
      </c>
      <c r="J9" s="12" t="s">
        <v>1784</v>
      </c>
      <c r="K9" s="100" t="s">
        <v>1195</v>
      </c>
      <c r="L9" s="37" t="s">
        <v>703</v>
      </c>
      <c r="M9" s="37" t="s">
        <v>678</v>
      </c>
      <c r="N9" s="12"/>
      <c r="O9" s="38" t="str">
        <f t="shared" si="0"/>
        <v>OSLA</v>
      </c>
    </row>
    <row r="10" spans="1:15" x14ac:dyDescent="0.4">
      <c r="A10" s="37">
        <v>9</v>
      </c>
      <c r="B10" s="37" t="s">
        <v>1756</v>
      </c>
      <c r="C10" s="37" t="s">
        <v>2</v>
      </c>
      <c r="D10" s="37" t="s">
        <v>1389</v>
      </c>
      <c r="E10" s="12" t="s">
        <v>49</v>
      </c>
      <c r="F10" s="83">
        <v>43592.462500000001</v>
      </c>
      <c r="G10" s="83">
        <v>43592.597222222219</v>
      </c>
      <c r="H10" s="84">
        <v>193.99999999324791</v>
      </c>
      <c r="I10" s="12" t="s">
        <v>1788</v>
      </c>
      <c r="J10" s="12" t="s">
        <v>1789</v>
      </c>
      <c r="K10" s="100" t="s">
        <v>1790</v>
      </c>
      <c r="L10" s="37" t="s">
        <v>707</v>
      </c>
      <c r="M10" s="37" t="s">
        <v>678</v>
      </c>
      <c r="N10" s="12"/>
      <c r="O10" s="38" t="str">
        <f t="shared" si="0"/>
        <v>OSLA</v>
      </c>
    </row>
    <row r="11" spans="1:15" x14ac:dyDescent="0.4">
      <c r="A11" s="37">
        <v>10</v>
      </c>
      <c r="B11" s="37" t="s">
        <v>1755</v>
      </c>
      <c r="C11" s="37" t="s">
        <v>2</v>
      </c>
      <c r="D11" s="37" t="s">
        <v>701</v>
      </c>
      <c r="E11" s="12" t="s">
        <v>1808</v>
      </c>
      <c r="F11" s="83">
        <v>43592.506944444445</v>
      </c>
      <c r="G11" s="83">
        <v>43592.520833333336</v>
      </c>
      <c r="H11" s="84">
        <v>20.000000002328306</v>
      </c>
      <c r="I11" s="12" t="s">
        <v>1785</v>
      </c>
      <c r="J11" s="12" t="s">
        <v>1786</v>
      </c>
      <c r="K11" s="100" t="s">
        <v>1787</v>
      </c>
      <c r="L11" s="37" t="s">
        <v>701</v>
      </c>
      <c r="M11" s="37" t="s">
        <v>678</v>
      </c>
      <c r="N11" s="12"/>
      <c r="O11" s="38" t="str">
        <f t="shared" si="0"/>
        <v>ISLA</v>
      </c>
    </row>
    <row r="12" spans="1:15" x14ac:dyDescent="0.4">
      <c r="A12" s="37">
        <v>11</v>
      </c>
      <c r="B12" s="37" t="s">
        <v>1757</v>
      </c>
      <c r="C12" s="37" t="s">
        <v>2</v>
      </c>
      <c r="D12" s="37" t="s">
        <v>701</v>
      </c>
      <c r="E12" s="12" t="s">
        <v>1767</v>
      </c>
      <c r="F12" s="83">
        <v>43593.340277777781</v>
      </c>
      <c r="G12" s="83">
        <v>43593.344444444447</v>
      </c>
      <c r="H12" s="84">
        <v>5.9999999986030161</v>
      </c>
      <c r="I12" s="12" t="s">
        <v>1791</v>
      </c>
      <c r="J12" s="12" t="s">
        <v>1792</v>
      </c>
      <c r="K12" s="100" t="s">
        <v>1793</v>
      </c>
      <c r="L12" s="37" t="s">
        <v>701</v>
      </c>
      <c r="M12" s="37" t="s">
        <v>678</v>
      </c>
      <c r="N12" s="12"/>
      <c r="O12" s="38" t="str">
        <f t="shared" si="0"/>
        <v>ISLA</v>
      </c>
    </row>
    <row r="13" spans="1:15" x14ac:dyDescent="0.4">
      <c r="A13" s="37">
        <v>12</v>
      </c>
      <c r="B13" s="37" t="s">
        <v>1758</v>
      </c>
      <c r="C13" s="37" t="s">
        <v>2</v>
      </c>
      <c r="D13" s="37" t="s">
        <v>701</v>
      </c>
      <c r="E13" s="12" t="s">
        <v>1771</v>
      </c>
      <c r="F13" s="83">
        <v>43593.427777777775</v>
      </c>
      <c r="G13" s="83">
        <v>43593.45416666667</v>
      </c>
      <c r="H13" s="84">
        <v>38.000000008614734</v>
      </c>
      <c r="I13" s="12" t="s">
        <v>1344</v>
      </c>
      <c r="J13" s="12" t="s">
        <v>1581</v>
      </c>
      <c r="K13" s="100" t="s">
        <v>209</v>
      </c>
      <c r="L13" s="37" t="s">
        <v>1517</v>
      </c>
      <c r="M13" s="37" t="s">
        <v>678</v>
      </c>
      <c r="N13" s="12"/>
      <c r="O13" s="38" t="str">
        <f t="shared" si="0"/>
        <v>ISLA</v>
      </c>
    </row>
    <row r="14" spans="1:15" x14ac:dyDescent="0.4">
      <c r="A14" s="37">
        <v>13</v>
      </c>
      <c r="B14" s="37" t="s">
        <v>1759</v>
      </c>
      <c r="C14" s="37" t="s">
        <v>2</v>
      </c>
      <c r="D14" s="37" t="s">
        <v>701</v>
      </c>
      <c r="E14" s="12" t="s">
        <v>1771</v>
      </c>
      <c r="F14" s="83">
        <v>43593.822916666664</v>
      </c>
      <c r="G14" s="83">
        <v>43593.85</v>
      </c>
      <c r="H14" s="84">
        <v>39.000000001396984</v>
      </c>
      <c r="I14" s="12" t="s">
        <v>1344</v>
      </c>
      <c r="J14" s="12" t="s">
        <v>1581</v>
      </c>
      <c r="K14" s="100" t="s">
        <v>209</v>
      </c>
      <c r="L14" s="37" t="s">
        <v>1517</v>
      </c>
      <c r="M14" s="37" t="s">
        <v>678</v>
      </c>
      <c r="N14" s="12"/>
      <c r="O14" s="38" t="str">
        <f t="shared" si="0"/>
        <v>ISLA</v>
      </c>
    </row>
    <row r="15" spans="1:15" x14ac:dyDescent="0.4">
      <c r="A15" s="37">
        <v>14</v>
      </c>
      <c r="B15" s="37" t="s">
        <v>1760</v>
      </c>
      <c r="C15" s="37" t="s">
        <v>2</v>
      </c>
      <c r="D15" s="37" t="s">
        <v>704</v>
      </c>
      <c r="E15" s="12" t="s">
        <v>150</v>
      </c>
      <c r="F15" s="83">
        <v>43594.667361111111</v>
      </c>
      <c r="G15" s="83">
        <v>43595.668055555558</v>
      </c>
      <c r="H15" s="84">
        <v>1441.0000000032596</v>
      </c>
      <c r="I15" s="12" t="s">
        <v>1794</v>
      </c>
      <c r="J15" s="12" t="s">
        <v>1795</v>
      </c>
      <c r="K15" s="100" t="s">
        <v>356</v>
      </c>
      <c r="L15" s="37" t="s">
        <v>1332</v>
      </c>
      <c r="M15" s="37" t="s">
        <v>678</v>
      </c>
      <c r="N15" s="12"/>
      <c r="O15" s="38" t="str">
        <f t="shared" si="0"/>
        <v>OSLA</v>
      </c>
    </row>
    <row r="16" spans="1:15" x14ac:dyDescent="0.4">
      <c r="A16" s="37">
        <v>15</v>
      </c>
      <c r="B16" s="37" t="s">
        <v>1761</v>
      </c>
      <c r="C16" s="37" t="s">
        <v>2</v>
      </c>
      <c r="D16" s="37" t="s">
        <v>1389</v>
      </c>
      <c r="E16" s="12" t="s">
        <v>1767</v>
      </c>
      <c r="F16" s="83">
        <v>43595.548611111109</v>
      </c>
      <c r="G16" s="83">
        <v>43595.618055555555</v>
      </c>
      <c r="H16" s="84">
        <v>100.00000000116415</v>
      </c>
      <c r="I16" s="12" t="s">
        <v>1791</v>
      </c>
      <c r="J16" s="12" t="s">
        <v>1796</v>
      </c>
      <c r="K16" s="100" t="s">
        <v>1797</v>
      </c>
      <c r="L16" s="37" t="s">
        <v>889</v>
      </c>
      <c r="M16" s="37" t="s">
        <v>678</v>
      </c>
      <c r="N16" s="12"/>
      <c r="O16" s="38" t="str">
        <f t="shared" si="0"/>
        <v>ISLA</v>
      </c>
    </row>
    <row r="17" spans="1:15" x14ac:dyDescent="0.4">
      <c r="A17" s="37">
        <v>16</v>
      </c>
      <c r="B17" s="37" t="s">
        <v>1762</v>
      </c>
      <c r="C17" s="37" t="s">
        <v>2</v>
      </c>
      <c r="D17" s="37" t="s">
        <v>1389</v>
      </c>
      <c r="E17" s="12" t="s">
        <v>1807</v>
      </c>
      <c r="F17" s="83">
        <v>43595.604166666664</v>
      </c>
      <c r="G17" s="83">
        <v>43595.697916666664</v>
      </c>
      <c r="H17" s="84">
        <v>135</v>
      </c>
      <c r="I17" s="12" t="s">
        <v>1798</v>
      </c>
      <c r="J17" s="12" t="s">
        <v>1799</v>
      </c>
      <c r="K17" s="100" t="s">
        <v>569</v>
      </c>
      <c r="L17" s="37" t="s">
        <v>703</v>
      </c>
      <c r="M17" s="37" t="s">
        <v>678</v>
      </c>
      <c r="N17" s="12"/>
      <c r="O17" s="38" t="str">
        <f t="shared" si="0"/>
        <v>OSLA</v>
      </c>
    </row>
    <row r="18" spans="1:15" x14ac:dyDescent="0.4">
      <c r="A18" s="37">
        <v>17</v>
      </c>
      <c r="B18" s="37" t="s">
        <v>1763</v>
      </c>
      <c r="C18" s="37" t="s">
        <v>2</v>
      </c>
      <c r="D18" s="37" t="s">
        <v>1389</v>
      </c>
      <c r="E18" s="12" t="s">
        <v>1772</v>
      </c>
      <c r="F18" s="102">
        <v>43596.472222222219</v>
      </c>
      <c r="G18" s="102">
        <v>43596.729166666664</v>
      </c>
      <c r="H18" s="103">
        <v>370.00000000116415</v>
      </c>
      <c r="I18" s="12" t="s">
        <v>1586</v>
      </c>
      <c r="J18" s="12" t="s">
        <v>1729</v>
      </c>
      <c r="K18" s="12" t="s">
        <v>1728</v>
      </c>
      <c r="L18" s="37" t="s">
        <v>1590</v>
      </c>
      <c r="M18" s="37" t="s">
        <v>678</v>
      </c>
      <c r="N18" s="12"/>
      <c r="O18" s="38" t="str">
        <f t="shared" si="0"/>
        <v>OSLA</v>
      </c>
    </row>
    <row r="19" spans="1:15" x14ac:dyDescent="0.4">
      <c r="A19" s="37">
        <v>18</v>
      </c>
      <c r="B19" s="37" t="s">
        <v>1764</v>
      </c>
      <c r="C19" s="37" t="s">
        <v>2</v>
      </c>
      <c r="D19" s="37" t="s">
        <v>1389</v>
      </c>
      <c r="E19" s="12" t="s">
        <v>1773</v>
      </c>
      <c r="F19" s="83">
        <v>43596.513888888891</v>
      </c>
      <c r="G19" s="83">
        <v>43596.704861111109</v>
      </c>
      <c r="H19" s="84">
        <v>274.99999999534339</v>
      </c>
      <c r="I19" s="12" t="s">
        <v>1779</v>
      </c>
      <c r="J19" s="12" t="s">
        <v>1801</v>
      </c>
      <c r="K19" s="100" t="s">
        <v>1802</v>
      </c>
      <c r="L19" s="37" t="s">
        <v>701</v>
      </c>
      <c r="M19" s="37" t="s">
        <v>678</v>
      </c>
      <c r="N19" s="12"/>
      <c r="O19" s="38" t="str">
        <f t="shared" si="0"/>
        <v>OSLA</v>
      </c>
    </row>
    <row r="20" spans="1:15" x14ac:dyDescent="0.4">
      <c r="A20" s="37">
        <v>19</v>
      </c>
      <c r="B20" s="37" t="s">
        <v>1765</v>
      </c>
      <c r="C20" s="37" t="s">
        <v>2</v>
      </c>
      <c r="D20" s="37" t="s">
        <v>701</v>
      </c>
      <c r="E20" s="12" t="s">
        <v>1774</v>
      </c>
      <c r="F20" s="83">
        <v>43596.660416666666</v>
      </c>
      <c r="G20" s="83">
        <v>43596.709722222222</v>
      </c>
      <c r="H20" s="84">
        <v>71.000000000931323</v>
      </c>
      <c r="I20" s="12" t="s">
        <v>1520</v>
      </c>
      <c r="J20" s="12" t="s">
        <v>1581</v>
      </c>
      <c r="K20" s="100" t="s">
        <v>209</v>
      </c>
      <c r="L20" s="37" t="s">
        <v>1517</v>
      </c>
      <c r="M20" s="37" t="s">
        <v>678</v>
      </c>
      <c r="N20" s="12"/>
      <c r="O20" s="38" t="str">
        <f t="shared" si="0"/>
        <v>ISLA</v>
      </c>
    </row>
    <row r="21" spans="1:15" x14ac:dyDescent="0.4">
      <c r="A21" s="37">
        <v>20</v>
      </c>
      <c r="B21" s="37" t="s">
        <v>1766</v>
      </c>
      <c r="C21" s="37" t="s">
        <v>2</v>
      </c>
      <c r="D21" s="37" t="s">
        <v>1389</v>
      </c>
      <c r="E21" s="12" t="s">
        <v>1775</v>
      </c>
      <c r="F21" s="83">
        <v>43597.899305555555</v>
      </c>
      <c r="G21" s="83">
        <v>43597.996527777781</v>
      </c>
      <c r="H21" s="84">
        <v>140.00000000582077</v>
      </c>
      <c r="I21" s="12" t="s">
        <v>1803</v>
      </c>
      <c r="J21" s="12" t="s">
        <v>1804</v>
      </c>
      <c r="K21" s="100" t="s">
        <v>1805</v>
      </c>
      <c r="L21" s="37" t="s">
        <v>1517</v>
      </c>
      <c r="M21" s="37" t="s">
        <v>678</v>
      </c>
      <c r="N21" s="12"/>
      <c r="O21" s="38" t="str">
        <f t="shared" si="0"/>
        <v>OSLA</v>
      </c>
    </row>
    <row r="22" spans="1:15" x14ac:dyDescent="0.4">
      <c r="A22" s="37">
        <v>21</v>
      </c>
      <c r="B22" s="37" t="s">
        <v>1811</v>
      </c>
      <c r="C22" s="37" t="s">
        <v>2</v>
      </c>
      <c r="D22" s="37" t="s">
        <v>701</v>
      </c>
      <c r="E22" s="12" t="s">
        <v>1828</v>
      </c>
      <c r="F22" s="102">
        <v>43598.177083333336</v>
      </c>
      <c r="G22" s="102">
        <v>43598.21875</v>
      </c>
      <c r="H22" s="103">
        <v>60</v>
      </c>
      <c r="I22" s="12" t="s">
        <v>313</v>
      </c>
      <c r="J22" s="12" t="s">
        <v>879</v>
      </c>
      <c r="K22" s="100" t="s">
        <v>351</v>
      </c>
      <c r="L22" s="37" t="s">
        <v>701</v>
      </c>
      <c r="M22" s="37" t="s">
        <v>678</v>
      </c>
      <c r="N22" s="12"/>
      <c r="O22" s="38" t="str">
        <f t="shared" si="0"/>
        <v>ISLA</v>
      </c>
    </row>
    <row r="23" spans="1:15" x14ac:dyDescent="0.4">
      <c r="A23" s="37">
        <v>22</v>
      </c>
      <c r="B23" s="37" t="s">
        <v>1810</v>
      </c>
      <c r="C23" s="37" t="s">
        <v>2</v>
      </c>
      <c r="D23" s="37" t="s">
        <v>701</v>
      </c>
      <c r="E23" s="12" t="s">
        <v>1827</v>
      </c>
      <c r="F23" s="83">
        <v>43598.236805555556</v>
      </c>
      <c r="G23" s="83">
        <v>43598.270833333336</v>
      </c>
      <c r="H23" s="84">
        <v>49</v>
      </c>
      <c r="I23" s="12" t="s">
        <v>1520</v>
      </c>
      <c r="J23" s="12" t="s">
        <v>1581</v>
      </c>
      <c r="K23" s="100" t="s">
        <v>209</v>
      </c>
      <c r="L23" s="37" t="s">
        <v>1517</v>
      </c>
      <c r="M23" s="37" t="s">
        <v>678</v>
      </c>
      <c r="N23" s="12"/>
      <c r="O23" s="38" t="str">
        <f t="shared" si="0"/>
        <v>ISLA</v>
      </c>
    </row>
    <row r="24" spans="1:15" x14ac:dyDescent="0.4">
      <c r="A24" s="37">
        <v>23</v>
      </c>
      <c r="B24" s="37" t="s">
        <v>1809</v>
      </c>
      <c r="C24" s="37" t="s">
        <v>2</v>
      </c>
      <c r="D24" s="37" t="s">
        <v>1389</v>
      </c>
      <c r="E24" s="12" t="s">
        <v>1826</v>
      </c>
      <c r="F24" s="83">
        <v>43598.458333333336</v>
      </c>
      <c r="G24" s="83">
        <v>43598.524305555555</v>
      </c>
      <c r="H24" s="84">
        <v>95</v>
      </c>
      <c r="I24" s="12" t="s">
        <v>1798</v>
      </c>
      <c r="J24" s="12" t="s">
        <v>1799</v>
      </c>
      <c r="K24" s="100" t="s">
        <v>569</v>
      </c>
      <c r="L24" s="37" t="s">
        <v>703</v>
      </c>
      <c r="M24" s="37" t="s">
        <v>678</v>
      </c>
      <c r="N24" s="12"/>
      <c r="O24" s="38" t="str">
        <f t="shared" si="0"/>
        <v>ISLA</v>
      </c>
    </row>
    <row r="25" spans="1:15" x14ac:dyDescent="0.4">
      <c r="A25" s="37">
        <v>24</v>
      </c>
      <c r="B25" s="37" t="s">
        <v>1812</v>
      </c>
      <c r="C25" s="37" t="s">
        <v>2</v>
      </c>
      <c r="D25" s="37" t="s">
        <v>1389</v>
      </c>
      <c r="E25" s="12" t="s">
        <v>81</v>
      </c>
      <c r="F25" s="83">
        <v>43599.249305555553</v>
      </c>
      <c r="G25" s="83">
        <v>43599.467361111114</v>
      </c>
      <c r="H25" s="84">
        <v>314</v>
      </c>
      <c r="I25" s="12" t="s">
        <v>1834</v>
      </c>
      <c r="J25" s="12" t="s">
        <v>1835</v>
      </c>
      <c r="K25" s="100" t="s">
        <v>1836</v>
      </c>
      <c r="L25" s="37" t="s">
        <v>704</v>
      </c>
      <c r="M25" s="37" t="s">
        <v>678</v>
      </c>
      <c r="N25" s="12"/>
      <c r="O25" s="38" t="str">
        <f t="shared" si="0"/>
        <v>OSLA</v>
      </c>
    </row>
    <row r="26" spans="1:15" x14ac:dyDescent="0.4">
      <c r="A26" s="37">
        <v>25</v>
      </c>
      <c r="B26" s="37" t="s">
        <v>1813</v>
      </c>
      <c r="C26" s="37" t="s">
        <v>2</v>
      </c>
      <c r="D26" s="37" t="s">
        <v>701</v>
      </c>
      <c r="E26" s="12" t="s">
        <v>1827</v>
      </c>
      <c r="F26" s="83">
        <v>43599.367361111108</v>
      </c>
      <c r="G26" s="83">
        <v>43599.419444444444</v>
      </c>
      <c r="H26" s="84">
        <v>75</v>
      </c>
      <c r="I26" s="12" t="s">
        <v>1837</v>
      </c>
      <c r="J26" s="12" t="s">
        <v>1581</v>
      </c>
      <c r="K26" s="100" t="s">
        <v>209</v>
      </c>
      <c r="L26" s="37" t="s">
        <v>1517</v>
      </c>
      <c r="M26" s="37" t="s">
        <v>678</v>
      </c>
      <c r="N26" s="12"/>
      <c r="O26" s="38" t="str">
        <f t="shared" si="0"/>
        <v>ISLA</v>
      </c>
    </row>
    <row r="27" spans="1:15" x14ac:dyDescent="0.4">
      <c r="A27" s="37">
        <v>26</v>
      </c>
      <c r="B27" s="37" t="s">
        <v>1814</v>
      </c>
      <c r="C27" s="37" t="s">
        <v>2</v>
      </c>
      <c r="D27" s="37" t="s">
        <v>1389</v>
      </c>
      <c r="E27" s="12" t="s">
        <v>1826</v>
      </c>
      <c r="F27" s="102">
        <v>43599.434027777781</v>
      </c>
      <c r="G27" s="83">
        <v>43599.565972222219</v>
      </c>
      <c r="H27" s="84">
        <v>190</v>
      </c>
      <c r="I27" s="12" t="s">
        <v>1798</v>
      </c>
      <c r="J27" s="12" t="s">
        <v>1799</v>
      </c>
      <c r="K27" s="100" t="s">
        <v>569</v>
      </c>
      <c r="L27" s="37" t="s">
        <v>703</v>
      </c>
      <c r="M27" s="37" t="s">
        <v>678</v>
      </c>
      <c r="N27" s="12"/>
      <c r="O27" s="38" t="str">
        <f t="shared" si="0"/>
        <v>OSLA</v>
      </c>
    </row>
    <row r="28" spans="1:15" x14ac:dyDescent="0.4">
      <c r="A28" s="37">
        <v>27</v>
      </c>
      <c r="B28" s="37" t="s">
        <v>1815</v>
      </c>
      <c r="C28" s="37" t="s">
        <v>2</v>
      </c>
      <c r="D28" s="37" t="s">
        <v>1389</v>
      </c>
      <c r="E28" s="12" t="s">
        <v>49</v>
      </c>
      <c r="F28" s="83">
        <v>43599.645833333336</v>
      </c>
      <c r="G28" s="83">
        <v>43599.720833333333</v>
      </c>
      <c r="H28" s="84">
        <v>108</v>
      </c>
      <c r="I28" s="12" t="s">
        <v>1838</v>
      </c>
      <c r="J28" s="12" t="s">
        <v>1839</v>
      </c>
      <c r="K28" s="100" t="s">
        <v>1840</v>
      </c>
      <c r="L28" s="37" t="s">
        <v>707</v>
      </c>
      <c r="M28" s="37" t="s">
        <v>678</v>
      </c>
      <c r="N28" s="12"/>
      <c r="O28" s="38" t="str">
        <f t="shared" si="0"/>
        <v>ISLA</v>
      </c>
    </row>
    <row r="29" spans="1:15" x14ac:dyDescent="0.4">
      <c r="A29" s="37">
        <v>28</v>
      </c>
      <c r="B29" s="37" t="s">
        <v>1816</v>
      </c>
      <c r="C29" s="37" t="s">
        <v>2</v>
      </c>
      <c r="D29" s="37" t="s">
        <v>1389</v>
      </c>
      <c r="E29" s="12" t="s">
        <v>1829</v>
      </c>
      <c r="F29" s="83">
        <v>43599.690972222219</v>
      </c>
      <c r="G29" s="83">
        <v>43599.711805555555</v>
      </c>
      <c r="H29" s="84">
        <v>30</v>
      </c>
      <c r="I29" s="12" t="s">
        <v>1841</v>
      </c>
      <c r="J29" s="12" t="s">
        <v>1842</v>
      </c>
      <c r="K29" s="100" t="s">
        <v>1535</v>
      </c>
      <c r="L29" s="37" t="s">
        <v>1517</v>
      </c>
      <c r="M29" s="37" t="s">
        <v>678</v>
      </c>
      <c r="N29" s="12"/>
      <c r="O29" s="38" t="str">
        <f t="shared" si="0"/>
        <v>ISLA</v>
      </c>
    </row>
    <row r="30" spans="1:15" x14ac:dyDescent="0.4">
      <c r="A30" s="37">
        <v>29</v>
      </c>
      <c r="B30" s="37" t="s">
        <v>1817</v>
      </c>
      <c r="C30" s="37" t="s">
        <v>2</v>
      </c>
      <c r="D30" s="37" t="s">
        <v>1389</v>
      </c>
      <c r="E30" s="12" t="s">
        <v>1830</v>
      </c>
      <c r="F30" s="83">
        <v>43599.84375</v>
      </c>
      <c r="G30" s="83">
        <v>43599.909722222219</v>
      </c>
      <c r="H30" s="84">
        <v>95</v>
      </c>
      <c r="I30" s="12" t="s">
        <v>1843</v>
      </c>
      <c r="J30" s="12" t="s">
        <v>1844</v>
      </c>
      <c r="K30" s="100" t="s">
        <v>105</v>
      </c>
      <c r="L30" s="37" t="s">
        <v>703</v>
      </c>
      <c r="M30" s="37" t="s">
        <v>678</v>
      </c>
      <c r="N30" s="12"/>
      <c r="O30" s="38" t="str">
        <f t="shared" si="0"/>
        <v>ISLA</v>
      </c>
    </row>
    <row r="31" spans="1:15" x14ac:dyDescent="0.4">
      <c r="A31" s="37">
        <v>30</v>
      </c>
      <c r="B31" s="37" t="s">
        <v>1818</v>
      </c>
      <c r="C31" s="37" t="s">
        <v>2</v>
      </c>
      <c r="D31" s="37" t="s">
        <v>701</v>
      </c>
      <c r="E31" s="12" t="s">
        <v>1827</v>
      </c>
      <c r="F31" s="83">
        <v>43600.025000000001</v>
      </c>
      <c r="G31" s="83">
        <v>43600.106249999997</v>
      </c>
      <c r="H31" s="84">
        <v>117</v>
      </c>
      <c r="I31" s="12" t="s">
        <v>1837</v>
      </c>
      <c r="J31" s="12" t="s">
        <v>1581</v>
      </c>
      <c r="K31" s="100" t="s">
        <v>209</v>
      </c>
      <c r="L31" s="37" t="s">
        <v>1517</v>
      </c>
      <c r="M31" s="37" t="s">
        <v>678</v>
      </c>
      <c r="N31" s="12"/>
      <c r="O31" s="38" t="str">
        <f t="shared" si="0"/>
        <v>ISLA</v>
      </c>
    </row>
    <row r="32" spans="1:15" x14ac:dyDescent="0.4">
      <c r="A32" s="37">
        <v>31</v>
      </c>
      <c r="B32" s="37" t="s">
        <v>1819</v>
      </c>
      <c r="C32" s="37" t="s">
        <v>2</v>
      </c>
      <c r="D32" s="37" t="s">
        <v>1389</v>
      </c>
      <c r="E32" s="12" t="s">
        <v>1831</v>
      </c>
      <c r="F32" s="83">
        <v>43600.458333333336</v>
      </c>
      <c r="G32" s="83">
        <v>43600.492361111108</v>
      </c>
      <c r="H32" s="84">
        <v>49</v>
      </c>
      <c r="I32" s="12" t="s">
        <v>1845</v>
      </c>
      <c r="J32" s="12" t="s">
        <v>1846</v>
      </c>
      <c r="K32" s="100" t="s">
        <v>1847</v>
      </c>
      <c r="L32" s="37" t="s">
        <v>1128</v>
      </c>
      <c r="M32" s="37" t="s">
        <v>678</v>
      </c>
      <c r="N32" s="12"/>
      <c r="O32" s="38" t="str">
        <f t="shared" si="0"/>
        <v>ISLA</v>
      </c>
    </row>
    <row r="33" spans="1:15" x14ac:dyDescent="0.4">
      <c r="A33" s="37">
        <v>32</v>
      </c>
      <c r="B33" s="37" t="s">
        <v>1820</v>
      </c>
      <c r="C33" s="37" t="s">
        <v>2</v>
      </c>
      <c r="D33" s="37" t="s">
        <v>701</v>
      </c>
      <c r="E33" s="12" t="s">
        <v>1832</v>
      </c>
      <c r="F33" s="102">
        <v>43600.701388888891</v>
      </c>
      <c r="G33" s="102">
        <v>43600.8125</v>
      </c>
      <c r="H33" s="103">
        <v>160</v>
      </c>
      <c r="I33" s="12" t="s">
        <v>1848</v>
      </c>
      <c r="J33" s="12" t="s">
        <v>1920</v>
      </c>
      <c r="K33" s="100" t="s">
        <v>1921</v>
      </c>
      <c r="L33" s="37" t="s">
        <v>701</v>
      </c>
      <c r="M33" s="37" t="s">
        <v>678</v>
      </c>
      <c r="N33" s="12"/>
      <c r="O33" s="38" t="str">
        <f t="shared" si="0"/>
        <v>OSLA</v>
      </c>
    </row>
    <row r="34" spans="1:15" x14ac:dyDescent="0.4">
      <c r="A34" s="37">
        <v>33</v>
      </c>
      <c r="B34" s="37" t="s">
        <v>1821</v>
      </c>
      <c r="C34" s="37" t="s">
        <v>14</v>
      </c>
      <c r="D34" s="37" t="s">
        <v>701</v>
      </c>
      <c r="E34" s="12" t="s">
        <v>1832</v>
      </c>
      <c r="F34" s="102">
        <v>43600.920138888891</v>
      </c>
      <c r="G34" s="102">
        <v>43600.968055555553</v>
      </c>
      <c r="H34" s="103">
        <v>68.999999994412065</v>
      </c>
      <c r="I34" s="12" t="s">
        <v>1848</v>
      </c>
      <c r="J34" s="12" t="s">
        <v>1849</v>
      </c>
      <c r="K34" s="100" t="s">
        <v>1921</v>
      </c>
      <c r="L34" s="37" t="s">
        <v>701</v>
      </c>
      <c r="M34" s="37" t="s">
        <v>678</v>
      </c>
      <c r="N34" s="12"/>
      <c r="O34" s="38" t="str">
        <f t="shared" ref="O34:O58" si="1">IF(AND(C34=$B$63,H34&lt;=$D$63),"ISLA",IF((AND(C34=$B$64,H34&lt;=$D$64)),"ISLA",IF((AND(C34=$B$65,H34&lt;=$D$65)),"ISLA","OSLA")))</f>
        <v>ISLA</v>
      </c>
    </row>
    <row r="35" spans="1:15" x14ac:dyDescent="0.4">
      <c r="A35" s="37">
        <v>34</v>
      </c>
      <c r="B35" s="37" t="s">
        <v>1822</v>
      </c>
      <c r="C35" s="37" t="s">
        <v>2</v>
      </c>
      <c r="D35" s="37" t="s">
        <v>701</v>
      </c>
      <c r="E35" s="12" t="s">
        <v>1827</v>
      </c>
      <c r="F35" s="83">
        <v>43600.930555555555</v>
      </c>
      <c r="G35" s="83">
        <v>43601.106249999997</v>
      </c>
      <c r="H35" s="84">
        <v>253</v>
      </c>
      <c r="I35" s="12" t="s">
        <v>1837</v>
      </c>
      <c r="J35" s="12" t="s">
        <v>1581</v>
      </c>
      <c r="K35" s="100" t="s">
        <v>209</v>
      </c>
      <c r="L35" s="37" t="s">
        <v>1517</v>
      </c>
      <c r="M35" s="37" t="s">
        <v>678</v>
      </c>
      <c r="N35" s="12"/>
      <c r="O35" s="38" t="str">
        <f t="shared" si="1"/>
        <v>OSLA</v>
      </c>
    </row>
    <row r="36" spans="1:15" x14ac:dyDescent="0.4">
      <c r="A36" s="37">
        <v>35</v>
      </c>
      <c r="B36" s="37" t="s">
        <v>1823</v>
      </c>
      <c r="C36" s="37" t="s">
        <v>2</v>
      </c>
      <c r="D36" s="37" t="s">
        <v>1389</v>
      </c>
      <c r="E36" s="12" t="s">
        <v>1833</v>
      </c>
      <c r="F36" s="83">
        <v>43602.361111111109</v>
      </c>
      <c r="G36" s="83">
        <v>43602.561111111114</v>
      </c>
      <c r="H36" s="84">
        <v>288.00000000628643</v>
      </c>
      <c r="I36" s="12" t="s">
        <v>1850</v>
      </c>
      <c r="J36" s="12" t="s">
        <v>1851</v>
      </c>
      <c r="K36" s="100" t="s">
        <v>1852</v>
      </c>
      <c r="L36" s="37" t="s">
        <v>715</v>
      </c>
      <c r="M36" s="37" t="s">
        <v>678</v>
      </c>
      <c r="N36" s="12"/>
      <c r="O36" s="38" t="str">
        <f t="shared" si="1"/>
        <v>OSLA</v>
      </c>
    </row>
    <row r="37" spans="1:15" x14ac:dyDescent="0.4">
      <c r="A37" s="37">
        <v>36</v>
      </c>
      <c r="B37" s="37" t="s">
        <v>1824</v>
      </c>
      <c r="C37" s="37" t="s">
        <v>2</v>
      </c>
      <c r="D37" s="37" t="s">
        <v>701</v>
      </c>
      <c r="E37" s="12" t="s">
        <v>1827</v>
      </c>
      <c r="F37" s="83">
        <v>43602.574305555558</v>
      </c>
      <c r="G37" s="83">
        <v>43602.664583333331</v>
      </c>
      <c r="H37" s="84">
        <v>129.99999999417923</v>
      </c>
      <c r="I37" s="12" t="s">
        <v>1837</v>
      </c>
      <c r="J37" s="12" t="s">
        <v>1521</v>
      </c>
      <c r="K37" s="100" t="s">
        <v>209</v>
      </c>
      <c r="L37" s="37" t="s">
        <v>1517</v>
      </c>
      <c r="M37" s="37" t="s">
        <v>678</v>
      </c>
      <c r="N37" s="12"/>
      <c r="O37" s="38" t="str">
        <f t="shared" si="1"/>
        <v>OSLA</v>
      </c>
    </row>
    <row r="38" spans="1:15" x14ac:dyDescent="0.4">
      <c r="A38" s="37">
        <v>37</v>
      </c>
      <c r="B38" s="37" t="s">
        <v>1825</v>
      </c>
      <c r="C38" s="37" t="s">
        <v>2</v>
      </c>
      <c r="D38" s="37" t="s">
        <v>701</v>
      </c>
      <c r="E38" s="12" t="s">
        <v>1771</v>
      </c>
      <c r="F38" s="83">
        <v>43603.913888888892</v>
      </c>
      <c r="G38" s="83">
        <v>43603.931250000001</v>
      </c>
      <c r="H38" s="84">
        <v>24.999999997671694</v>
      </c>
      <c r="I38" s="12" t="s">
        <v>1344</v>
      </c>
      <c r="J38" s="12" t="s">
        <v>1521</v>
      </c>
      <c r="K38" s="100" t="s">
        <v>209</v>
      </c>
      <c r="L38" s="37" t="s">
        <v>1517</v>
      </c>
      <c r="M38" s="37" t="s">
        <v>678</v>
      </c>
      <c r="N38" s="12"/>
      <c r="O38" s="38" t="str">
        <f t="shared" si="1"/>
        <v>ISLA</v>
      </c>
    </row>
    <row r="39" spans="1:15" x14ac:dyDescent="0.4">
      <c r="A39" s="37">
        <v>38</v>
      </c>
      <c r="B39" s="37" t="s">
        <v>1871</v>
      </c>
      <c r="C39" s="37" t="s">
        <v>2</v>
      </c>
      <c r="D39" s="37" t="s">
        <v>701</v>
      </c>
      <c r="E39" s="12" t="s">
        <v>33</v>
      </c>
      <c r="F39" s="83">
        <v>43605</v>
      </c>
      <c r="G39" s="83">
        <v>43619.604166666664</v>
      </c>
      <c r="H39" s="84">
        <f>(G39-F39)*1440</f>
        <v>21029.999999996508</v>
      </c>
      <c r="I39" s="12" t="s">
        <v>1704</v>
      </c>
      <c r="J39" s="12" t="s">
        <v>1874</v>
      </c>
      <c r="K39" s="12" t="s">
        <v>1919</v>
      </c>
      <c r="L39" s="37" t="s">
        <v>707</v>
      </c>
      <c r="M39" s="37" t="s">
        <v>678</v>
      </c>
      <c r="N39" s="12"/>
      <c r="O39" s="38" t="str">
        <f t="shared" si="1"/>
        <v>OSLA</v>
      </c>
    </row>
    <row r="40" spans="1:15" x14ac:dyDescent="0.4">
      <c r="A40" s="37">
        <v>39</v>
      </c>
      <c r="B40" s="37" t="s">
        <v>1864</v>
      </c>
      <c r="C40" s="37" t="s">
        <v>2</v>
      </c>
      <c r="D40" s="37" t="s">
        <v>701</v>
      </c>
      <c r="E40" s="12" t="s">
        <v>1853</v>
      </c>
      <c r="F40" s="83">
        <v>43605.965277777781</v>
      </c>
      <c r="G40" s="83">
        <v>43606.574999999997</v>
      </c>
      <c r="H40" s="84">
        <f t="shared" ref="H40:H48" si="2">(G40-F40)*1440</f>
        <v>877.99999999115244</v>
      </c>
      <c r="I40" s="12" t="s">
        <v>1859</v>
      </c>
      <c r="J40" s="12" t="s">
        <v>1873</v>
      </c>
      <c r="K40" s="100" t="s">
        <v>1860</v>
      </c>
      <c r="L40" s="37" t="s">
        <v>701</v>
      </c>
      <c r="M40" s="37" t="s">
        <v>678</v>
      </c>
      <c r="N40" s="12"/>
      <c r="O40" s="38" t="str">
        <f t="shared" si="1"/>
        <v>OSLA</v>
      </c>
    </row>
    <row r="41" spans="1:15" x14ac:dyDescent="0.4">
      <c r="A41" s="37">
        <v>40</v>
      </c>
      <c r="B41" s="37" t="s">
        <v>1865</v>
      </c>
      <c r="C41" s="37" t="s">
        <v>2</v>
      </c>
      <c r="D41" s="37" t="s">
        <v>707</v>
      </c>
      <c r="E41" s="12" t="s">
        <v>147</v>
      </c>
      <c r="F41" s="83">
        <v>43606.088888888888</v>
      </c>
      <c r="G41" s="83">
        <v>43606.104861111111</v>
      </c>
      <c r="H41" s="84">
        <f t="shared" si="2"/>
        <v>23.000000001629815</v>
      </c>
      <c r="I41" s="12" t="s">
        <v>1855</v>
      </c>
      <c r="J41" s="12" t="s">
        <v>1861</v>
      </c>
      <c r="K41" s="100" t="s">
        <v>1862</v>
      </c>
      <c r="L41" s="37" t="s">
        <v>707</v>
      </c>
      <c r="M41" s="37" t="s">
        <v>678</v>
      </c>
      <c r="N41" s="12"/>
      <c r="O41" s="38" t="str">
        <f t="shared" si="1"/>
        <v>ISLA</v>
      </c>
    </row>
    <row r="42" spans="1:15" x14ac:dyDescent="0.4">
      <c r="A42" s="37">
        <v>41</v>
      </c>
      <c r="B42" s="37" t="s">
        <v>1866</v>
      </c>
      <c r="C42" s="37" t="s">
        <v>2</v>
      </c>
      <c r="D42" s="37" t="s">
        <v>701</v>
      </c>
      <c r="E42" s="12" t="s">
        <v>33</v>
      </c>
      <c r="F42" s="102">
        <v>43606.447916666664</v>
      </c>
      <c r="G42" s="102">
        <v>43606.513888888891</v>
      </c>
      <c r="H42" s="103">
        <f t="shared" si="2"/>
        <v>95.000000005820766</v>
      </c>
      <c r="I42" s="12" t="s">
        <v>1856</v>
      </c>
      <c r="J42" s="12" t="s">
        <v>1922</v>
      </c>
      <c r="K42" s="100" t="s">
        <v>20</v>
      </c>
      <c r="L42" s="37" t="s">
        <v>707</v>
      </c>
      <c r="M42" s="37" t="s">
        <v>678</v>
      </c>
      <c r="N42" s="12"/>
      <c r="O42" s="38" t="str">
        <f t="shared" si="1"/>
        <v>ISLA</v>
      </c>
    </row>
    <row r="43" spans="1:15" x14ac:dyDescent="0.4">
      <c r="A43" s="37">
        <v>42</v>
      </c>
      <c r="B43" s="37" t="s">
        <v>1867</v>
      </c>
      <c r="C43" s="37" t="s">
        <v>2</v>
      </c>
      <c r="D43" s="37" t="s">
        <v>701</v>
      </c>
      <c r="E43" s="12" t="s">
        <v>522</v>
      </c>
      <c r="F43" s="102">
        <v>43607.095138888886</v>
      </c>
      <c r="G43" s="102">
        <v>43607.099305555559</v>
      </c>
      <c r="H43" s="103">
        <f t="shared" si="2"/>
        <v>6.0000000090803951</v>
      </c>
      <c r="I43" s="12" t="s">
        <v>1857</v>
      </c>
      <c r="J43" s="12" t="s">
        <v>1800</v>
      </c>
      <c r="K43" s="12" t="s">
        <v>1800</v>
      </c>
      <c r="L43" s="37" t="s">
        <v>701</v>
      </c>
      <c r="M43" s="37" t="s">
        <v>678</v>
      </c>
      <c r="N43" s="12"/>
      <c r="O43" s="38" t="str">
        <f t="shared" si="1"/>
        <v>ISLA</v>
      </c>
    </row>
    <row r="44" spans="1:15" x14ac:dyDescent="0.4">
      <c r="A44" s="37">
        <v>43</v>
      </c>
      <c r="B44" s="37" t="s">
        <v>1876</v>
      </c>
      <c r="C44" s="37" t="s">
        <v>2</v>
      </c>
      <c r="D44" s="37" t="s">
        <v>1882</v>
      </c>
      <c r="E44" s="12" t="s">
        <v>1881</v>
      </c>
      <c r="F44" s="83">
        <v>43607.125</v>
      </c>
      <c r="G44" s="83">
        <v>43607.477083333331</v>
      </c>
      <c r="H44" s="84">
        <f t="shared" si="2"/>
        <v>506.99999999720603</v>
      </c>
      <c r="I44" s="12" t="s">
        <v>1880</v>
      </c>
      <c r="J44" s="12" t="s">
        <v>1878</v>
      </c>
      <c r="K44" s="12" t="s">
        <v>1879</v>
      </c>
      <c r="L44" s="37" t="s">
        <v>1877</v>
      </c>
      <c r="M44" s="37" t="s">
        <v>678</v>
      </c>
      <c r="N44" s="12"/>
      <c r="O44" s="38" t="str">
        <f t="shared" si="1"/>
        <v>OSLA</v>
      </c>
    </row>
    <row r="45" spans="1:15" x14ac:dyDescent="0.4">
      <c r="A45" s="37">
        <v>44</v>
      </c>
      <c r="B45" s="37" t="s">
        <v>1868</v>
      </c>
      <c r="C45" s="37" t="s">
        <v>2</v>
      </c>
      <c r="D45" s="37" t="s">
        <v>701</v>
      </c>
      <c r="E45" s="12" t="s">
        <v>1771</v>
      </c>
      <c r="F45" s="83">
        <v>43607.55972222222</v>
      </c>
      <c r="G45" s="83">
        <v>43607.606944444444</v>
      </c>
      <c r="H45" s="84">
        <f t="shared" si="2"/>
        <v>68.000000001629815</v>
      </c>
      <c r="I45" s="12" t="s">
        <v>1344</v>
      </c>
      <c r="J45" s="12" t="s">
        <v>1863</v>
      </c>
      <c r="K45" s="100" t="s">
        <v>209</v>
      </c>
      <c r="L45" s="37" t="s">
        <v>1517</v>
      </c>
      <c r="M45" s="37" t="s">
        <v>678</v>
      </c>
      <c r="N45" s="12"/>
      <c r="O45" s="38" t="str">
        <f t="shared" si="1"/>
        <v>ISLA</v>
      </c>
    </row>
    <row r="46" spans="1:15" x14ac:dyDescent="0.4">
      <c r="A46" s="37">
        <v>45</v>
      </c>
      <c r="B46" s="37" t="s">
        <v>1869</v>
      </c>
      <c r="C46" s="37" t="s">
        <v>2</v>
      </c>
      <c r="D46" s="37" t="s">
        <v>701</v>
      </c>
      <c r="E46" s="12" t="s">
        <v>1854</v>
      </c>
      <c r="F46" s="83">
        <v>43608.077777777777</v>
      </c>
      <c r="G46" s="83">
        <v>43608.282638888886</v>
      </c>
      <c r="H46" s="84">
        <f t="shared" si="2"/>
        <v>294.99999999767169</v>
      </c>
      <c r="I46" s="12" t="s">
        <v>1837</v>
      </c>
      <c r="J46" s="12" t="s">
        <v>1521</v>
      </c>
      <c r="K46" s="100" t="s">
        <v>209</v>
      </c>
      <c r="L46" s="37" t="s">
        <v>1517</v>
      </c>
      <c r="M46" s="37" t="s">
        <v>678</v>
      </c>
      <c r="N46" s="12"/>
      <c r="O46" s="38" t="str">
        <f t="shared" si="1"/>
        <v>OSLA</v>
      </c>
    </row>
    <row r="47" spans="1:15" x14ac:dyDescent="0.4">
      <c r="A47" s="37">
        <v>46</v>
      </c>
      <c r="B47" s="37" t="s">
        <v>1870</v>
      </c>
      <c r="C47" s="37" t="s">
        <v>2</v>
      </c>
      <c r="D47" s="37" t="s">
        <v>701</v>
      </c>
      <c r="E47" s="12" t="s">
        <v>1854</v>
      </c>
      <c r="F47" s="83">
        <v>43608.85</v>
      </c>
      <c r="G47" s="83">
        <v>43608.884027777778</v>
      </c>
      <c r="H47" s="84">
        <f t="shared" si="2"/>
        <v>49.000000002561137</v>
      </c>
      <c r="I47" s="12" t="s">
        <v>1837</v>
      </c>
      <c r="J47" s="12" t="s">
        <v>1521</v>
      </c>
      <c r="K47" s="100" t="s">
        <v>209</v>
      </c>
      <c r="L47" s="37" t="s">
        <v>1517</v>
      </c>
      <c r="M47" s="37" t="s">
        <v>678</v>
      </c>
      <c r="N47" s="12"/>
      <c r="O47" s="38" t="str">
        <f t="shared" si="1"/>
        <v>ISLA</v>
      </c>
    </row>
    <row r="48" spans="1:15" x14ac:dyDescent="0.4">
      <c r="A48" s="37">
        <v>47</v>
      </c>
      <c r="B48" s="37" t="s">
        <v>1872</v>
      </c>
      <c r="C48" s="37" t="s">
        <v>2</v>
      </c>
      <c r="D48" s="37" t="s">
        <v>1875</v>
      </c>
      <c r="E48" s="12" t="s">
        <v>44</v>
      </c>
      <c r="F48" s="83">
        <v>43608.942361111112</v>
      </c>
      <c r="G48" s="83">
        <v>43609.929166666669</v>
      </c>
      <c r="H48" s="84">
        <f t="shared" si="2"/>
        <v>1421.0000000009313</v>
      </c>
      <c r="I48" s="12" t="s">
        <v>1858</v>
      </c>
      <c r="J48" s="12" t="s">
        <v>1889</v>
      </c>
      <c r="K48" s="12" t="s">
        <v>1890</v>
      </c>
      <c r="L48" s="37" t="s">
        <v>2615</v>
      </c>
      <c r="M48" s="37" t="s">
        <v>678</v>
      </c>
      <c r="N48" s="12"/>
      <c r="O48" s="38" t="str">
        <f t="shared" si="1"/>
        <v>OSLA</v>
      </c>
    </row>
    <row r="49" spans="1:15" x14ac:dyDescent="0.4">
      <c r="A49" s="37">
        <v>48</v>
      </c>
      <c r="B49" s="37" t="s">
        <v>1884</v>
      </c>
      <c r="C49" s="37" t="s">
        <v>2</v>
      </c>
      <c r="D49" s="37" t="s">
        <v>701</v>
      </c>
      <c r="E49" s="12" t="s">
        <v>1891</v>
      </c>
      <c r="F49" s="83">
        <v>43609.725694444445</v>
      </c>
      <c r="G49" s="83">
        <v>43609.753472222219</v>
      </c>
      <c r="H49" s="84">
        <f>(G49-F49)*1440</f>
        <v>39.999999994179234</v>
      </c>
      <c r="I49" s="12" t="s">
        <v>1885</v>
      </c>
      <c r="J49" s="12" t="s">
        <v>1886</v>
      </c>
      <c r="K49" s="12" t="s">
        <v>1887</v>
      </c>
      <c r="L49" s="37" t="s">
        <v>701</v>
      </c>
      <c r="M49" s="37" t="s">
        <v>678</v>
      </c>
      <c r="N49" s="12"/>
      <c r="O49" s="38" t="str">
        <f t="shared" si="1"/>
        <v>ISLA</v>
      </c>
    </row>
    <row r="50" spans="1:15" x14ac:dyDescent="0.4">
      <c r="A50" s="37">
        <v>49</v>
      </c>
      <c r="B50" s="37" t="s">
        <v>1888</v>
      </c>
      <c r="C50" s="37" t="s">
        <v>2</v>
      </c>
      <c r="D50" s="37" t="s">
        <v>701</v>
      </c>
      <c r="E50" s="12" t="s">
        <v>1854</v>
      </c>
      <c r="F50" s="83">
        <v>43610.034722222219</v>
      </c>
      <c r="G50" s="83">
        <v>43610.107638888891</v>
      </c>
      <c r="H50" s="84">
        <f>(G50-F50)*1440</f>
        <v>105.00000000698492</v>
      </c>
      <c r="I50" s="12" t="s">
        <v>1837</v>
      </c>
      <c r="J50" s="12" t="s">
        <v>1521</v>
      </c>
      <c r="K50" s="100" t="s">
        <v>209</v>
      </c>
      <c r="L50" s="37" t="s">
        <v>1517</v>
      </c>
      <c r="M50" s="37" t="s">
        <v>678</v>
      </c>
      <c r="N50" s="12"/>
      <c r="O50" s="38" t="str">
        <f t="shared" si="1"/>
        <v>ISLA</v>
      </c>
    </row>
    <row r="51" spans="1:15" x14ac:dyDescent="0.4">
      <c r="A51" s="37">
        <v>50</v>
      </c>
      <c r="B51" s="37" t="s">
        <v>1894</v>
      </c>
      <c r="C51" s="37" t="s">
        <v>2</v>
      </c>
      <c r="D51" s="37" t="s">
        <v>701</v>
      </c>
      <c r="E51" s="12" t="s">
        <v>1854</v>
      </c>
      <c r="F51" s="83">
        <v>43611.051388888889</v>
      </c>
      <c r="G51" s="83">
        <v>43611.4375</v>
      </c>
      <c r="H51" s="84">
        <f>(G51-F51)*1440</f>
        <v>555.99999999976717</v>
      </c>
      <c r="I51" s="12" t="s">
        <v>1837</v>
      </c>
      <c r="J51" s="12" t="s">
        <v>1521</v>
      </c>
      <c r="K51" s="100" t="s">
        <v>209</v>
      </c>
      <c r="L51" s="37" t="s">
        <v>1517</v>
      </c>
      <c r="M51" s="37" t="s">
        <v>678</v>
      </c>
      <c r="N51" s="12"/>
      <c r="O51" s="38" t="str">
        <f t="shared" si="1"/>
        <v>OSLA</v>
      </c>
    </row>
    <row r="52" spans="1:15" x14ac:dyDescent="0.4">
      <c r="A52" s="37">
        <v>51</v>
      </c>
      <c r="B52" s="37" t="s">
        <v>1892</v>
      </c>
      <c r="C52" s="37" t="s">
        <v>2</v>
      </c>
      <c r="D52" s="37" t="s">
        <v>702</v>
      </c>
      <c r="E52" s="12" t="s">
        <v>228</v>
      </c>
      <c r="F52" s="83">
        <v>43611.497916666667</v>
      </c>
      <c r="G52" s="83">
        <v>43613.500694444447</v>
      </c>
      <c r="H52" s="84">
        <f>(G52-F52)*1440</f>
        <v>2884.0000000025611</v>
      </c>
      <c r="I52" s="12" t="s">
        <v>1893</v>
      </c>
      <c r="J52" s="12" t="s">
        <v>1895</v>
      </c>
      <c r="K52" s="12" t="s">
        <v>1895</v>
      </c>
      <c r="L52" s="37" t="s">
        <v>1734</v>
      </c>
      <c r="M52" s="37" t="s">
        <v>678</v>
      </c>
      <c r="N52" s="12"/>
      <c r="O52" s="38" t="str">
        <f t="shared" si="1"/>
        <v>OSLA</v>
      </c>
    </row>
    <row r="53" spans="1:15" x14ac:dyDescent="0.4">
      <c r="A53" s="37">
        <v>52</v>
      </c>
      <c r="B53" s="37" t="s">
        <v>1896</v>
      </c>
      <c r="C53" s="37" t="s">
        <v>2</v>
      </c>
      <c r="D53" s="37" t="s">
        <v>702</v>
      </c>
      <c r="E53" s="12" t="s">
        <v>1897</v>
      </c>
      <c r="F53" s="83">
        <v>43612.840277777781</v>
      </c>
      <c r="G53" s="83">
        <v>43612.902777777781</v>
      </c>
      <c r="H53" s="84">
        <v>90</v>
      </c>
      <c r="I53" s="12" t="s">
        <v>1898</v>
      </c>
      <c r="J53" s="12" t="s">
        <v>1899</v>
      </c>
      <c r="K53" s="12" t="s">
        <v>1900</v>
      </c>
      <c r="L53" s="37" t="s">
        <v>1901</v>
      </c>
      <c r="M53" s="37" t="s">
        <v>678</v>
      </c>
      <c r="N53" s="12"/>
      <c r="O53" s="38" t="str">
        <f t="shared" si="1"/>
        <v>ISLA</v>
      </c>
    </row>
    <row r="54" spans="1:15" x14ac:dyDescent="0.4">
      <c r="A54" s="37">
        <v>53</v>
      </c>
      <c r="B54" s="37" t="s">
        <v>1902</v>
      </c>
      <c r="C54" s="37" t="s">
        <v>2</v>
      </c>
      <c r="D54" s="37" t="s">
        <v>701</v>
      </c>
      <c r="E54" s="12" t="s">
        <v>1903</v>
      </c>
      <c r="F54" s="83">
        <v>43614.054166666669</v>
      </c>
      <c r="G54" s="83">
        <v>43614.138888888891</v>
      </c>
      <c r="H54" s="84">
        <v>121.99999999953434</v>
      </c>
      <c r="I54" s="12" t="s">
        <v>1904</v>
      </c>
      <c r="J54" s="12" t="s">
        <v>1905</v>
      </c>
      <c r="K54" s="12" t="s">
        <v>1906</v>
      </c>
      <c r="L54" s="37" t="s">
        <v>701</v>
      </c>
      <c r="M54" s="37" t="s">
        <v>678</v>
      </c>
      <c r="N54" s="12"/>
      <c r="O54" s="38" t="str">
        <f t="shared" si="1"/>
        <v>OSLA</v>
      </c>
    </row>
    <row r="55" spans="1:15" x14ac:dyDescent="0.4">
      <c r="A55" s="37">
        <v>54</v>
      </c>
      <c r="B55" s="37" t="s">
        <v>1902</v>
      </c>
      <c r="C55" s="37" t="s">
        <v>14</v>
      </c>
      <c r="D55" s="37" t="s">
        <v>701</v>
      </c>
      <c r="E55" s="12" t="s">
        <v>1907</v>
      </c>
      <c r="F55" s="83">
        <v>43614.138888888891</v>
      </c>
      <c r="G55" s="83">
        <v>43614.236111111109</v>
      </c>
      <c r="H55" s="84">
        <v>139.99999999534339</v>
      </c>
      <c r="I55" s="12" t="s">
        <v>1908</v>
      </c>
      <c r="J55" s="12" t="s">
        <v>1905</v>
      </c>
      <c r="K55" s="12" t="s">
        <v>1909</v>
      </c>
      <c r="L55" s="37" t="s">
        <v>701</v>
      </c>
      <c r="M55" s="37" t="s">
        <v>678</v>
      </c>
      <c r="N55" s="12"/>
      <c r="O55" s="38" t="str">
        <f t="shared" si="1"/>
        <v>ISLA</v>
      </c>
    </row>
    <row r="56" spans="1:15" x14ac:dyDescent="0.4">
      <c r="A56" s="37">
        <v>55</v>
      </c>
      <c r="B56" s="37" t="s">
        <v>1910</v>
      </c>
      <c r="C56" s="37" t="s">
        <v>2</v>
      </c>
      <c r="D56" s="37" t="s">
        <v>701</v>
      </c>
      <c r="E56" s="12" t="s">
        <v>1854</v>
      </c>
      <c r="F56" s="83">
        <v>43614.527777777781</v>
      </c>
      <c r="G56" s="83">
        <v>43614.57708333333</v>
      </c>
      <c r="H56" s="84">
        <v>70.999999990453944</v>
      </c>
      <c r="I56" s="12" t="s">
        <v>1837</v>
      </c>
      <c r="J56" s="12" t="s">
        <v>1521</v>
      </c>
      <c r="K56" s="12" t="s">
        <v>209</v>
      </c>
      <c r="L56" s="37" t="s">
        <v>1517</v>
      </c>
      <c r="M56" s="37" t="s">
        <v>678</v>
      </c>
      <c r="N56" s="12"/>
      <c r="O56" s="38" t="str">
        <f t="shared" si="1"/>
        <v>ISLA</v>
      </c>
    </row>
    <row r="57" spans="1:15" x14ac:dyDescent="0.4">
      <c r="A57" s="37">
        <v>56</v>
      </c>
      <c r="B57" s="37" t="s">
        <v>1911</v>
      </c>
      <c r="C57" s="37" t="s">
        <v>2</v>
      </c>
      <c r="D57" s="37" t="s">
        <v>701</v>
      </c>
      <c r="E57" s="12" t="s">
        <v>1854</v>
      </c>
      <c r="F57" s="83">
        <v>43616.079861111109</v>
      </c>
      <c r="G57" s="83">
        <v>43616.255555555559</v>
      </c>
      <c r="H57" s="84">
        <v>253.00000000745058</v>
      </c>
      <c r="I57" s="12" t="s">
        <v>1837</v>
      </c>
      <c r="J57" s="12" t="s">
        <v>1521</v>
      </c>
      <c r="K57" s="12" t="s">
        <v>209</v>
      </c>
      <c r="L57" s="37" t="s">
        <v>1517</v>
      </c>
      <c r="M57" s="37" t="s">
        <v>678</v>
      </c>
      <c r="N57" s="12"/>
      <c r="O57" s="38" t="str">
        <f t="shared" si="1"/>
        <v>OSLA</v>
      </c>
    </row>
    <row r="58" spans="1:15" x14ac:dyDescent="0.4">
      <c r="A58" s="37">
        <v>57</v>
      </c>
      <c r="B58" s="37" t="s">
        <v>1912</v>
      </c>
      <c r="C58" s="37" t="s">
        <v>2</v>
      </c>
      <c r="D58" s="37" t="s">
        <v>702</v>
      </c>
      <c r="E58" s="12" t="s">
        <v>1913</v>
      </c>
      <c r="F58" s="83">
        <v>43616.451388888891</v>
      </c>
      <c r="G58" s="83">
        <v>43616.458333333336</v>
      </c>
      <c r="H58" s="84">
        <v>10.000000001164153</v>
      </c>
      <c r="I58" s="12" t="s">
        <v>1717</v>
      </c>
      <c r="J58" s="12" t="s">
        <v>20</v>
      </c>
      <c r="K58" s="12" t="s">
        <v>105</v>
      </c>
      <c r="L58" s="37" t="s">
        <v>703</v>
      </c>
      <c r="M58" s="37" t="s">
        <v>678</v>
      </c>
      <c r="N58" s="12"/>
      <c r="O58" s="38" t="str">
        <f t="shared" si="1"/>
        <v>ISLA</v>
      </c>
    </row>
    <row r="59" spans="1:15" x14ac:dyDescent="0.4">
      <c r="A59" s="37"/>
      <c r="B59" s="37"/>
      <c r="C59" s="37"/>
      <c r="D59" s="37"/>
      <c r="E59" s="12"/>
      <c r="F59" s="83"/>
      <c r="G59" s="83"/>
      <c r="H59" s="84"/>
      <c r="I59" s="12"/>
      <c r="J59" s="12"/>
      <c r="K59" s="12"/>
      <c r="L59" s="37"/>
      <c r="M59" s="37"/>
      <c r="N59" s="12"/>
      <c r="O59" s="38"/>
    </row>
    <row r="60" spans="1:15" s="73" customFormat="1" x14ac:dyDescent="0.4">
      <c r="A60" s="128"/>
      <c r="B60" s="128"/>
      <c r="C60" s="128"/>
      <c r="D60" s="128"/>
    </row>
    <row r="61" spans="1:15" s="73" customFormat="1" x14ac:dyDescent="0.4">
      <c r="A61" s="128"/>
      <c r="B61" s="128"/>
      <c r="C61" s="128"/>
      <c r="D61" s="128"/>
      <c r="J61"/>
    </row>
    <row r="62" spans="1:15" s="73" customFormat="1" x14ac:dyDescent="0.4">
      <c r="A62" s="128"/>
      <c r="B62" s="128"/>
      <c r="C62" s="128"/>
      <c r="D62" s="128"/>
    </row>
    <row r="63" spans="1:15" x14ac:dyDescent="0.4">
      <c r="A63" s="128"/>
      <c r="B63" s="73" t="s">
        <v>2</v>
      </c>
      <c r="C63" s="73" t="s">
        <v>776</v>
      </c>
      <c r="D63" s="73">
        <v>120</v>
      </c>
      <c r="E63" s="73"/>
    </row>
    <row r="64" spans="1:15" x14ac:dyDescent="0.4">
      <c r="A64" s="128"/>
      <c r="B64" s="73" t="s">
        <v>14</v>
      </c>
      <c r="C64" s="73" t="s">
        <v>777</v>
      </c>
      <c r="D64" s="73">
        <v>240</v>
      </c>
      <c r="E64" s="73"/>
    </row>
    <row r="65" spans="1:5" x14ac:dyDescent="0.4">
      <c r="A65" s="128"/>
      <c r="B65" s="73" t="s">
        <v>158</v>
      </c>
      <c r="C65" s="73" t="s">
        <v>778</v>
      </c>
      <c r="D65" s="73">
        <v>2880</v>
      </c>
      <c r="E65" s="73"/>
    </row>
    <row r="66" spans="1:5" x14ac:dyDescent="0.4">
      <c r="A66" s="73"/>
      <c r="B66" s="128"/>
      <c r="C66" s="128"/>
      <c r="D66" s="128"/>
      <c r="E66" s="73"/>
    </row>
    <row r="67" spans="1:5" x14ac:dyDescent="0.4">
      <c r="B67" s="128"/>
      <c r="C67" s="128"/>
      <c r="D67" s="128"/>
    </row>
    <row r="68" spans="1:5" x14ac:dyDescent="0.4">
      <c r="B68" s="128"/>
      <c r="C68" s="128"/>
      <c r="D68" s="128"/>
    </row>
  </sheetData>
  <autoFilter ref="A1:O58" xr:uid="{00000000-0009-0000-0000-000014000000}">
    <sortState xmlns:xlrd2="http://schemas.microsoft.com/office/spreadsheetml/2017/richdata2" ref="A2:O48">
      <sortCondition ref="F1:F48"/>
    </sortState>
  </autoFilter>
  <conditionalFormatting sqref="F2:H59">
    <cfRule type="cellIs" dxfId="64" priority="1" operator="equal">
      <formula>"NOK"</formula>
    </cfRule>
  </conditionalFormatting>
  <dataValidations count="1">
    <dataValidation type="list" allowBlank="1" showInputMessage="1" showErrorMessage="1" promptTitle="Priorité" prompt="La Priorité de l'Incident" sqref="C21:C28 C6" xr:uid="{00000000-0002-0000-1400-000000000000}">
      <formula1>prio</formula1>
    </dataValidation>
  </dataValidation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tabColor rgb="FF7030A0"/>
  </sheetPr>
  <dimension ref="A1:O72"/>
  <sheetViews>
    <sheetView workbookViewId="0">
      <selection activeCell="L45" sqref="L45"/>
    </sheetView>
  </sheetViews>
  <sheetFormatPr baseColWidth="10" defaultRowHeight="14.6" x14ac:dyDescent="0.4"/>
  <cols>
    <col min="1" max="1" width="5.84375" customWidth="1"/>
    <col min="2" max="2" width="9.53515625" bestFit="1" customWidth="1"/>
    <col min="3" max="3" width="6.84375" bestFit="1" customWidth="1"/>
    <col min="4" max="4" width="9.07421875" bestFit="1" customWidth="1"/>
    <col min="5" max="5" width="43.3046875" customWidth="1"/>
    <col min="6" max="6" width="19.69140625" customWidth="1"/>
    <col min="7" max="7" width="17" customWidth="1"/>
    <col min="8" max="8" width="10.07421875" customWidth="1"/>
    <col min="9" max="9" width="50.53515625" customWidth="1"/>
    <col min="10" max="10" width="52.84375" customWidth="1"/>
    <col min="11" max="11" width="36.07421875" customWidth="1"/>
    <col min="12" max="12" width="9.84375" bestFit="1" customWidth="1"/>
    <col min="13" max="13" width="6" bestFit="1" customWidth="1"/>
    <col min="14" max="14" width="11.4609375" customWidth="1"/>
    <col min="15" max="15" width="5.07421875" bestFit="1" customWidth="1"/>
  </cols>
  <sheetData>
    <row r="1" spans="1:15" x14ac:dyDescent="0.4">
      <c r="A1" s="6" t="s">
        <v>0</v>
      </c>
      <c r="B1" s="6" t="s">
        <v>679</v>
      </c>
      <c r="C1" s="6" t="s">
        <v>680</v>
      </c>
      <c r="D1" s="7" t="s">
        <v>700</v>
      </c>
      <c r="E1" s="7" t="s">
        <v>1883</v>
      </c>
      <c r="F1" s="6" t="s">
        <v>695</v>
      </c>
      <c r="G1" s="6" t="s">
        <v>694</v>
      </c>
      <c r="H1" s="6" t="s">
        <v>681</v>
      </c>
      <c r="I1" s="7" t="s">
        <v>395</v>
      </c>
      <c r="J1" s="6" t="s">
        <v>682</v>
      </c>
      <c r="K1" s="6" t="s">
        <v>683</v>
      </c>
      <c r="L1" s="7" t="s">
        <v>699</v>
      </c>
      <c r="M1" s="6" t="s">
        <v>684</v>
      </c>
      <c r="N1" s="7" t="s">
        <v>659</v>
      </c>
      <c r="O1" s="6" t="s">
        <v>888</v>
      </c>
    </row>
    <row r="2" spans="1:15" x14ac:dyDescent="0.4">
      <c r="A2" s="37">
        <v>1</v>
      </c>
      <c r="B2" s="37" t="s">
        <v>1914</v>
      </c>
      <c r="C2" s="37" t="s">
        <v>2</v>
      </c>
      <c r="D2" s="37" t="s">
        <v>702</v>
      </c>
      <c r="E2" s="12" t="s">
        <v>1633</v>
      </c>
      <c r="F2" s="83">
        <v>43617.430555555555</v>
      </c>
      <c r="G2" s="83">
        <v>43617.479166666664</v>
      </c>
      <c r="H2" s="84">
        <v>69.999999997671694</v>
      </c>
      <c r="I2" s="12" t="s">
        <v>1915</v>
      </c>
      <c r="J2" s="12" t="s">
        <v>1729</v>
      </c>
      <c r="K2" s="12" t="s">
        <v>1728</v>
      </c>
      <c r="L2" s="37" t="s">
        <v>1590</v>
      </c>
      <c r="M2" s="37" t="s">
        <v>678</v>
      </c>
      <c r="N2" s="12"/>
      <c r="O2" s="38" t="str">
        <f t="shared" ref="O2:O49" si="0">IF(AND(C2=$B$67,H2&lt;=$D$67),"ISLA",IF((AND(C2=$B$68,H2&lt;=$D$68)),"ISLA",IF((AND(C2=$B$69,H2&lt;=$D$69)),"ISLA","OSLA")))</f>
        <v>ISLA</v>
      </c>
    </row>
    <row r="3" spans="1:15" x14ac:dyDescent="0.4">
      <c r="A3" s="37">
        <v>2</v>
      </c>
      <c r="B3" s="37" t="s">
        <v>1916</v>
      </c>
      <c r="C3" s="37" t="s">
        <v>2</v>
      </c>
      <c r="D3" s="37" t="s">
        <v>701</v>
      </c>
      <c r="E3" s="12" t="s">
        <v>326</v>
      </c>
      <c r="F3" s="83">
        <v>43618.475694444445</v>
      </c>
      <c r="G3" s="83">
        <v>43618.604861111111</v>
      </c>
      <c r="H3" s="84">
        <v>185.99999999860302</v>
      </c>
      <c r="I3" s="12" t="s">
        <v>1917</v>
      </c>
      <c r="J3" s="12" t="s">
        <v>1965</v>
      </c>
      <c r="K3" s="12" t="s">
        <v>105</v>
      </c>
      <c r="L3" s="37" t="s">
        <v>701</v>
      </c>
      <c r="M3" s="37" t="s">
        <v>678</v>
      </c>
      <c r="N3" s="12" t="s">
        <v>1918</v>
      </c>
      <c r="O3" s="38" t="str">
        <f t="shared" si="0"/>
        <v>OSLA</v>
      </c>
    </row>
    <row r="4" spans="1:15" x14ac:dyDescent="0.4">
      <c r="A4" s="37">
        <v>3</v>
      </c>
      <c r="B4" s="37" t="s">
        <v>1923</v>
      </c>
      <c r="C4" s="37" t="s">
        <v>2</v>
      </c>
      <c r="D4" s="37" t="s">
        <v>702</v>
      </c>
      <c r="E4" s="12" t="s">
        <v>1924</v>
      </c>
      <c r="F4" s="83">
        <v>43619.420138888891</v>
      </c>
      <c r="G4" s="83">
        <v>43619.493055555555</v>
      </c>
      <c r="H4" s="84">
        <f t="shared" ref="H4:H25" si="1">(G4-F4)*1440</f>
        <v>104.99999999650754</v>
      </c>
      <c r="I4" s="12" t="s">
        <v>1925</v>
      </c>
      <c r="J4" s="12" t="s">
        <v>1926</v>
      </c>
      <c r="K4" s="12" t="s">
        <v>1927</v>
      </c>
      <c r="L4" s="37" t="s">
        <v>701</v>
      </c>
      <c r="M4" s="37" t="s">
        <v>678</v>
      </c>
      <c r="N4" s="37" t="s">
        <v>1928</v>
      </c>
      <c r="O4" s="38" t="str">
        <f t="shared" si="0"/>
        <v>ISLA</v>
      </c>
    </row>
    <row r="5" spans="1:15" x14ac:dyDescent="0.4">
      <c r="A5" s="37">
        <v>4</v>
      </c>
      <c r="B5" s="37" t="s">
        <v>1929</v>
      </c>
      <c r="C5" s="37" t="s">
        <v>2</v>
      </c>
      <c r="D5" s="37" t="s">
        <v>702</v>
      </c>
      <c r="E5" s="12" t="s">
        <v>326</v>
      </c>
      <c r="F5" s="83">
        <v>43619.607638888891</v>
      </c>
      <c r="G5" s="83">
        <v>43619.666666666664</v>
      </c>
      <c r="H5" s="84">
        <f t="shared" si="1"/>
        <v>84.999999994179234</v>
      </c>
      <c r="I5" s="12" t="s">
        <v>1930</v>
      </c>
      <c r="J5" s="12" t="s">
        <v>1931</v>
      </c>
      <c r="K5" s="12" t="s">
        <v>1927</v>
      </c>
      <c r="L5" s="37" t="s">
        <v>701</v>
      </c>
      <c r="M5" s="37" t="s">
        <v>678</v>
      </c>
      <c r="N5" s="37" t="s">
        <v>1928</v>
      </c>
      <c r="O5" s="38" t="str">
        <f t="shared" si="0"/>
        <v>ISLA</v>
      </c>
    </row>
    <row r="6" spans="1:15" x14ac:dyDescent="0.4">
      <c r="A6" s="37">
        <v>5</v>
      </c>
      <c r="B6" s="37" t="s">
        <v>1932</v>
      </c>
      <c r="C6" s="37" t="s">
        <v>2</v>
      </c>
      <c r="D6" s="37" t="s">
        <v>701</v>
      </c>
      <c r="E6" s="12" t="s">
        <v>1933</v>
      </c>
      <c r="F6" s="83">
        <v>43620.964583333334</v>
      </c>
      <c r="G6" s="83">
        <v>43620.974999999999</v>
      </c>
      <c r="H6" s="84">
        <f t="shared" si="1"/>
        <v>14.99999999650754</v>
      </c>
      <c r="I6" s="12" t="s">
        <v>1934</v>
      </c>
      <c r="J6" s="12" t="s">
        <v>879</v>
      </c>
      <c r="K6" s="100" t="s">
        <v>351</v>
      </c>
      <c r="L6" s="37" t="s">
        <v>701</v>
      </c>
      <c r="M6" s="37" t="s">
        <v>678</v>
      </c>
      <c r="N6" s="37"/>
      <c r="O6" s="38" t="str">
        <f t="shared" si="0"/>
        <v>ISLA</v>
      </c>
    </row>
    <row r="7" spans="1:15" x14ac:dyDescent="0.4">
      <c r="A7" s="37">
        <v>6</v>
      </c>
      <c r="B7" s="37" t="s">
        <v>1935</v>
      </c>
      <c r="C7" s="37" t="s">
        <v>2</v>
      </c>
      <c r="D7" s="37" t="s">
        <v>702</v>
      </c>
      <c r="E7" s="12" t="s">
        <v>1936</v>
      </c>
      <c r="F7" s="83">
        <v>43620.458333333336</v>
      </c>
      <c r="G7" s="83">
        <v>43620.486111111109</v>
      </c>
      <c r="H7" s="84">
        <f t="shared" si="1"/>
        <v>39.999999994179234</v>
      </c>
      <c r="I7" s="12" t="s">
        <v>1937</v>
      </c>
      <c r="J7" s="12" t="s">
        <v>1938</v>
      </c>
      <c r="K7" s="100" t="s">
        <v>1678</v>
      </c>
      <c r="L7" s="37" t="s">
        <v>1939</v>
      </c>
      <c r="M7" s="37" t="s">
        <v>678</v>
      </c>
      <c r="N7" s="37"/>
      <c r="O7" s="38" t="str">
        <f t="shared" si="0"/>
        <v>ISLA</v>
      </c>
    </row>
    <row r="8" spans="1:15" x14ac:dyDescent="0.4">
      <c r="A8" s="37">
        <v>7</v>
      </c>
      <c r="B8" s="37" t="s">
        <v>1940</v>
      </c>
      <c r="C8" s="37" t="s">
        <v>2</v>
      </c>
      <c r="D8" s="37" t="s">
        <v>701</v>
      </c>
      <c r="E8" s="12" t="s">
        <v>75</v>
      </c>
      <c r="F8" s="83">
        <v>43621.313888888886</v>
      </c>
      <c r="G8" s="83">
        <v>43621.329861111109</v>
      </c>
      <c r="H8" s="84">
        <f t="shared" si="1"/>
        <v>23.000000001629815</v>
      </c>
      <c r="I8" s="12" t="s">
        <v>1183</v>
      </c>
      <c r="J8" s="12" t="s">
        <v>1941</v>
      </c>
      <c r="K8" s="100" t="s">
        <v>1942</v>
      </c>
      <c r="L8" s="37" t="s">
        <v>701</v>
      </c>
      <c r="M8" s="37" t="s">
        <v>678</v>
      </c>
      <c r="N8" s="37"/>
      <c r="O8" s="38" t="str">
        <f t="shared" si="0"/>
        <v>ISLA</v>
      </c>
    </row>
    <row r="9" spans="1:15" x14ac:dyDescent="0.4">
      <c r="A9" s="37">
        <v>8</v>
      </c>
      <c r="B9" s="37" t="s">
        <v>1943</v>
      </c>
      <c r="C9" s="37" t="s">
        <v>2</v>
      </c>
      <c r="D9" s="37" t="s">
        <v>702</v>
      </c>
      <c r="E9" s="12" t="s">
        <v>150</v>
      </c>
      <c r="F9" s="83">
        <v>43623.868055555555</v>
      </c>
      <c r="G9" s="83">
        <v>43623.979861111111</v>
      </c>
      <c r="H9" s="84">
        <f t="shared" si="1"/>
        <v>161.00000000093132</v>
      </c>
      <c r="I9" s="12" t="s">
        <v>1944</v>
      </c>
      <c r="J9" s="12" t="s">
        <v>1945</v>
      </c>
      <c r="K9" s="100" t="s">
        <v>588</v>
      </c>
      <c r="L9" s="37" t="s">
        <v>1332</v>
      </c>
      <c r="M9" s="37" t="s">
        <v>678</v>
      </c>
      <c r="N9" s="37"/>
      <c r="O9" s="38" t="str">
        <f t="shared" si="0"/>
        <v>OSLA</v>
      </c>
    </row>
    <row r="10" spans="1:15" x14ac:dyDescent="0.4">
      <c r="A10" s="37">
        <v>9</v>
      </c>
      <c r="B10" s="37" t="s">
        <v>1946</v>
      </c>
      <c r="C10" s="37" t="s">
        <v>2</v>
      </c>
      <c r="D10" s="37" t="s">
        <v>701</v>
      </c>
      <c r="E10" s="12" t="s">
        <v>954</v>
      </c>
      <c r="F10" s="83">
        <v>43625.064583333333</v>
      </c>
      <c r="G10" s="83">
        <v>43625.084027777775</v>
      </c>
      <c r="H10" s="84">
        <f t="shared" si="1"/>
        <v>27.999999996973202</v>
      </c>
      <c r="I10" s="12" t="s">
        <v>1934</v>
      </c>
      <c r="J10" s="12" t="s">
        <v>879</v>
      </c>
      <c r="K10" s="100" t="s">
        <v>209</v>
      </c>
      <c r="L10" s="37" t="s">
        <v>701</v>
      </c>
      <c r="M10" s="37" t="s">
        <v>678</v>
      </c>
      <c r="N10" s="37"/>
      <c r="O10" s="38" t="str">
        <f t="shared" si="0"/>
        <v>ISLA</v>
      </c>
    </row>
    <row r="11" spans="1:15" x14ac:dyDescent="0.4">
      <c r="A11" s="37">
        <v>10</v>
      </c>
      <c r="B11" s="37" t="s">
        <v>1948</v>
      </c>
      <c r="C11" s="37" t="s">
        <v>2</v>
      </c>
      <c r="D11" s="37" t="s">
        <v>701</v>
      </c>
      <c r="E11" s="12" t="s">
        <v>954</v>
      </c>
      <c r="F11" s="83">
        <v>43626.727777777778</v>
      </c>
      <c r="G11" s="83">
        <v>43626.817361111112</v>
      </c>
      <c r="H11" s="84">
        <f t="shared" si="1"/>
        <v>129.00000000139698</v>
      </c>
      <c r="I11" s="12" t="s">
        <v>313</v>
      </c>
      <c r="J11" s="12" t="s">
        <v>879</v>
      </c>
      <c r="K11" s="100" t="s">
        <v>209</v>
      </c>
      <c r="L11" s="37" t="s">
        <v>701</v>
      </c>
      <c r="M11" s="37" t="s">
        <v>678</v>
      </c>
      <c r="N11" s="12"/>
      <c r="O11" s="38" t="str">
        <f t="shared" si="0"/>
        <v>OSLA</v>
      </c>
    </row>
    <row r="12" spans="1:15" x14ac:dyDescent="0.4">
      <c r="A12" s="37">
        <v>11</v>
      </c>
      <c r="B12" s="37" t="s">
        <v>1949</v>
      </c>
      <c r="C12" s="37" t="s">
        <v>2</v>
      </c>
      <c r="D12" s="37" t="s">
        <v>701</v>
      </c>
      <c r="E12" s="12" t="s">
        <v>75</v>
      </c>
      <c r="F12" s="83">
        <v>43628.319444444445</v>
      </c>
      <c r="G12" s="83">
        <v>43628.352777777778</v>
      </c>
      <c r="H12" s="84">
        <f t="shared" si="1"/>
        <v>47.999999999301508</v>
      </c>
      <c r="I12" s="12" t="s">
        <v>1183</v>
      </c>
      <c r="J12" s="12" t="s">
        <v>2008</v>
      </c>
      <c r="K12" s="100" t="s">
        <v>2009</v>
      </c>
      <c r="L12" s="37" t="s">
        <v>701</v>
      </c>
      <c r="M12" s="37" t="s">
        <v>678</v>
      </c>
      <c r="N12" s="12"/>
      <c r="O12" s="38" t="str">
        <f t="shared" si="0"/>
        <v>ISLA</v>
      </c>
    </row>
    <row r="13" spans="1:15" x14ac:dyDescent="0.4">
      <c r="A13" s="37">
        <v>12</v>
      </c>
      <c r="B13" s="37" t="s">
        <v>1950</v>
      </c>
      <c r="C13" s="37" t="s">
        <v>2</v>
      </c>
      <c r="D13" s="37" t="s">
        <v>707</v>
      </c>
      <c r="E13" s="12" t="s">
        <v>228</v>
      </c>
      <c r="F13" s="83">
        <v>43628.416666666664</v>
      </c>
      <c r="G13" s="83">
        <v>43628.456944444442</v>
      </c>
      <c r="H13" s="84">
        <f t="shared" si="1"/>
        <v>58.000000000465661</v>
      </c>
      <c r="I13" s="12" t="s">
        <v>1702</v>
      </c>
      <c r="J13" s="12" t="s">
        <v>1951</v>
      </c>
      <c r="K13" s="100" t="s">
        <v>1952</v>
      </c>
      <c r="L13" s="37" t="s">
        <v>707</v>
      </c>
      <c r="M13" s="37" t="s">
        <v>678</v>
      </c>
      <c r="N13" s="12"/>
      <c r="O13" s="38" t="str">
        <f t="shared" si="0"/>
        <v>ISLA</v>
      </c>
    </row>
    <row r="14" spans="1:15" x14ac:dyDescent="0.4">
      <c r="A14" s="37">
        <v>13</v>
      </c>
      <c r="B14" s="37" t="s">
        <v>1953</v>
      </c>
      <c r="C14" s="37" t="s">
        <v>2</v>
      </c>
      <c r="D14" s="37" t="s">
        <v>701</v>
      </c>
      <c r="E14" s="12" t="s">
        <v>1954</v>
      </c>
      <c r="F14" s="83">
        <v>43628.65</v>
      </c>
      <c r="G14" s="83">
        <v>43628.695138888892</v>
      </c>
      <c r="H14" s="84">
        <f t="shared" si="1"/>
        <v>65.000000002328306</v>
      </c>
      <c r="I14" s="12" t="s">
        <v>1837</v>
      </c>
      <c r="J14" s="12" t="s">
        <v>1521</v>
      </c>
      <c r="K14" s="100" t="s">
        <v>209</v>
      </c>
      <c r="L14" s="37" t="s">
        <v>1656</v>
      </c>
      <c r="M14" s="37" t="s">
        <v>678</v>
      </c>
      <c r="N14" s="12"/>
      <c r="O14" s="38" t="str">
        <f t="shared" si="0"/>
        <v>ISLA</v>
      </c>
    </row>
    <row r="15" spans="1:15" x14ac:dyDescent="0.4">
      <c r="A15" s="37">
        <v>14</v>
      </c>
      <c r="B15" s="37" t="s">
        <v>1955</v>
      </c>
      <c r="C15" s="37" t="s">
        <v>2</v>
      </c>
      <c r="D15" s="37" t="s">
        <v>702</v>
      </c>
      <c r="E15" s="12" t="s">
        <v>150</v>
      </c>
      <c r="F15" s="83">
        <v>43630.009027777778</v>
      </c>
      <c r="G15" s="83">
        <v>43630.022916666669</v>
      </c>
      <c r="H15" s="84">
        <f t="shared" si="1"/>
        <v>20.000000002328306</v>
      </c>
      <c r="I15" s="12" t="s">
        <v>1956</v>
      </c>
      <c r="J15" s="12" t="s">
        <v>1957</v>
      </c>
      <c r="K15" s="100" t="s">
        <v>1958</v>
      </c>
      <c r="L15" s="37" t="s">
        <v>713</v>
      </c>
      <c r="M15" s="37" t="s">
        <v>678</v>
      </c>
      <c r="N15" s="12"/>
      <c r="O15" s="38" t="str">
        <f t="shared" si="0"/>
        <v>ISLA</v>
      </c>
    </row>
    <row r="16" spans="1:15" x14ac:dyDescent="0.4">
      <c r="A16" s="37">
        <v>15</v>
      </c>
      <c r="B16" s="37" t="s">
        <v>1959</v>
      </c>
      <c r="C16" s="37" t="s">
        <v>2</v>
      </c>
      <c r="D16" s="37" t="s">
        <v>1875</v>
      </c>
      <c r="E16" s="12" t="s">
        <v>1960</v>
      </c>
      <c r="F16" s="83">
        <v>43631.53125</v>
      </c>
      <c r="G16" s="83">
        <v>43631.544444444444</v>
      </c>
      <c r="H16" s="84">
        <f t="shared" si="1"/>
        <v>18.999999999068677</v>
      </c>
      <c r="I16" s="12" t="s">
        <v>1961</v>
      </c>
      <c r="J16" s="12" t="s">
        <v>1962</v>
      </c>
      <c r="K16" s="100" t="s">
        <v>1963</v>
      </c>
      <c r="L16" s="37" t="s">
        <v>889</v>
      </c>
      <c r="M16" s="37" t="s">
        <v>678</v>
      </c>
      <c r="N16" s="12"/>
      <c r="O16" s="38" t="str">
        <f t="shared" si="0"/>
        <v>ISLA</v>
      </c>
    </row>
    <row r="17" spans="1:15" x14ac:dyDescent="0.4">
      <c r="A17" s="37">
        <v>16</v>
      </c>
      <c r="B17" s="37" t="s">
        <v>1964</v>
      </c>
      <c r="C17" s="37" t="s">
        <v>2</v>
      </c>
      <c r="D17" s="37" t="s">
        <v>701</v>
      </c>
      <c r="E17" s="12" t="s">
        <v>1828</v>
      </c>
      <c r="F17" s="83">
        <v>43631.901388888888</v>
      </c>
      <c r="G17" s="83">
        <v>43631.904861111114</v>
      </c>
      <c r="H17" s="84">
        <f t="shared" si="1"/>
        <v>5.0000000058207661</v>
      </c>
      <c r="I17" s="12" t="s">
        <v>313</v>
      </c>
      <c r="J17" s="12" t="s">
        <v>879</v>
      </c>
      <c r="K17" s="100" t="s">
        <v>209</v>
      </c>
      <c r="L17" s="37" t="s">
        <v>701</v>
      </c>
      <c r="M17" s="37" t="s">
        <v>678</v>
      </c>
      <c r="N17" s="12"/>
      <c r="O17" s="38" t="str">
        <f t="shared" si="0"/>
        <v>ISLA</v>
      </c>
    </row>
    <row r="18" spans="1:15" x14ac:dyDescent="0.4">
      <c r="A18" s="37">
        <v>17</v>
      </c>
      <c r="B18" s="37" t="s">
        <v>1966</v>
      </c>
      <c r="C18" s="37" t="s">
        <v>2</v>
      </c>
      <c r="D18" s="37" t="s">
        <v>701</v>
      </c>
      <c r="E18" s="12" t="s">
        <v>1771</v>
      </c>
      <c r="F18" s="83">
        <v>43632.513888888891</v>
      </c>
      <c r="G18" s="83">
        <v>43632.538194444445</v>
      </c>
      <c r="H18" s="84">
        <f t="shared" si="1"/>
        <v>34.999999998835847</v>
      </c>
      <c r="I18" s="12" t="s">
        <v>1344</v>
      </c>
      <c r="J18" s="12" t="s">
        <v>1581</v>
      </c>
      <c r="K18" s="100" t="s">
        <v>209</v>
      </c>
      <c r="L18" s="37" t="s">
        <v>1656</v>
      </c>
      <c r="M18" s="37" t="s">
        <v>678</v>
      </c>
      <c r="N18" s="12"/>
      <c r="O18" s="38" t="str">
        <f t="shared" si="0"/>
        <v>ISLA</v>
      </c>
    </row>
    <row r="19" spans="1:15" x14ac:dyDescent="0.4">
      <c r="A19" s="37">
        <v>18</v>
      </c>
      <c r="B19" s="37" t="s">
        <v>1967</v>
      </c>
      <c r="C19" s="37" t="s">
        <v>2</v>
      </c>
      <c r="D19" s="37" t="s">
        <v>701</v>
      </c>
      <c r="E19" s="12" t="s">
        <v>1828</v>
      </c>
      <c r="F19" s="83">
        <v>43633.93472222222</v>
      </c>
      <c r="G19" s="83">
        <v>43633.938194444447</v>
      </c>
      <c r="H19" s="84">
        <f t="shared" si="1"/>
        <v>5.0000000058207661</v>
      </c>
      <c r="I19" s="12" t="s">
        <v>1968</v>
      </c>
      <c r="J19" s="12" t="s">
        <v>879</v>
      </c>
      <c r="K19" s="100" t="s">
        <v>209</v>
      </c>
      <c r="L19" s="37" t="s">
        <v>701</v>
      </c>
      <c r="M19" s="37" t="s">
        <v>678</v>
      </c>
      <c r="N19" s="12"/>
      <c r="O19" s="38" t="str">
        <f t="shared" si="0"/>
        <v>ISLA</v>
      </c>
    </row>
    <row r="20" spans="1:15" x14ac:dyDescent="0.4">
      <c r="A20" s="37">
        <v>19</v>
      </c>
      <c r="B20" s="37" t="s">
        <v>1969</v>
      </c>
      <c r="C20" s="37" t="s">
        <v>2</v>
      </c>
      <c r="D20" s="37" t="s">
        <v>701</v>
      </c>
      <c r="E20" s="12" t="s">
        <v>1970</v>
      </c>
      <c r="F20" s="83">
        <v>43635.099305555559</v>
      </c>
      <c r="G20" s="83">
        <v>43635.272222222222</v>
      </c>
      <c r="H20" s="84">
        <f t="shared" si="1"/>
        <v>248.99999999441206</v>
      </c>
      <c r="I20" s="12" t="s">
        <v>1856</v>
      </c>
      <c r="J20" s="12" t="s">
        <v>1971</v>
      </c>
      <c r="K20" s="100" t="s">
        <v>1972</v>
      </c>
      <c r="L20" s="37" t="s">
        <v>707</v>
      </c>
      <c r="M20" s="37" t="s">
        <v>678</v>
      </c>
      <c r="N20" s="12"/>
      <c r="O20" s="38" t="str">
        <f t="shared" si="0"/>
        <v>OSLA</v>
      </c>
    </row>
    <row r="21" spans="1:15" x14ac:dyDescent="0.4">
      <c r="A21" s="37">
        <v>20</v>
      </c>
      <c r="B21" s="37" t="s">
        <v>1973</v>
      </c>
      <c r="C21" s="37" t="s">
        <v>2</v>
      </c>
      <c r="D21" s="37" t="s">
        <v>701</v>
      </c>
      <c r="E21" s="12" t="s">
        <v>954</v>
      </c>
      <c r="F21" s="83">
        <v>43635.28402777778</v>
      </c>
      <c r="G21" s="83">
        <v>43635.398611111108</v>
      </c>
      <c r="H21" s="84">
        <f t="shared" si="1"/>
        <v>164.99999999301508</v>
      </c>
      <c r="I21" s="12" t="s">
        <v>313</v>
      </c>
      <c r="J21" s="12" t="s">
        <v>1974</v>
      </c>
      <c r="K21" s="100" t="s">
        <v>1975</v>
      </c>
      <c r="L21" s="37" t="s">
        <v>701</v>
      </c>
      <c r="M21" s="37" t="s">
        <v>678</v>
      </c>
      <c r="N21" s="12"/>
      <c r="O21" s="38" t="str">
        <f t="shared" si="0"/>
        <v>OSLA</v>
      </c>
    </row>
    <row r="22" spans="1:15" x14ac:dyDescent="0.4">
      <c r="A22" s="37">
        <v>21</v>
      </c>
      <c r="B22" s="130" t="s">
        <v>1976</v>
      </c>
      <c r="C22" s="37" t="s">
        <v>2</v>
      </c>
      <c r="D22" s="37" t="s">
        <v>701</v>
      </c>
      <c r="E22" s="12" t="s">
        <v>1977</v>
      </c>
      <c r="F22" s="83">
        <v>43635.798611111109</v>
      </c>
      <c r="G22" s="83">
        <v>43635.852777777778</v>
      </c>
      <c r="H22" s="84">
        <f t="shared" si="1"/>
        <v>78.000000002793968</v>
      </c>
      <c r="I22" s="12" t="s">
        <v>1978</v>
      </c>
      <c r="J22" s="12" t="s">
        <v>1979</v>
      </c>
      <c r="K22" s="100" t="s">
        <v>209</v>
      </c>
      <c r="L22" s="37" t="s">
        <v>701</v>
      </c>
      <c r="M22" s="37" t="s">
        <v>678</v>
      </c>
      <c r="N22" s="12"/>
      <c r="O22" s="38" t="str">
        <f t="shared" si="0"/>
        <v>ISLA</v>
      </c>
    </row>
    <row r="23" spans="1:15" x14ac:dyDescent="0.4">
      <c r="A23" s="37">
        <v>22</v>
      </c>
      <c r="B23" s="37" t="s">
        <v>1980</v>
      </c>
      <c r="C23" s="37" t="s">
        <v>2</v>
      </c>
      <c r="D23" s="37" t="s">
        <v>701</v>
      </c>
      <c r="E23" s="12" t="s">
        <v>1854</v>
      </c>
      <c r="F23" s="83">
        <v>43637.394444444442</v>
      </c>
      <c r="G23" s="83">
        <v>43637.563194444447</v>
      </c>
      <c r="H23" s="84">
        <f t="shared" si="1"/>
        <v>243.00000000628643</v>
      </c>
      <c r="I23" s="12" t="s">
        <v>1837</v>
      </c>
      <c r="J23" s="12" t="s">
        <v>1521</v>
      </c>
      <c r="K23" s="100" t="s">
        <v>1981</v>
      </c>
      <c r="L23" s="37" t="s">
        <v>1656</v>
      </c>
      <c r="M23" s="37" t="s">
        <v>678</v>
      </c>
      <c r="N23" s="12"/>
      <c r="O23" s="38" t="str">
        <f t="shared" si="0"/>
        <v>OSLA</v>
      </c>
    </row>
    <row r="24" spans="1:15" x14ac:dyDescent="0.4">
      <c r="A24" s="37">
        <v>23</v>
      </c>
      <c r="B24" s="37" t="s">
        <v>1982</v>
      </c>
      <c r="C24" s="37" t="s">
        <v>2</v>
      </c>
      <c r="D24" s="37" t="s">
        <v>701</v>
      </c>
      <c r="E24" s="12" t="s">
        <v>1828</v>
      </c>
      <c r="F24" s="83">
        <v>43638.477083333331</v>
      </c>
      <c r="G24" s="83">
        <v>43638.492361111108</v>
      </c>
      <c r="H24" s="84">
        <f t="shared" si="1"/>
        <v>21.999999998370185</v>
      </c>
      <c r="I24" s="12" t="s">
        <v>1968</v>
      </c>
      <c r="J24" s="100" t="s">
        <v>879</v>
      </c>
      <c r="K24" s="100" t="s">
        <v>209</v>
      </c>
      <c r="L24" s="37" t="s">
        <v>701</v>
      </c>
      <c r="M24" s="37" t="s">
        <v>678</v>
      </c>
      <c r="N24" s="12"/>
      <c r="O24" s="38" t="str">
        <f t="shared" si="0"/>
        <v>ISLA</v>
      </c>
    </row>
    <row r="25" spans="1:15" x14ac:dyDescent="0.4">
      <c r="A25" s="37">
        <v>24</v>
      </c>
      <c r="B25" s="37" t="s">
        <v>1983</v>
      </c>
      <c r="C25" s="37" t="s">
        <v>2</v>
      </c>
      <c r="D25" s="37" t="s">
        <v>701</v>
      </c>
      <c r="E25" s="12" t="s">
        <v>1828</v>
      </c>
      <c r="F25" s="83">
        <v>43639.445833333331</v>
      </c>
      <c r="G25" s="83">
        <v>43639.449305555558</v>
      </c>
      <c r="H25" s="84">
        <f t="shared" si="1"/>
        <v>5.0000000058207661</v>
      </c>
      <c r="I25" s="12" t="s">
        <v>1968</v>
      </c>
      <c r="J25" s="12" t="s">
        <v>879</v>
      </c>
      <c r="K25" s="100" t="s">
        <v>209</v>
      </c>
      <c r="L25" s="37" t="s">
        <v>701</v>
      </c>
      <c r="M25" s="37" t="s">
        <v>678</v>
      </c>
      <c r="N25" s="12"/>
      <c r="O25" s="38" t="str">
        <f t="shared" si="0"/>
        <v>ISLA</v>
      </c>
    </row>
    <row r="26" spans="1:15" ht="15.9" x14ac:dyDescent="0.4">
      <c r="A26" s="37">
        <v>25</v>
      </c>
      <c r="B26" s="37" t="s">
        <v>1984</v>
      </c>
      <c r="C26" s="37" t="s">
        <v>2</v>
      </c>
      <c r="D26" s="37" t="s">
        <v>701</v>
      </c>
      <c r="E26" s="12" t="s">
        <v>1985</v>
      </c>
      <c r="F26" s="83">
        <v>43640.56527777778</v>
      </c>
      <c r="G26" s="83">
        <v>43640.586805555555</v>
      </c>
      <c r="H26" s="84">
        <f>(G26-F26)*1440</f>
        <v>30.99999999627471</v>
      </c>
      <c r="I26" s="12" t="s">
        <v>1986</v>
      </c>
      <c r="J26" s="12" t="s">
        <v>1521</v>
      </c>
      <c r="K26" s="100" t="s">
        <v>1981</v>
      </c>
      <c r="L26" s="37" t="s">
        <v>1656</v>
      </c>
      <c r="M26" s="37" t="s">
        <v>678</v>
      </c>
      <c r="N26" s="12"/>
      <c r="O26" s="38" t="str">
        <f t="shared" si="0"/>
        <v>ISLA</v>
      </c>
    </row>
    <row r="27" spans="1:15" ht="15.45" x14ac:dyDescent="0.4">
      <c r="A27" s="37">
        <v>26</v>
      </c>
      <c r="B27" s="37" t="s">
        <v>1987</v>
      </c>
      <c r="C27" s="37" t="s">
        <v>2</v>
      </c>
      <c r="D27" s="37" t="s">
        <v>1988</v>
      </c>
      <c r="E27" s="12" t="s">
        <v>443</v>
      </c>
      <c r="F27" s="83">
        <v>43640.59097222222</v>
      </c>
      <c r="G27" s="83">
        <v>43648</v>
      </c>
      <c r="H27" s="84">
        <f>(G27-F27)*1440</f>
        <v>10669.000000002561</v>
      </c>
      <c r="I27" s="12" t="s">
        <v>1989</v>
      </c>
      <c r="J27" s="12" t="s">
        <v>20</v>
      </c>
      <c r="K27" s="100" t="s">
        <v>105</v>
      </c>
      <c r="L27" s="37" t="s">
        <v>1990</v>
      </c>
      <c r="M27" s="37" t="s">
        <v>678</v>
      </c>
      <c r="N27" s="12"/>
      <c r="O27" s="38" t="s">
        <v>2007</v>
      </c>
    </row>
    <row r="28" spans="1:15" x14ac:dyDescent="0.4">
      <c r="A28" s="37">
        <v>27</v>
      </c>
      <c r="B28" s="37" t="s">
        <v>1991</v>
      </c>
      <c r="C28" s="37" t="s">
        <v>14</v>
      </c>
      <c r="D28" s="37" t="s">
        <v>704</v>
      </c>
      <c r="E28" s="12" t="s">
        <v>1992</v>
      </c>
      <c r="F28" s="83">
        <v>43641.222222222219</v>
      </c>
      <c r="G28" s="83">
        <v>43642.039583333331</v>
      </c>
      <c r="H28" s="84">
        <v>1018</v>
      </c>
      <c r="I28" s="12" t="s">
        <v>1993</v>
      </c>
      <c r="J28" s="12" t="s">
        <v>1994</v>
      </c>
      <c r="K28" s="100" t="s">
        <v>588</v>
      </c>
      <c r="L28" s="37" t="s">
        <v>1144</v>
      </c>
      <c r="M28" s="37" t="s">
        <v>678</v>
      </c>
      <c r="N28" s="12"/>
      <c r="O28" s="38" t="str">
        <f t="shared" si="0"/>
        <v>OSLA</v>
      </c>
    </row>
    <row r="29" spans="1:15" ht="15.45" x14ac:dyDescent="0.4">
      <c r="A29" s="37">
        <v>28</v>
      </c>
      <c r="B29" s="37" t="s">
        <v>1995</v>
      </c>
      <c r="C29" s="37" t="s">
        <v>2</v>
      </c>
      <c r="D29" s="37" t="s">
        <v>701</v>
      </c>
      <c r="E29" s="12" t="s">
        <v>1996</v>
      </c>
      <c r="F29" s="83">
        <v>43641.236111111109</v>
      </c>
      <c r="G29" s="83">
        <v>43641.250694444447</v>
      </c>
      <c r="H29" s="84">
        <f t="shared" ref="H29:H36" si="2">(G29-F29)*1440</f>
        <v>21.000000005587935</v>
      </c>
      <c r="I29" s="12" t="s">
        <v>1344</v>
      </c>
      <c r="J29" s="12" t="s">
        <v>1997</v>
      </c>
      <c r="K29" s="100" t="s">
        <v>1981</v>
      </c>
      <c r="L29" s="37" t="s">
        <v>1656</v>
      </c>
      <c r="M29" s="37" t="s">
        <v>678</v>
      </c>
      <c r="N29" s="12"/>
      <c r="O29" s="38" t="str">
        <f t="shared" si="0"/>
        <v>ISLA</v>
      </c>
    </row>
    <row r="30" spans="1:15" ht="15" x14ac:dyDescent="0.4">
      <c r="A30" s="37">
        <v>29</v>
      </c>
      <c r="B30" s="37" t="s">
        <v>1998</v>
      </c>
      <c r="C30" s="37" t="s">
        <v>2</v>
      </c>
      <c r="D30" s="37" t="s">
        <v>701</v>
      </c>
      <c r="E30" s="12" t="s">
        <v>1827</v>
      </c>
      <c r="F30" s="83">
        <v>43641.392361111109</v>
      </c>
      <c r="G30" s="83">
        <v>43641.4375</v>
      </c>
      <c r="H30" s="84">
        <f t="shared" si="2"/>
        <v>65.000000002328306</v>
      </c>
      <c r="I30" s="12" t="s">
        <v>1986</v>
      </c>
      <c r="J30" s="12" t="s">
        <v>1521</v>
      </c>
      <c r="K30" s="100" t="s">
        <v>1981</v>
      </c>
      <c r="L30" s="37" t="s">
        <v>1656</v>
      </c>
      <c r="M30" s="37" t="s">
        <v>678</v>
      </c>
      <c r="N30" s="12"/>
      <c r="O30" s="38" t="str">
        <f t="shared" si="0"/>
        <v>ISLA</v>
      </c>
    </row>
    <row r="31" spans="1:15" ht="15.45" x14ac:dyDescent="0.4">
      <c r="A31" s="37">
        <v>30</v>
      </c>
      <c r="B31" s="37" t="s">
        <v>1999</v>
      </c>
      <c r="C31" s="37" t="s">
        <v>2</v>
      </c>
      <c r="D31" s="37" t="s">
        <v>701</v>
      </c>
      <c r="E31" s="12" t="s">
        <v>1996</v>
      </c>
      <c r="F31" s="83">
        <v>43641.728472222225</v>
      </c>
      <c r="G31" s="83">
        <v>43641.759027777778</v>
      </c>
      <c r="H31" s="84">
        <f t="shared" si="2"/>
        <v>43.999999996740371</v>
      </c>
      <c r="I31" s="12" t="s">
        <v>1344</v>
      </c>
      <c r="J31" s="12" t="s">
        <v>1997</v>
      </c>
      <c r="K31" s="100" t="s">
        <v>1981</v>
      </c>
      <c r="L31" s="37" t="s">
        <v>1656</v>
      </c>
      <c r="M31" s="37" t="s">
        <v>678</v>
      </c>
      <c r="N31" s="12"/>
      <c r="O31" s="38" t="str">
        <f t="shared" si="0"/>
        <v>ISLA</v>
      </c>
    </row>
    <row r="32" spans="1:15" x14ac:dyDescent="0.4">
      <c r="A32" s="37">
        <v>31</v>
      </c>
      <c r="B32" s="37" t="s">
        <v>2000</v>
      </c>
      <c r="C32" s="37" t="s">
        <v>2</v>
      </c>
      <c r="D32" s="37" t="s">
        <v>701</v>
      </c>
      <c r="E32" s="12" t="s">
        <v>1827</v>
      </c>
      <c r="F32" s="83">
        <v>43642.083333333336</v>
      </c>
      <c r="G32" s="83">
        <v>43642.11041666667</v>
      </c>
      <c r="H32" s="84">
        <f t="shared" si="2"/>
        <v>39.000000001396984</v>
      </c>
      <c r="I32" s="12" t="s">
        <v>1986</v>
      </c>
      <c r="J32" s="12" t="s">
        <v>1521</v>
      </c>
      <c r="K32" s="100" t="s">
        <v>1981</v>
      </c>
      <c r="L32" s="37" t="s">
        <v>1656</v>
      </c>
      <c r="M32" s="37" t="s">
        <v>678</v>
      </c>
      <c r="N32" s="12"/>
      <c r="O32" s="38" t="str">
        <f t="shared" si="0"/>
        <v>ISLA</v>
      </c>
    </row>
    <row r="33" spans="1:15" x14ac:dyDescent="0.4">
      <c r="A33" s="37">
        <v>32</v>
      </c>
      <c r="B33" s="37" t="s">
        <v>2001</v>
      </c>
      <c r="C33" s="37" t="s">
        <v>2</v>
      </c>
      <c r="D33" s="37" t="s">
        <v>701</v>
      </c>
      <c r="E33" s="12" t="s">
        <v>1827</v>
      </c>
      <c r="F33" s="83">
        <v>43642.586805555555</v>
      </c>
      <c r="G33" s="83">
        <v>43642.60833333333</v>
      </c>
      <c r="H33" s="84">
        <f t="shared" si="2"/>
        <v>30.99999999627471</v>
      </c>
      <c r="I33" s="12" t="s">
        <v>1986</v>
      </c>
      <c r="J33" s="12" t="s">
        <v>1521</v>
      </c>
      <c r="K33" s="100" t="s">
        <v>1981</v>
      </c>
      <c r="L33" s="37" t="s">
        <v>1656</v>
      </c>
      <c r="M33" s="37" t="s">
        <v>678</v>
      </c>
      <c r="N33" s="12"/>
      <c r="O33" s="38" t="str">
        <f t="shared" si="0"/>
        <v>ISLA</v>
      </c>
    </row>
    <row r="34" spans="1:15" x14ac:dyDescent="0.4">
      <c r="A34" s="37">
        <v>33</v>
      </c>
      <c r="B34" s="37" t="s">
        <v>1991</v>
      </c>
      <c r="C34" s="37" t="s">
        <v>14</v>
      </c>
      <c r="D34" s="37" t="s">
        <v>704</v>
      </c>
      <c r="E34" s="12" t="s">
        <v>2002</v>
      </c>
      <c r="F34" s="83">
        <v>43645.413194444445</v>
      </c>
      <c r="G34" s="83">
        <v>43645.666666666664</v>
      </c>
      <c r="H34" s="84">
        <f t="shared" si="2"/>
        <v>364.99999999534339</v>
      </c>
      <c r="I34" s="12" t="s">
        <v>2003</v>
      </c>
      <c r="J34" s="12" t="s">
        <v>2004</v>
      </c>
      <c r="K34" s="100" t="s">
        <v>588</v>
      </c>
      <c r="L34" s="37" t="s">
        <v>1144</v>
      </c>
      <c r="M34" s="37" t="s">
        <v>678</v>
      </c>
      <c r="N34" s="12"/>
      <c r="O34" s="38" t="str">
        <f t="shared" si="0"/>
        <v>OSLA</v>
      </c>
    </row>
    <row r="35" spans="1:15" x14ac:dyDescent="0.4">
      <c r="A35" s="37">
        <v>34</v>
      </c>
      <c r="B35" s="37" t="s">
        <v>2005</v>
      </c>
      <c r="C35" s="37" t="s">
        <v>2</v>
      </c>
      <c r="D35" s="37" t="s">
        <v>701</v>
      </c>
      <c r="E35" s="12" t="s">
        <v>1827</v>
      </c>
      <c r="F35" s="83">
        <v>43645.748611111114</v>
      </c>
      <c r="G35" s="83">
        <v>43645.761111111111</v>
      </c>
      <c r="H35" s="84">
        <f t="shared" si="2"/>
        <v>17.999999995809048</v>
      </c>
      <c r="I35" s="12" t="s">
        <v>1986</v>
      </c>
      <c r="J35" s="12" t="s">
        <v>1521</v>
      </c>
      <c r="K35" s="100" t="s">
        <v>1981</v>
      </c>
      <c r="L35" s="37" t="s">
        <v>1656</v>
      </c>
      <c r="M35" s="37" t="s">
        <v>678</v>
      </c>
      <c r="N35" s="12"/>
      <c r="O35" s="38" t="str">
        <f t="shared" si="0"/>
        <v>ISLA</v>
      </c>
    </row>
    <row r="36" spans="1:15" x14ac:dyDescent="0.4">
      <c r="A36" s="37">
        <v>35</v>
      </c>
      <c r="B36" s="37" t="s">
        <v>2006</v>
      </c>
      <c r="C36" s="37" t="s">
        <v>2</v>
      </c>
      <c r="D36" s="37" t="s">
        <v>701</v>
      </c>
      <c r="E36" s="12" t="s">
        <v>1827</v>
      </c>
      <c r="F36" s="83">
        <v>43645.814583333333</v>
      </c>
      <c r="G36" s="83">
        <v>43645.870138888888</v>
      </c>
      <c r="H36" s="84">
        <f t="shared" si="2"/>
        <v>79.999999998835847</v>
      </c>
      <c r="I36" s="12" t="s">
        <v>1986</v>
      </c>
      <c r="J36" s="12" t="s">
        <v>1521</v>
      </c>
      <c r="K36" s="100" t="s">
        <v>1981</v>
      </c>
      <c r="L36" s="37" t="s">
        <v>1656</v>
      </c>
      <c r="M36" s="37" t="s">
        <v>678</v>
      </c>
      <c r="N36" s="12"/>
      <c r="O36" s="38" t="str">
        <f t="shared" si="0"/>
        <v>ISLA</v>
      </c>
    </row>
    <row r="37" spans="1:15" s="73" customFormat="1" x14ac:dyDescent="0.4">
      <c r="A37" s="128"/>
      <c r="B37" s="128"/>
      <c r="C37" s="128"/>
      <c r="D37" s="128"/>
      <c r="J37"/>
      <c r="O37" s="73" t="str">
        <f t="shared" si="0"/>
        <v>OSLA</v>
      </c>
    </row>
    <row r="38" spans="1:15" s="73" customFormat="1" x14ac:dyDescent="0.4">
      <c r="A38" s="128"/>
      <c r="B38" s="128"/>
      <c r="C38" s="128"/>
      <c r="D38" s="128"/>
      <c r="J38"/>
      <c r="O38" s="73" t="str">
        <f t="shared" si="0"/>
        <v>OSLA</v>
      </c>
    </row>
    <row r="39" spans="1:15" s="73" customFormat="1" x14ac:dyDescent="0.4">
      <c r="A39" s="128"/>
      <c r="B39" s="128"/>
      <c r="C39" s="128"/>
      <c r="D39" s="128"/>
      <c r="J39"/>
      <c r="O39" s="73" t="str">
        <f t="shared" si="0"/>
        <v>OSLA</v>
      </c>
    </row>
    <row r="40" spans="1:15" s="73" customFormat="1" x14ac:dyDescent="0.4">
      <c r="A40" s="128"/>
      <c r="B40" s="128"/>
      <c r="C40" s="128"/>
      <c r="D40" s="128"/>
      <c r="J40"/>
      <c r="O40" s="73" t="str">
        <f t="shared" si="0"/>
        <v>OSLA</v>
      </c>
    </row>
    <row r="41" spans="1:15" s="73" customFormat="1" x14ac:dyDescent="0.4">
      <c r="A41" s="128"/>
      <c r="B41" s="128"/>
      <c r="C41" s="128"/>
      <c r="D41" s="128"/>
      <c r="J41"/>
      <c r="O41" s="73" t="str">
        <f t="shared" si="0"/>
        <v>OSLA</v>
      </c>
    </row>
    <row r="42" spans="1:15" s="73" customFormat="1" x14ac:dyDescent="0.4">
      <c r="A42" s="128"/>
      <c r="B42" s="128"/>
      <c r="C42" s="128"/>
      <c r="D42" s="128"/>
      <c r="J42"/>
      <c r="O42" s="73" t="str">
        <f t="shared" si="0"/>
        <v>OSLA</v>
      </c>
    </row>
    <row r="43" spans="1:15" s="73" customFormat="1" x14ac:dyDescent="0.4">
      <c r="A43" s="128"/>
      <c r="B43" s="128"/>
      <c r="C43" s="128"/>
      <c r="D43" s="128"/>
      <c r="J43"/>
      <c r="O43" s="73" t="str">
        <f t="shared" si="0"/>
        <v>OSLA</v>
      </c>
    </row>
    <row r="44" spans="1:15" s="73" customFormat="1" x14ac:dyDescent="0.4">
      <c r="A44" s="128"/>
      <c r="B44" s="128"/>
      <c r="C44" s="128"/>
      <c r="D44" s="128"/>
      <c r="J44"/>
      <c r="O44" s="73" t="str">
        <f t="shared" si="0"/>
        <v>OSLA</v>
      </c>
    </row>
    <row r="45" spans="1:15" s="73" customFormat="1" x14ac:dyDescent="0.4">
      <c r="A45" s="128"/>
      <c r="B45" s="128"/>
      <c r="C45" s="128"/>
      <c r="D45" s="128"/>
      <c r="J45"/>
      <c r="O45" s="73" t="str">
        <f t="shared" si="0"/>
        <v>OSLA</v>
      </c>
    </row>
    <row r="46" spans="1:15" s="73" customFormat="1" x14ac:dyDescent="0.4">
      <c r="A46" s="128"/>
      <c r="B46" s="128"/>
      <c r="C46" s="128"/>
      <c r="D46" s="128"/>
      <c r="J46"/>
      <c r="O46" s="73" t="str">
        <f t="shared" si="0"/>
        <v>OSLA</v>
      </c>
    </row>
    <row r="47" spans="1:15" s="73" customFormat="1" x14ac:dyDescent="0.4">
      <c r="A47" s="128"/>
      <c r="B47" s="128"/>
      <c r="C47" s="128"/>
      <c r="D47" s="128"/>
      <c r="J47"/>
      <c r="O47" s="73" t="str">
        <f t="shared" si="0"/>
        <v>OSLA</v>
      </c>
    </row>
    <row r="48" spans="1:15" s="73" customFormat="1" x14ac:dyDescent="0.4">
      <c r="A48" s="128"/>
      <c r="B48" s="128"/>
      <c r="C48" s="128"/>
      <c r="D48" s="128"/>
      <c r="J48"/>
      <c r="O48" s="73" t="str">
        <f t="shared" si="0"/>
        <v>OSLA</v>
      </c>
    </row>
    <row r="49" spans="1:15" s="73" customFormat="1" x14ac:dyDescent="0.4">
      <c r="A49" s="128"/>
      <c r="B49" s="128"/>
      <c r="C49" s="128"/>
      <c r="D49" s="128"/>
      <c r="J49"/>
      <c r="O49" s="73" t="str">
        <f t="shared" si="0"/>
        <v>OSLA</v>
      </c>
    </row>
    <row r="50" spans="1:15" s="73" customFormat="1" x14ac:dyDescent="0.4">
      <c r="A50" s="128"/>
      <c r="B50" s="128"/>
      <c r="C50" s="128"/>
      <c r="D50" s="128"/>
      <c r="J50"/>
      <c r="O50" s="73" t="str">
        <f>IF(AND(C50=$B$67,H50&lt;=$D$67),"ISLA",IF((AND(C50=$B$68,H50&lt;=$D$68)),"ISLA",IF((AND(C50=$B$69,H50&lt;=$D$69)),"ISLA","OSLA")))</f>
        <v>OSLA</v>
      </c>
    </row>
    <row r="51" spans="1:15" s="73" customFormat="1" x14ac:dyDescent="0.4">
      <c r="A51" s="128"/>
      <c r="B51" s="128"/>
      <c r="C51" s="128"/>
      <c r="D51" s="128"/>
      <c r="J51"/>
      <c r="O51" s="73" t="str">
        <f>IF(AND(C51=$B$67,H51&lt;=$D$67),"ISLA",IF((AND(C51=$B$68,H51&lt;=$D$68)),"ISLA",IF((AND(C51=$B$69,H51&lt;=$D$69)),"ISLA","OSLA")))</f>
        <v>OSLA</v>
      </c>
    </row>
    <row r="52" spans="1:15" s="73" customFormat="1" x14ac:dyDescent="0.4">
      <c r="A52" s="128"/>
      <c r="B52" s="128"/>
      <c r="C52" s="128"/>
      <c r="D52" s="128"/>
      <c r="J52"/>
      <c r="O52" s="73" t="str">
        <f>IF(AND(C52=$B$67,H52&lt;=$D$67),"ISLA",IF((AND(C52=$B$68,H52&lt;=$D$68)),"ISLA",IF((AND(C52=$B$69,H52&lt;=$D$69)),"ISLA","OSLA")))</f>
        <v>OSLA</v>
      </c>
    </row>
    <row r="53" spans="1:15" s="73" customFormat="1" x14ac:dyDescent="0.4">
      <c r="A53" s="128"/>
      <c r="B53" s="128"/>
      <c r="C53" s="128"/>
      <c r="D53" s="128"/>
      <c r="J53"/>
      <c r="O53" s="73" t="str">
        <f t="shared" ref="O53:O60" si="3">IF(AND(C53=$B$67,H53&lt;=$D$67),"ISLA",IF((AND(C53=$B$68,H53&lt;=$D$68)),"ISLA",IF((AND(C53=$B$69,H53&lt;=$D$69)),"ISLA","OSLA")))</f>
        <v>OSLA</v>
      </c>
    </row>
    <row r="54" spans="1:15" s="73" customFormat="1" x14ac:dyDescent="0.4">
      <c r="A54" s="128"/>
      <c r="B54" s="128"/>
      <c r="C54" s="128"/>
      <c r="D54" s="128"/>
      <c r="J54"/>
      <c r="O54" s="73" t="str">
        <f t="shared" si="3"/>
        <v>OSLA</v>
      </c>
    </row>
    <row r="55" spans="1:15" s="73" customFormat="1" x14ac:dyDescent="0.4">
      <c r="A55" s="128"/>
      <c r="B55" s="128"/>
      <c r="C55" s="128"/>
      <c r="D55" s="128"/>
      <c r="J55"/>
      <c r="O55" s="73" t="str">
        <f t="shared" si="3"/>
        <v>OSLA</v>
      </c>
    </row>
    <row r="56" spans="1:15" s="73" customFormat="1" x14ac:dyDescent="0.4">
      <c r="A56" s="128"/>
      <c r="B56" s="128"/>
      <c r="C56" s="128"/>
      <c r="D56" s="128"/>
      <c r="J56"/>
      <c r="O56" s="73" t="str">
        <f t="shared" si="3"/>
        <v>OSLA</v>
      </c>
    </row>
    <row r="57" spans="1:15" s="73" customFormat="1" x14ac:dyDescent="0.4">
      <c r="A57" s="128"/>
      <c r="B57" s="128"/>
      <c r="C57" s="128"/>
      <c r="D57" s="128"/>
      <c r="J57"/>
      <c r="O57" s="73" t="str">
        <f t="shared" si="3"/>
        <v>OSLA</v>
      </c>
    </row>
    <row r="58" spans="1:15" s="73" customFormat="1" x14ac:dyDescent="0.4">
      <c r="A58" s="128"/>
      <c r="B58" s="128"/>
      <c r="C58" s="128"/>
      <c r="D58" s="128"/>
      <c r="J58"/>
      <c r="O58" s="73" t="str">
        <f t="shared" si="3"/>
        <v>OSLA</v>
      </c>
    </row>
    <row r="59" spans="1:15" s="73" customFormat="1" x14ac:dyDescent="0.4">
      <c r="A59" s="128"/>
      <c r="B59" s="128"/>
      <c r="C59" s="128"/>
      <c r="D59" s="128"/>
      <c r="J59"/>
      <c r="O59" s="73" t="str">
        <f t="shared" si="3"/>
        <v>OSLA</v>
      </c>
    </row>
    <row r="60" spans="1:15" s="73" customFormat="1" x14ac:dyDescent="0.4">
      <c r="A60" s="128"/>
      <c r="B60" s="128"/>
      <c r="C60" s="128"/>
      <c r="D60" s="128"/>
      <c r="J60"/>
      <c r="O60" s="73" t="str">
        <f t="shared" si="3"/>
        <v>OSLA</v>
      </c>
    </row>
    <row r="61" spans="1:15" s="73" customFormat="1" x14ac:dyDescent="0.4">
      <c r="A61" s="128"/>
      <c r="B61" s="128"/>
      <c r="C61" s="128"/>
      <c r="D61" s="128"/>
      <c r="J61"/>
    </row>
    <row r="62" spans="1:15" s="73" customFormat="1" x14ac:dyDescent="0.4">
      <c r="A62" s="128"/>
      <c r="B62" s="128"/>
      <c r="C62" s="128"/>
      <c r="D62" s="128"/>
      <c r="J62"/>
    </row>
    <row r="63" spans="1:15" s="73" customFormat="1" x14ac:dyDescent="0.4">
      <c r="A63" s="128"/>
      <c r="B63" s="128"/>
      <c r="C63" s="128"/>
      <c r="D63" s="128"/>
      <c r="J63"/>
    </row>
    <row r="64" spans="1:15" s="73" customFormat="1" x14ac:dyDescent="0.4">
      <c r="A64" s="128"/>
      <c r="B64" s="128"/>
      <c r="C64" s="128"/>
      <c r="D64" s="128"/>
      <c r="J64"/>
    </row>
    <row r="65" spans="1:10" s="73" customFormat="1" x14ac:dyDescent="0.4">
      <c r="A65" s="128"/>
      <c r="B65" s="128"/>
      <c r="C65" s="128"/>
      <c r="D65" s="128"/>
      <c r="J65"/>
    </row>
    <row r="66" spans="1:10" s="73" customFormat="1" x14ac:dyDescent="0.4">
      <c r="A66" s="128"/>
      <c r="B66" s="128"/>
      <c r="C66" s="128"/>
      <c r="D66" s="128"/>
    </row>
    <row r="67" spans="1:10" x14ac:dyDescent="0.4">
      <c r="A67" s="128"/>
      <c r="B67" s="73" t="s">
        <v>2</v>
      </c>
      <c r="C67" s="73" t="s">
        <v>776</v>
      </c>
      <c r="D67" s="73">
        <v>120</v>
      </c>
      <c r="E67" s="73"/>
    </row>
    <row r="68" spans="1:10" x14ac:dyDescent="0.4">
      <c r="A68" s="128"/>
      <c r="B68" s="73" t="s">
        <v>14</v>
      </c>
      <c r="C68" s="73" t="s">
        <v>777</v>
      </c>
      <c r="D68" s="73">
        <v>240</v>
      </c>
      <c r="E68" s="73"/>
    </row>
    <row r="69" spans="1:10" x14ac:dyDescent="0.4">
      <c r="A69" s="128"/>
      <c r="B69" s="73" t="s">
        <v>158</v>
      </c>
      <c r="C69" s="73" t="s">
        <v>778</v>
      </c>
      <c r="D69" s="73">
        <v>2880</v>
      </c>
      <c r="E69" s="73"/>
    </row>
    <row r="70" spans="1:10" x14ac:dyDescent="0.4">
      <c r="A70" s="73"/>
      <c r="B70" s="128"/>
      <c r="C70" s="128"/>
      <c r="D70" s="128"/>
      <c r="E70" s="73"/>
    </row>
    <row r="71" spans="1:10" x14ac:dyDescent="0.4">
      <c r="B71" s="128"/>
      <c r="C71" s="128"/>
      <c r="D71" s="128"/>
    </row>
    <row r="72" spans="1:10" x14ac:dyDescent="0.4">
      <c r="B72" s="128"/>
      <c r="C72" s="128"/>
      <c r="D72" s="128"/>
    </row>
  </sheetData>
  <autoFilter ref="A1:O60" xr:uid="{00000000-0009-0000-0000-000015000000}"/>
  <conditionalFormatting sqref="F2:H36">
    <cfRule type="cellIs" dxfId="63" priority="1" operator="equal">
      <formula>"NOK"</formula>
    </cfRule>
  </conditionalFormatting>
  <dataValidations disablePrompts="1" count="2">
    <dataValidation type="list" allowBlank="1" showInputMessage="1" showErrorMessage="1" promptTitle="Priorité" prompt="La Priorité de l'Incident" sqref="C6 C26:C27" xr:uid="{00000000-0002-0000-1500-000000000000}">
      <formula1>prio</formula1>
    </dataValidation>
    <dataValidation type="list" allowBlank="1" showInputMessage="1" showErrorMessage="1" promptTitle="Categorie" prompt="La Categorie de l'Incident" sqref="D20" xr:uid="{00000000-0002-0000-1500-000001000000}">
      <formula1>cat</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tabColor theme="3" tint="-0.499984740745262"/>
  </sheetPr>
  <dimension ref="A1:O62"/>
  <sheetViews>
    <sheetView workbookViewId="0">
      <selection activeCell="L45" sqref="L45"/>
    </sheetView>
  </sheetViews>
  <sheetFormatPr baseColWidth="10" defaultRowHeight="14.6" x14ac:dyDescent="0.4"/>
  <cols>
    <col min="1" max="1" width="5.84375" customWidth="1"/>
    <col min="2" max="2" width="9.53515625" bestFit="1" customWidth="1"/>
    <col min="3" max="3" width="6.84375" bestFit="1" customWidth="1"/>
    <col min="4" max="4" width="10.53515625" bestFit="1" customWidth="1"/>
    <col min="5" max="5" width="43.3046875" customWidth="1"/>
    <col min="6" max="6" width="19.69140625" customWidth="1"/>
    <col min="7" max="7" width="17" customWidth="1"/>
    <col min="8" max="8" width="10.07421875" customWidth="1"/>
    <col min="9" max="9" width="50.53515625" customWidth="1"/>
    <col min="10" max="10" width="52.84375" customWidth="1"/>
    <col min="11" max="11" width="36.07421875" customWidth="1"/>
    <col min="12" max="12" width="14.69140625" bestFit="1" customWidth="1"/>
    <col min="13" max="13" width="8.3046875" bestFit="1" customWidth="1"/>
    <col min="14" max="14" width="11.4609375" customWidth="1"/>
    <col min="15" max="15" width="5.07421875" bestFit="1" customWidth="1"/>
  </cols>
  <sheetData>
    <row r="1" spans="1:15" x14ac:dyDescent="0.4">
      <c r="A1" s="6" t="s">
        <v>0</v>
      </c>
      <c r="B1" s="6" t="s">
        <v>679</v>
      </c>
      <c r="C1" s="6" t="s">
        <v>680</v>
      </c>
      <c r="D1" s="7" t="s">
        <v>700</v>
      </c>
      <c r="E1" s="7" t="s">
        <v>1883</v>
      </c>
      <c r="F1" s="6" t="s">
        <v>695</v>
      </c>
      <c r="G1" s="6" t="s">
        <v>694</v>
      </c>
      <c r="H1" s="6" t="s">
        <v>681</v>
      </c>
      <c r="I1" s="7" t="s">
        <v>395</v>
      </c>
      <c r="J1" s="6" t="s">
        <v>682</v>
      </c>
      <c r="K1" s="6" t="s">
        <v>683</v>
      </c>
      <c r="L1" s="7" t="s">
        <v>699</v>
      </c>
      <c r="M1" s="6" t="s">
        <v>684</v>
      </c>
      <c r="N1" s="7" t="s">
        <v>659</v>
      </c>
      <c r="O1" s="6" t="s">
        <v>888</v>
      </c>
    </row>
    <row r="2" spans="1:15" x14ac:dyDescent="0.4">
      <c r="A2" s="37">
        <v>1</v>
      </c>
      <c r="B2" s="37" t="s">
        <v>2010</v>
      </c>
      <c r="C2" s="37" t="s">
        <v>2</v>
      </c>
      <c r="D2" s="37" t="s">
        <v>701</v>
      </c>
      <c r="E2" s="12" t="s">
        <v>1827</v>
      </c>
      <c r="F2" s="83">
        <v>43647.422222222223</v>
      </c>
      <c r="G2" s="83">
        <v>43647.476388888892</v>
      </c>
      <c r="H2" s="84">
        <v>78</v>
      </c>
      <c r="I2" s="12" t="s">
        <v>1837</v>
      </c>
      <c r="J2" s="12" t="s">
        <v>1521</v>
      </c>
      <c r="K2" s="12" t="s">
        <v>1981</v>
      </c>
      <c r="L2" s="37" t="s">
        <v>1656</v>
      </c>
      <c r="M2" s="37" t="s">
        <v>678</v>
      </c>
      <c r="N2" s="12"/>
      <c r="O2" s="38" t="str">
        <f t="shared" ref="O2:O26" si="0">IF(AND(C2=$B$57,H2&lt;=$D$57),"ISLA",IF((AND(C2=$B$58,H2&lt;=$D$58)),"ISLA",IF((AND(C2=$B$59,H2&lt;=$D$59)),"ISLA","OSLA")))</f>
        <v>ISLA</v>
      </c>
    </row>
    <row r="3" spans="1:15" x14ac:dyDescent="0.4">
      <c r="A3" s="37">
        <v>2</v>
      </c>
      <c r="B3" s="37" t="s">
        <v>2011</v>
      </c>
      <c r="C3" s="37" t="s">
        <v>2</v>
      </c>
      <c r="D3" s="37" t="s">
        <v>701</v>
      </c>
      <c r="E3" s="12" t="s">
        <v>2012</v>
      </c>
      <c r="F3" s="83">
        <v>43647.552083333336</v>
      </c>
      <c r="G3" s="83">
        <v>43654.604166666664</v>
      </c>
      <c r="H3" s="84">
        <v>10154.999999993015</v>
      </c>
      <c r="I3" s="12" t="s">
        <v>2013</v>
      </c>
      <c r="J3" s="12" t="s">
        <v>2106</v>
      </c>
      <c r="K3" s="12" t="s">
        <v>2105</v>
      </c>
      <c r="L3" s="37" t="s">
        <v>701</v>
      </c>
      <c r="M3" s="37" t="s">
        <v>678</v>
      </c>
      <c r="N3" s="12"/>
      <c r="O3" s="38" t="str">
        <f t="shared" si="0"/>
        <v>OSLA</v>
      </c>
    </row>
    <row r="4" spans="1:15" x14ac:dyDescent="0.4">
      <c r="A4" s="37">
        <v>3</v>
      </c>
      <c r="B4" s="37" t="s">
        <v>2014</v>
      </c>
      <c r="C4" s="37" t="s">
        <v>2</v>
      </c>
      <c r="D4" s="37" t="s">
        <v>1389</v>
      </c>
      <c r="E4" s="12" t="s">
        <v>1769</v>
      </c>
      <c r="F4" s="83">
        <v>43648.086805555555</v>
      </c>
      <c r="G4" s="83">
        <v>43648.194444444445</v>
      </c>
      <c r="H4" s="84">
        <v>155</v>
      </c>
      <c r="I4" s="12" t="s">
        <v>2015</v>
      </c>
      <c r="J4" s="12" t="s">
        <v>2016</v>
      </c>
      <c r="K4" s="12" t="s">
        <v>1466</v>
      </c>
      <c r="L4" s="37" t="s">
        <v>2023</v>
      </c>
      <c r="M4" s="37" t="s">
        <v>678</v>
      </c>
      <c r="N4" s="37"/>
      <c r="O4" s="38" t="str">
        <f t="shared" si="0"/>
        <v>OSLA</v>
      </c>
    </row>
    <row r="5" spans="1:15" x14ac:dyDescent="0.4">
      <c r="A5" s="37">
        <v>4</v>
      </c>
      <c r="B5" s="37" t="s">
        <v>2017</v>
      </c>
      <c r="C5" s="37" t="s">
        <v>2</v>
      </c>
      <c r="D5" s="37" t="s">
        <v>1389</v>
      </c>
      <c r="E5" s="12" t="s">
        <v>2018</v>
      </c>
      <c r="F5" s="83">
        <v>43653.784722222219</v>
      </c>
      <c r="G5" s="83">
        <v>43654.166666666664</v>
      </c>
      <c r="H5" s="84">
        <v>550.00000000116415</v>
      </c>
      <c r="I5" s="12" t="s">
        <v>2019</v>
      </c>
      <c r="J5" s="12" t="s">
        <v>2020</v>
      </c>
      <c r="K5" s="12" t="s">
        <v>2021</v>
      </c>
      <c r="L5" s="37" t="s">
        <v>2022</v>
      </c>
      <c r="M5" s="37" t="s">
        <v>678</v>
      </c>
      <c r="N5" s="37"/>
      <c r="O5" s="38" t="str">
        <f t="shared" si="0"/>
        <v>OSLA</v>
      </c>
    </row>
    <row r="6" spans="1:15" x14ac:dyDescent="0.4">
      <c r="A6" s="37">
        <v>5</v>
      </c>
      <c r="B6" s="37" t="s">
        <v>2039</v>
      </c>
      <c r="C6" s="37" t="s">
        <v>2</v>
      </c>
      <c r="D6" s="37" t="s">
        <v>1389</v>
      </c>
      <c r="E6" s="12" t="s">
        <v>2027</v>
      </c>
      <c r="F6" s="83">
        <v>43654.482638888891</v>
      </c>
      <c r="G6" s="83">
        <v>43654.557638888888</v>
      </c>
      <c r="H6" s="84">
        <v>107.99999999580905</v>
      </c>
      <c r="I6" s="12" t="s">
        <v>2036</v>
      </c>
      <c r="J6" s="12" t="s">
        <v>2029</v>
      </c>
      <c r="K6" s="100" t="s">
        <v>2030</v>
      </c>
      <c r="L6" s="37" t="s">
        <v>701</v>
      </c>
      <c r="M6" s="37" t="s">
        <v>678</v>
      </c>
      <c r="N6" s="37"/>
      <c r="O6" s="38" t="str">
        <f t="shared" si="0"/>
        <v>ISLA</v>
      </c>
    </row>
    <row r="7" spans="1:15" x14ac:dyDescent="0.4">
      <c r="A7" s="37">
        <v>6</v>
      </c>
      <c r="B7" s="37" t="s">
        <v>2024</v>
      </c>
      <c r="C7" s="37" t="s">
        <v>2</v>
      </c>
      <c r="D7" s="37" t="s">
        <v>1389</v>
      </c>
      <c r="E7" s="12" t="s">
        <v>1936</v>
      </c>
      <c r="F7" s="83">
        <v>43655.798611111109</v>
      </c>
      <c r="G7" s="83">
        <v>43656.684027777781</v>
      </c>
      <c r="H7" s="84">
        <v>1275.0000000069849</v>
      </c>
      <c r="I7" s="12" t="s">
        <v>2031</v>
      </c>
      <c r="J7" s="12" t="s">
        <v>2032</v>
      </c>
      <c r="K7" s="100" t="s">
        <v>959</v>
      </c>
      <c r="L7" s="37" t="s">
        <v>2033</v>
      </c>
      <c r="M7" s="37" t="s">
        <v>678</v>
      </c>
      <c r="N7" s="37"/>
      <c r="O7" s="38" t="str">
        <f t="shared" si="0"/>
        <v>OSLA</v>
      </c>
    </row>
    <row r="8" spans="1:15" x14ac:dyDescent="0.4">
      <c r="A8" s="37">
        <v>7</v>
      </c>
      <c r="B8" s="37" t="s">
        <v>2025</v>
      </c>
      <c r="C8" s="37" t="s">
        <v>2</v>
      </c>
      <c r="D8" s="37" t="s">
        <v>701</v>
      </c>
      <c r="E8" s="12" t="s">
        <v>2012</v>
      </c>
      <c r="F8" s="83">
        <v>43657.361805555556</v>
      </c>
      <c r="G8" s="83">
        <v>43657.386111111111</v>
      </c>
      <c r="H8" s="84">
        <v>34.999999998835847</v>
      </c>
      <c r="I8" s="12" t="s">
        <v>2034</v>
      </c>
      <c r="J8" s="12" t="s">
        <v>879</v>
      </c>
      <c r="K8" s="12" t="s">
        <v>1981</v>
      </c>
      <c r="L8" s="37" t="s">
        <v>701</v>
      </c>
      <c r="M8" s="37" t="s">
        <v>678</v>
      </c>
      <c r="N8" s="37"/>
      <c r="O8" s="38" t="str">
        <f t="shared" si="0"/>
        <v>ISLA</v>
      </c>
    </row>
    <row r="9" spans="1:15" x14ac:dyDescent="0.4">
      <c r="A9" s="37">
        <v>8</v>
      </c>
      <c r="B9" s="37" t="s">
        <v>2026</v>
      </c>
      <c r="C9" s="37" t="s">
        <v>2</v>
      </c>
      <c r="D9" s="37" t="s">
        <v>701</v>
      </c>
      <c r="E9" s="12" t="s">
        <v>2028</v>
      </c>
      <c r="F9" s="83">
        <v>43657.427083333336</v>
      </c>
      <c r="G9" s="83">
        <v>43657.947222222225</v>
      </c>
      <c r="H9" s="84">
        <v>749.00000000023283</v>
      </c>
      <c r="I9" s="12" t="s">
        <v>2035</v>
      </c>
      <c r="J9" s="12" t="s">
        <v>2037</v>
      </c>
      <c r="K9" s="12" t="s">
        <v>2038</v>
      </c>
      <c r="L9" s="37" t="s">
        <v>701</v>
      </c>
      <c r="M9" s="37" t="s">
        <v>678</v>
      </c>
      <c r="N9" s="37"/>
      <c r="O9" s="38" t="str">
        <f t="shared" si="0"/>
        <v>OSLA</v>
      </c>
    </row>
    <row r="10" spans="1:15" x14ac:dyDescent="0.4">
      <c r="A10" s="37">
        <v>9</v>
      </c>
      <c r="B10" s="37" t="s">
        <v>2040</v>
      </c>
      <c r="C10" s="37" t="s">
        <v>2</v>
      </c>
      <c r="D10" s="37" t="s">
        <v>1389</v>
      </c>
      <c r="E10" s="12" t="s">
        <v>1141</v>
      </c>
      <c r="F10" s="83">
        <v>43658.59375</v>
      </c>
      <c r="G10" s="83">
        <v>43658.6875</v>
      </c>
      <c r="H10" s="84">
        <f t="shared" ref="H10:H19" si="1">(G10-F10)*1440</f>
        <v>135</v>
      </c>
      <c r="I10" s="12" t="s">
        <v>1327</v>
      </c>
      <c r="J10" s="100" t="s">
        <v>2041</v>
      </c>
      <c r="K10" s="100" t="s">
        <v>1329</v>
      </c>
      <c r="L10" s="37" t="s">
        <v>704</v>
      </c>
      <c r="M10" s="37" t="s">
        <v>678</v>
      </c>
      <c r="N10" s="37"/>
      <c r="O10" s="38" t="str">
        <f t="shared" si="0"/>
        <v>OSLA</v>
      </c>
    </row>
    <row r="11" spans="1:15" x14ac:dyDescent="0.4">
      <c r="A11" s="37">
        <v>10</v>
      </c>
      <c r="B11" s="37" t="s">
        <v>2042</v>
      </c>
      <c r="C11" s="37" t="s">
        <v>2</v>
      </c>
      <c r="D11" s="37" t="s">
        <v>701</v>
      </c>
      <c r="E11" s="12" t="s">
        <v>2043</v>
      </c>
      <c r="F11" s="83">
        <v>43658.975694444445</v>
      </c>
      <c r="G11" s="83">
        <v>43659.002083333333</v>
      </c>
      <c r="H11" s="84">
        <f t="shared" si="1"/>
        <v>37.999999998137355</v>
      </c>
      <c r="I11" s="12" t="s">
        <v>1837</v>
      </c>
      <c r="J11" s="100" t="s">
        <v>1521</v>
      </c>
      <c r="K11" s="100" t="s">
        <v>1981</v>
      </c>
      <c r="L11" s="37" t="s">
        <v>1656</v>
      </c>
      <c r="M11" s="37" t="s">
        <v>678</v>
      </c>
      <c r="N11" s="12"/>
      <c r="O11" s="38" t="str">
        <f t="shared" si="0"/>
        <v>ISLA</v>
      </c>
    </row>
    <row r="12" spans="1:15" x14ac:dyDescent="0.4">
      <c r="A12" s="37">
        <v>11</v>
      </c>
      <c r="B12" s="12" t="s">
        <v>2044</v>
      </c>
      <c r="C12" s="37" t="s">
        <v>2</v>
      </c>
      <c r="D12" s="37" t="s">
        <v>702</v>
      </c>
      <c r="E12" s="12" t="s">
        <v>1141</v>
      </c>
      <c r="F12" s="83">
        <v>43661.532638888886</v>
      </c>
      <c r="G12" s="83">
        <v>43661.574305555558</v>
      </c>
      <c r="H12" s="84">
        <f t="shared" si="1"/>
        <v>60.000000006984919</v>
      </c>
      <c r="I12" s="12" t="s">
        <v>1327</v>
      </c>
      <c r="J12" s="100" t="s">
        <v>2045</v>
      </c>
      <c r="K12" s="100" t="s">
        <v>2046</v>
      </c>
      <c r="L12" s="37" t="s">
        <v>713</v>
      </c>
      <c r="M12" s="37" t="s">
        <v>678</v>
      </c>
      <c r="N12" s="38"/>
      <c r="O12" s="38" t="str">
        <f t="shared" si="0"/>
        <v>ISLA</v>
      </c>
    </row>
    <row r="13" spans="1:15" x14ac:dyDescent="0.4">
      <c r="A13" s="37">
        <v>12</v>
      </c>
      <c r="B13" s="12" t="s">
        <v>2047</v>
      </c>
      <c r="C13" s="37" t="s">
        <v>2</v>
      </c>
      <c r="D13" s="37" t="s">
        <v>701</v>
      </c>
      <c r="E13" s="12" t="s">
        <v>2048</v>
      </c>
      <c r="F13" s="83">
        <v>43662.681250000001</v>
      </c>
      <c r="G13" s="83">
        <v>43662.709722222222</v>
      </c>
      <c r="H13" s="84">
        <f t="shared" si="1"/>
        <v>40.999999997438863</v>
      </c>
      <c r="I13" s="12" t="s">
        <v>313</v>
      </c>
      <c r="J13" s="100" t="s">
        <v>879</v>
      </c>
      <c r="K13" s="100" t="s">
        <v>209</v>
      </c>
      <c r="L13" s="37" t="s">
        <v>701</v>
      </c>
      <c r="M13" s="37" t="s">
        <v>678</v>
      </c>
      <c r="N13" s="38"/>
      <c r="O13" s="38" t="str">
        <f t="shared" si="0"/>
        <v>ISLA</v>
      </c>
    </row>
    <row r="14" spans="1:15" x14ac:dyDescent="0.4">
      <c r="A14" s="37">
        <v>13</v>
      </c>
      <c r="B14" s="12" t="s">
        <v>2049</v>
      </c>
      <c r="C14" s="37" t="s">
        <v>2</v>
      </c>
      <c r="D14" s="37" t="s">
        <v>701</v>
      </c>
      <c r="E14" s="12" t="s">
        <v>2050</v>
      </c>
      <c r="F14" s="83">
        <v>43662.719444444447</v>
      </c>
      <c r="G14" s="83">
        <v>43662.730555555558</v>
      </c>
      <c r="H14" s="84">
        <f t="shared" si="1"/>
        <v>15.999999999767169</v>
      </c>
      <c r="I14" s="12" t="s">
        <v>120</v>
      </c>
      <c r="J14" s="100" t="s">
        <v>879</v>
      </c>
      <c r="K14" s="100" t="s">
        <v>209</v>
      </c>
      <c r="L14" s="37" t="s">
        <v>701</v>
      </c>
      <c r="M14" s="37" t="s">
        <v>678</v>
      </c>
      <c r="N14" s="38"/>
      <c r="O14" s="38" t="str">
        <f t="shared" si="0"/>
        <v>ISLA</v>
      </c>
    </row>
    <row r="15" spans="1:15" x14ac:dyDescent="0.4">
      <c r="A15" s="37">
        <v>14</v>
      </c>
      <c r="B15" s="12" t="s">
        <v>2051</v>
      </c>
      <c r="C15" s="37" t="s">
        <v>2</v>
      </c>
      <c r="D15" s="37" t="s">
        <v>702</v>
      </c>
      <c r="E15" s="12" t="s">
        <v>57</v>
      </c>
      <c r="F15" s="83">
        <v>43663.53125</v>
      </c>
      <c r="G15" s="83">
        <v>43664.844444444447</v>
      </c>
      <c r="H15" s="84">
        <f t="shared" si="1"/>
        <v>1891.0000000032596</v>
      </c>
      <c r="I15" s="12" t="s">
        <v>2052</v>
      </c>
      <c r="J15" s="100" t="s">
        <v>1469</v>
      </c>
      <c r="K15" s="100" t="s">
        <v>105</v>
      </c>
      <c r="L15" s="37" t="s">
        <v>2053</v>
      </c>
      <c r="M15" s="37" t="s">
        <v>678</v>
      </c>
      <c r="N15" s="38"/>
      <c r="O15" s="38" t="str">
        <f t="shared" si="0"/>
        <v>OSLA</v>
      </c>
    </row>
    <row r="16" spans="1:15" x14ac:dyDescent="0.4">
      <c r="A16" s="37">
        <v>15</v>
      </c>
      <c r="B16" s="12" t="s">
        <v>2054</v>
      </c>
      <c r="C16" s="37" t="s">
        <v>2</v>
      </c>
      <c r="D16" s="37" t="s">
        <v>701</v>
      </c>
      <c r="E16" s="12" t="s">
        <v>2048</v>
      </c>
      <c r="F16" s="83">
        <v>43663.923611111109</v>
      </c>
      <c r="G16" s="83">
        <v>43664.190972222219</v>
      </c>
      <c r="H16" s="84">
        <f>(G16-F16)*1440</f>
        <v>384.99999999767169</v>
      </c>
      <c r="I16" s="12" t="s">
        <v>313</v>
      </c>
      <c r="J16" s="100" t="s">
        <v>879</v>
      </c>
      <c r="K16" s="100" t="s">
        <v>209</v>
      </c>
      <c r="L16" s="37" t="s">
        <v>701</v>
      </c>
      <c r="M16" s="37" t="s">
        <v>678</v>
      </c>
      <c r="N16" s="38"/>
      <c r="O16" s="38" t="str">
        <f t="shared" si="0"/>
        <v>OSLA</v>
      </c>
    </row>
    <row r="17" spans="1:15" ht="15" x14ac:dyDescent="0.4">
      <c r="A17" s="37">
        <v>16</v>
      </c>
      <c r="B17" s="12" t="s">
        <v>2055</v>
      </c>
      <c r="C17" s="37" t="s">
        <v>2</v>
      </c>
      <c r="D17" s="37" t="s">
        <v>702</v>
      </c>
      <c r="E17" s="12" t="s">
        <v>2056</v>
      </c>
      <c r="F17" s="83">
        <v>43665.365972222222</v>
      </c>
      <c r="G17" s="83">
        <v>43665.541666666664</v>
      </c>
      <c r="H17" s="84">
        <f>(G17-F17)*1440</f>
        <v>252.9999999969732</v>
      </c>
      <c r="I17" s="12" t="s">
        <v>2057</v>
      </c>
      <c r="J17" s="100" t="s">
        <v>2058</v>
      </c>
      <c r="K17" s="100" t="s">
        <v>2059</v>
      </c>
      <c r="L17" s="131" t="s">
        <v>707</v>
      </c>
      <c r="M17" s="37" t="s">
        <v>678</v>
      </c>
      <c r="N17" s="38"/>
      <c r="O17" s="38" t="str">
        <f t="shared" si="0"/>
        <v>OSLA</v>
      </c>
    </row>
    <row r="18" spans="1:15" x14ac:dyDescent="0.4">
      <c r="A18" s="37">
        <v>17</v>
      </c>
      <c r="B18" s="12" t="s">
        <v>2060</v>
      </c>
      <c r="C18" s="37" t="s">
        <v>2</v>
      </c>
      <c r="D18" s="37" t="s">
        <v>702</v>
      </c>
      <c r="E18" s="12" t="s">
        <v>2061</v>
      </c>
      <c r="F18" s="83">
        <v>43666.630555555559</v>
      </c>
      <c r="G18" s="83">
        <v>43666.826388888891</v>
      </c>
      <c r="H18" s="84">
        <f t="shared" si="1"/>
        <v>281.99999999720603</v>
      </c>
      <c r="I18" s="12" t="s">
        <v>2031</v>
      </c>
      <c r="J18" s="100" t="s">
        <v>2062</v>
      </c>
      <c r="K18" s="100" t="s">
        <v>2063</v>
      </c>
      <c r="L18" s="37" t="s">
        <v>1332</v>
      </c>
      <c r="M18" s="37" t="s">
        <v>678</v>
      </c>
      <c r="N18" s="38"/>
      <c r="O18" s="38" t="str">
        <f t="shared" si="0"/>
        <v>OSLA</v>
      </c>
    </row>
    <row r="19" spans="1:15" x14ac:dyDescent="0.4">
      <c r="A19" s="37">
        <v>18</v>
      </c>
      <c r="B19" s="12" t="s">
        <v>2064</v>
      </c>
      <c r="C19" s="37" t="s">
        <v>2</v>
      </c>
      <c r="D19" s="37" t="s">
        <v>702</v>
      </c>
      <c r="E19" s="12" t="s">
        <v>1772</v>
      </c>
      <c r="F19" s="83">
        <v>43667.395833333336</v>
      </c>
      <c r="G19" s="83">
        <v>43667.947916666664</v>
      </c>
      <c r="H19" s="84">
        <f t="shared" si="1"/>
        <v>794.99999999301508</v>
      </c>
      <c r="I19" s="12" t="s">
        <v>2065</v>
      </c>
      <c r="J19" s="100" t="s">
        <v>2089</v>
      </c>
      <c r="K19" s="100" t="s">
        <v>219</v>
      </c>
      <c r="L19" s="37" t="s">
        <v>2066</v>
      </c>
      <c r="M19" s="37" t="s">
        <v>678</v>
      </c>
      <c r="N19" s="48"/>
      <c r="O19" s="38" t="str">
        <f t="shared" si="0"/>
        <v>OSLA</v>
      </c>
    </row>
    <row r="20" spans="1:15" x14ac:dyDescent="0.4">
      <c r="A20" s="37">
        <v>19</v>
      </c>
      <c r="B20" s="12" t="s">
        <v>2067</v>
      </c>
      <c r="C20" s="37" t="s">
        <v>14</v>
      </c>
      <c r="D20" s="37" t="s">
        <v>707</v>
      </c>
      <c r="E20" s="12" t="s">
        <v>514</v>
      </c>
      <c r="F20" s="83">
        <v>43670.420138888891</v>
      </c>
      <c r="G20" s="83">
        <v>43670.455555555556</v>
      </c>
      <c r="H20" s="84">
        <f t="shared" ref="H20:H32" si="2">(G20-F20)*1440</f>
        <v>50.999999998603016</v>
      </c>
      <c r="I20" s="12" t="s">
        <v>2068</v>
      </c>
      <c r="J20" s="100" t="s">
        <v>2069</v>
      </c>
      <c r="K20" s="100" t="s">
        <v>2070</v>
      </c>
      <c r="L20" s="37" t="s">
        <v>707</v>
      </c>
      <c r="M20" s="37" t="s">
        <v>678</v>
      </c>
      <c r="N20" s="12"/>
      <c r="O20" s="38" t="str">
        <f t="shared" si="0"/>
        <v>ISLA</v>
      </c>
    </row>
    <row r="21" spans="1:15" x14ac:dyDescent="0.4">
      <c r="A21" s="37">
        <v>20</v>
      </c>
      <c r="B21" s="12" t="s">
        <v>2071</v>
      </c>
      <c r="C21" s="37" t="s">
        <v>2</v>
      </c>
      <c r="D21" s="37" t="s">
        <v>702</v>
      </c>
      <c r="E21" s="12" t="s">
        <v>605</v>
      </c>
      <c r="F21" s="83">
        <v>43670.477777777778</v>
      </c>
      <c r="G21" s="83">
        <v>43670.648611111108</v>
      </c>
      <c r="H21" s="84">
        <f t="shared" si="2"/>
        <v>245.99999999511056</v>
      </c>
      <c r="I21" s="12" t="s">
        <v>2072</v>
      </c>
      <c r="J21" s="100" t="s">
        <v>2073</v>
      </c>
      <c r="K21" s="100" t="s">
        <v>2074</v>
      </c>
      <c r="L21" s="37" t="s">
        <v>713</v>
      </c>
      <c r="M21" s="37" t="s">
        <v>678</v>
      </c>
      <c r="N21" s="12"/>
      <c r="O21" s="38" t="str">
        <f t="shared" si="0"/>
        <v>OSLA</v>
      </c>
    </row>
    <row r="22" spans="1:15" x14ac:dyDescent="0.4">
      <c r="A22" s="37">
        <v>21</v>
      </c>
      <c r="B22" s="12" t="s">
        <v>2075</v>
      </c>
      <c r="C22" s="37" t="s">
        <v>2</v>
      </c>
      <c r="D22" s="37" t="s">
        <v>702</v>
      </c>
      <c r="E22" s="12" t="s">
        <v>1196</v>
      </c>
      <c r="F22" s="83">
        <v>43670.503472222219</v>
      </c>
      <c r="G22" s="83">
        <v>43675.576388888891</v>
      </c>
      <c r="H22" s="84">
        <f t="shared" si="2"/>
        <v>7305.0000000069849</v>
      </c>
      <c r="I22" s="12" t="s">
        <v>2076</v>
      </c>
      <c r="J22" s="100" t="s">
        <v>2127</v>
      </c>
      <c r="K22" s="100" t="s">
        <v>2128</v>
      </c>
      <c r="L22" s="37" t="s">
        <v>2077</v>
      </c>
      <c r="M22" s="37" t="s">
        <v>678</v>
      </c>
      <c r="N22" s="12"/>
      <c r="O22" s="38" t="str">
        <f t="shared" si="0"/>
        <v>OSLA</v>
      </c>
    </row>
    <row r="23" spans="1:15" x14ac:dyDescent="0.4">
      <c r="A23" s="37">
        <v>22</v>
      </c>
      <c r="B23" s="12" t="s">
        <v>2078</v>
      </c>
      <c r="C23" s="37" t="s">
        <v>2</v>
      </c>
      <c r="D23" s="37" t="s">
        <v>702</v>
      </c>
      <c r="E23" s="12" t="s">
        <v>2079</v>
      </c>
      <c r="F23" s="83">
        <v>43670.899305555555</v>
      </c>
      <c r="G23" s="83">
        <v>43671.09375</v>
      </c>
      <c r="H23" s="84">
        <f t="shared" si="2"/>
        <v>280.00000000116415</v>
      </c>
      <c r="I23" s="12" t="s">
        <v>2031</v>
      </c>
      <c r="J23" s="100" t="s">
        <v>2080</v>
      </c>
      <c r="K23" s="100" t="s">
        <v>105</v>
      </c>
      <c r="L23" s="37" t="s">
        <v>1332</v>
      </c>
      <c r="M23" s="37" t="s">
        <v>678</v>
      </c>
      <c r="N23" s="12"/>
      <c r="O23" s="38" t="str">
        <f t="shared" si="0"/>
        <v>OSLA</v>
      </c>
    </row>
    <row r="24" spans="1:15" x14ac:dyDescent="0.4">
      <c r="A24" s="37">
        <v>23</v>
      </c>
      <c r="B24" s="12" t="s">
        <v>2081</v>
      </c>
      <c r="C24" s="37" t="s">
        <v>2</v>
      </c>
      <c r="D24" s="37" t="s">
        <v>702</v>
      </c>
      <c r="E24" s="12" t="s">
        <v>1936</v>
      </c>
      <c r="F24" s="83">
        <v>43672.436805555553</v>
      </c>
      <c r="G24" s="83">
        <v>43672.481944444444</v>
      </c>
      <c r="H24" s="84">
        <f t="shared" si="2"/>
        <v>65.000000002328306</v>
      </c>
      <c r="I24" s="12" t="s">
        <v>2031</v>
      </c>
      <c r="J24" s="100" t="s">
        <v>2080</v>
      </c>
      <c r="K24" s="100" t="s">
        <v>2082</v>
      </c>
      <c r="L24" s="37" t="s">
        <v>1332</v>
      </c>
      <c r="M24" s="37" t="s">
        <v>678</v>
      </c>
      <c r="N24" s="12"/>
      <c r="O24" s="38" t="str">
        <f t="shared" si="0"/>
        <v>ISLA</v>
      </c>
    </row>
    <row r="25" spans="1:15" x14ac:dyDescent="0.4">
      <c r="A25" s="37">
        <v>24</v>
      </c>
      <c r="B25" s="12" t="s">
        <v>2083</v>
      </c>
      <c r="C25" s="37" t="s">
        <v>2</v>
      </c>
      <c r="D25" s="37" t="s">
        <v>702</v>
      </c>
      <c r="E25" s="12" t="s">
        <v>2084</v>
      </c>
      <c r="F25" s="83">
        <v>43672.510416666664</v>
      </c>
      <c r="G25" s="83">
        <v>43675.854166666664</v>
      </c>
      <c r="H25" s="84">
        <f t="shared" si="2"/>
        <v>4815</v>
      </c>
      <c r="I25" s="12" t="s">
        <v>2085</v>
      </c>
      <c r="J25" s="100" t="s">
        <v>2108</v>
      </c>
      <c r="K25" s="100" t="s">
        <v>2107</v>
      </c>
      <c r="L25" s="37" t="s">
        <v>889</v>
      </c>
      <c r="M25" s="37" t="s">
        <v>678</v>
      </c>
      <c r="N25" s="12"/>
      <c r="O25" s="38" t="str">
        <f t="shared" si="0"/>
        <v>OSLA</v>
      </c>
    </row>
    <row r="26" spans="1:15" x14ac:dyDescent="0.4">
      <c r="A26" s="37">
        <v>25</v>
      </c>
      <c r="B26" s="12" t="s">
        <v>2086</v>
      </c>
      <c r="C26" s="37" t="s">
        <v>2</v>
      </c>
      <c r="D26" s="37" t="s">
        <v>701</v>
      </c>
      <c r="E26" s="12" t="s">
        <v>1970</v>
      </c>
      <c r="F26" s="83">
        <v>43673.197222222225</v>
      </c>
      <c r="G26" s="83">
        <v>43673.35</v>
      </c>
      <c r="H26" s="84">
        <f t="shared" si="2"/>
        <v>219.99999999417923</v>
      </c>
      <c r="I26" s="12" t="s">
        <v>2087</v>
      </c>
      <c r="J26" s="100" t="s">
        <v>2088</v>
      </c>
      <c r="K26" s="100" t="s">
        <v>115</v>
      </c>
      <c r="L26" s="37" t="s">
        <v>707</v>
      </c>
      <c r="M26" s="37" t="s">
        <v>678</v>
      </c>
      <c r="N26" s="12"/>
      <c r="O26" s="38" t="str">
        <f t="shared" si="0"/>
        <v>OSLA</v>
      </c>
    </row>
    <row r="27" spans="1:15" x14ac:dyDescent="0.4">
      <c r="A27" s="37">
        <v>26</v>
      </c>
      <c r="B27" s="37" t="s">
        <v>2090</v>
      </c>
      <c r="C27" s="37" t="s">
        <v>2</v>
      </c>
      <c r="D27" s="37" t="s">
        <v>701</v>
      </c>
      <c r="E27" s="12" t="s">
        <v>2048</v>
      </c>
      <c r="F27" s="83">
        <v>43675.288888888892</v>
      </c>
      <c r="G27" s="83">
        <v>43675.302083333336</v>
      </c>
      <c r="H27" s="84">
        <f t="shared" si="2"/>
        <v>18.999999999068677</v>
      </c>
      <c r="I27" s="12" t="s">
        <v>313</v>
      </c>
      <c r="J27" s="12" t="s">
        <v>879</v>
      </c>
      <c r="K27" s="100" t="s">
        <v>209</v>
      </c>
      <c r="L27" s="37" t="s">
        <v>701</v>
      </c>
      <c r="M27" s="37" t="s">
        <v>678</v>
      </c>
      <c r="N27" s="12"/>
      <c r="O27" s="38" t="s">
        <v>2007</v>
      </c>
    </row>
    <row r="28" spans="1:15" x14ac:dyDescent="0.4">
      <c r="A28" s="37">
        <v>27</v>
      </c>
      <c r="B28" s="37" t="s">
        <v>2092</v>
      </c>
      <c r="C28" s="37" t="s">
        <v>2</v>
      </c>
      <c r="D28" s="37" t="s">
        <v>702</v>
      </c>
      <c r="E28" s="12" t="s">
        <v>1141</v>
      </c>
      <c r="F28" s="83">
        <v>43675.752083333333</v>
      </c>
      <c r="G28" s="83">
        <v>43675.767361111109</v>
      </c>
      <c r="H28" s="84">
        <f t="shared" si="2"/>
        <v>21.999999998370185</v>
      </c>
      <c r="I28" s="12" t="s">
        <v>2091</v>
      </c>
      <c r="J28" s="12" t="s">
        <v>2099</v>
      </c>
      <c r="K28" s="100" t="s">
        <v>105</v>
      </c>
      <c r="L28" s="37" t="s">
        <v>704</v>
      </c>
      <c r="M28" s="37" t="s">
        <v>678</v>
      </c>
      <c r="N28" s="12"/>
      <c r="O28" s="38" t="str">
        <f t="shared" ref="O28:O42" si="3">IF(AND(C28=$B$57,H28&lt;=$D$57),"ISLA",IF((AND(C28=$B$58,H28&lt;=$D$58)),"ISLA",IF((AND(C28=$B$59,H28&lt;=$D$59)),"ISLA","OSLA")))</f>
        <v>ISLA</v>
      </c>
    </row>
    <row r="29" spans="1:15" x14ac:dyDescent="0.4">
      <c r="A29" s="37">
        <v>28</v>
      </c>
      <c r="B29" s="37" t="s">
        <v>2093</v>
      </c>
      <c r="C29" s="37" t="s">
        <v>2</v>
      </c>
      <c r="D29" s="37" t="s">
        <v>702</v>
      </c>
      <c r="E29" s="12" t="s">
        <v>1936</v>
      </c>
      <c r="F29" s="83">
        <v>43676.041666666664</v>
      </c>
      <c r="G29" s="83">
        <v>43676.368055555555</v>
      </c>
      <c r="H29" s="84">
        <f t="shared" si="2"/>
        <v>470.00000000232831</v>
      </c>
      <c r="I29" s="12" t="s">
        <v>2031</v>
      </c>
      <c r="J29" s="100" t="s">
        <v>2080</v>
      </c>
      <c r="K29" s="100" t="s">
        <v>2082</v>
      </c>
      <c r="L29" s="37" t="s">
        <v>2100</v>
      </c>
      <c r="M29" s="37" t="s">
        <v>678</v>
      </c>
      <c r="N29" s="12"/>
      <c r="O29" s="38" t="str">
        <f t="shared" si="3"/>
        <v>OSLA</v>
      </c>
    </row>
    <row r="30" spans="1:15" x14ac:dyDescent="0.4">
      <c r="A30" s="37">
        <v>29</v>
      </c>
      <c r="B30" s="37" t="s">
        <v>2094</v>
      </c>
      <c r="C30" s="37" t="s">
        <v>2</v>
      </c>
      <c r="D30" s="37" t="s">
        <v>701</v>
      </c>
      <c r="E30" s="12" t="s">
        <v>2048</v>
      </c>
      <c r="F30" s="83">
        <v>43676.287499999999</v>
      </c>
      <c r="G30" s="83">
        <v>43676.298611111109</v>
      </c>
      <c r="H30" s="84">
        <f t="shared" si="2"/>
        <v>15.999999999767169</v>
      </c>
      <c r="I30" s="12" t="s">
        <v>313</v>
      </c>
      <c r="J30" s="12" t="s">
        <v>879</v>
      </c>
      <c r="K30" s="100" t="s">
        <v>209</v>
      </c>
      <c r="L30" s="37" t="s">
        <v>701</v>
      </c>
      <c r="M30" s="37" t="s">
        <v>678</v>
      </c>
      <c r="N30" s="12"/>
      <c r="O30" s="38" t="str">
        <f t="shared" si="3"/>
        <v>ISLA</v>
      </c>
    </row>
    <row r="31" spans="1:15" x14ac:dyDescent="0.4">
      <c r="A31" s="37">
        <v>30</v>
      </c>
      <c r="B31" s="37" t="s">
        <v>2095</v>
      </c>
      <c r="C31" s="37" t="s">
        <v>2</v>
      </c>
      <c r="D31" s="37" t="s">
        <v>701</v>
      </c>
      <c r="E31" s="12" t="s">
        <v>2048</v>
      </c>
      <c r="F31" s="83">
        <v>43677.295138888891</v>
      </c>
      <c r="G31" s="83">
        <v>43677.329861111109</v>
      </c>
      <c r="H31" s="84">
        <f t="shared" si="2"/>
        <v>49.999999995343387</v>
      </c>
      <c r="I31" s="12" t="s">
        <v>313</v>
      </c>
      <c r="J31" s="12" t="s">
        <v>879</v>
      </c>
      <c r="K31" s="100" t="s">
        <v>209</v>
      </c>
      <c r="L31" s="37" t="s">
        <v>701</v>
      </c>
      <c r="M31" s="37" t="s">
        <v>678</v>
      </c>
      <c r="N31" s="12"/>
      <c r="O31" s="38" t="str">
        <f t="shared" si="3"/>
        <v>ISLA</v>
      </c>
    </row>
    <row r="32" spans="1:15" x14ac:dyDescent="0.4">
      <c r="A32" s="37">
        <v>31</v>
      </c>
      <c r="B32" s="37" t="s">
        <v>2098</v>
      </c>
      <c r="C32" s="37" t="s">
        <v>2</v>
      </c>
      <c r="D32" s="37" t="s">
        <v>702</v>
      </c>
      <c r="E32" s="12" t="s">
        <v>2101</v>
      </c>
      <c r="F32" s="83">
        <v>43677.496527777781</v>
      </c>
      <c r="G32" s="83">
        <v>43677.636805555558</v>
      </c>
      <c r="H32" s="84">
        <f t="shared" si="2"/>
        <v>201.99999999837019</v>
      </c>
      <c r="I32" s="12" t="s">
        <v>2102</v>
      </c>
      <c r="J32" s="12" t="s">
        <v>2103</v>
      </c>
      <c r="K32" s="100" t="s">
        <v>2104</v>
      </c>
      <c r="L32" s="37" t="s">
        <v>703</v>
      </c>
      <c r="M32" s="37" t="s">
        <v>678</v>
      </c>
      <c r="N32" s="12"/>
      <c r="O32" s="38" t="str">
        <f t="shared" si="3"/>
        <v>OSLA</v>
      </c>
    </row>
    <row r="33" spans="1:15" s="73" customFormat="1" x14ac:dyDescent="0.4">
      <c r="A33" s="37">
        <v>32</v>
      </c>
      <c r="B33" s="37" t="s">
        <v>2110</v>
      </c>
      <c r="C33" s="37" t="s">
        <v>2</v>
      </c>
      <c r="D33" s="37" t="s">
        <v>702</v>
      </c>
      <c r="E33" s="12" t="s">
        <v>2109</v>
      </c>
      <c r="F33" s="83">
        <v>43677.958333333336</v>
      </c>
      <c r="G33" s="83">
        <v>43678.229166666664</v>
      </c>
      <c r="H33" s="84">
        <f>(G33-F33)*1440</f>
        <v>389.99999999301508</v>
      </c>
      <c r="I33" s="12" t="s">
        <v>1837</v>
      </c>
      <c r="J33" s="12" t="s">
        <v>2111</v>
      </c>
      <c r="K33" s="100" t="s">
        <v>2112</v>
      </c>
      <c r="L33" s="37" t="s">
        <v>701</v>
      </c>
      <c r="M33" s="37" t="s">
        <v>678</v>
      </c>
      <c r="N33" s="12"/>
      <c r="O33" s="38" t="str">
        <f t="shared" si="3"/>
        <v>OSLA</v>
      </c>
    </row>
    <row r="34" spans="1:15" s="73" customFormat="1" x14ac:dyDescent="0.4">
      <c r="A34" s="128"/>
      <c r="B34" s="128"/>
      <c r="C34" s="128"/>
      <c r="D34" s="128"/>
      <c r="J34"/>
      <c r="O34" s="73" t="str">
        <f t="shared" si="3"/>
        <v>OSLA</v>
      </c>
    </row>
    <row r="35" spans="1:15" s="73" customFormat="1" x14ac:dyDescent="0.4">
      <c r="A35" s="128"/>
      <c r="B35" s="128"/>
      <c r="C35" s="128"/>
      <c r="D35" s="128"/>
      <c r="J35"/>
      <c r="O35" s="73" t="str">
        <f t="shared" si="3"/>
        <v>OSLA</v>
      </c>
    </row>
    <row r="36" spans="1:15" s="73" customFormat="1" x14ac:dyDescent="0.4">
      <c r="A36" s="128"/>
      <c r="B36" s="128"/>
      <c r="C36" s="128"/>
      <c r="D36" s="128"/>
      <c r="J36"/>
      <c r="O36" s="73" t="str">
        <f t="shared" si="3"/>
        <v>OSLA</v>
      </c>
    </row>
    <row r="37" spans="1:15" s="73" customFormat="1" x14ac:dyDescent="0.4">
      <c r="A37" s="128"/>
      <c r="B37" s="128"/>
      <c r="C37" s="128"/>
      <c r="D37" s="128"/>
      <c r="J37"/>
      <c r="O37" s="73" t="str">
        <f t="shared" si="3"/>
        <v>OSLA</v>
      </c>
    </row>
    <row r="38" spans="1:15" s="73" customFormat="1" x14ac:dyDescent="0.4">
      <c r="A38" s="128"/>
      <c r="B38" s="128"/>
      <c r="C38" s="128"/>
      <c r="D38" s="128"/>
      <c r="J38"/>
      <c r="O38" s="73" t="str">
        <f t="shared" si="3"/>
        <v>OSLA</v>
      </c>
    </row>
    <row r="39" spans="1:15" s="73" customFormat="1" x14ac:dyDescent="0.4">
      <c r="A39" s="128"/>
      <c r="B39" s="128"/>
      <c r="C39" s="128"/>
      <c r="D39" s="128"/>
      <c r="J39"/>
      <c r="O39" s="73" t="str">
        <f t="shared" si="3"/>
        <v>OSLA</v>
      </c>
    </row>
    <row r="40" spans="1:15" s="73" customFormat="1" x14ac:dyDescent="0.4">
      <c r="A40" s="128"/>
      <c r="B40" s="128"/>
      <c r="C40" s="128"/>
      <c r="D40" s="128"/>
      <c r="J40"/>
      <c r="O40" s="73" t="str">
        <f t="shared" si="3"/>
        <v>OSLA</v>
      </c>
    </row>
    <row r="41" spans="1:15" s="73" customFormat="1" x14ac:dyDescent="0.4">
      <c r="A41" s="128"/>
      <c r="B41" s="128"/>
      <c r="C41" s="128"/>
      <c r="D41" s="128"/>
      <c r="J41"/>
      <c r="O41" s="73" t="str">
        <f t="shared" si="3"/>
        <v>OSLA</v>
      </c>
    </row>
    <row r="42" spans="1:15" s="73" customFormat="1" x14ac:dyDescent="0.4">
      <c r="A42" s="128"/>
      <c r="B42" s="128"/>
      <c r="C42" s="128"/>
      <c r="D42" s="128"/>
      <c r="J42"/>
      <c r="O42" s="73" t="str">
        <f t="shared" si="3"/>
        <v>OSLA</v>
      </c>
    </row>
    <row r="43" spans="1:15" s="73" customFormat="1" x14ac:dyDescent="0.4">
      <c r="A43" s="128"/>
      <c r="B43" s="128"/>
      <c r="C43" s="128"/>
      <c r="D43" s="128"/>
      <c r="J43"/>
      <c r="O43" s="73" t="str">
        <f t="shared" ref="O43:O50" si="4">IF(AND(C43=$B$57,H43&lt;=$D$57),"ISLA",IF((AND(C43=$B$58,H43&lt;=$D$58)),"ISLA",IF((AND(C43=$B$59,H43&lt;=$D$59)),"ISLA","OSLA")))</f>
        <v>OSLA</v>
      </c>
    </row>
    <row r="44" spans="1:15" s="73" customFormat="1" x14ac:dyDescent="0.4">
      <c r="A44" s="128"/>
      <c r="B44" s="128"/>
      <c r="C44" s="128"/>
      <c r="D44" s="128"/>
      <c r="J44"/>
      <c r="O44" s="73" t="str">
        <f t="shared" si="4"/>
        <v>OSLA</v>
      </c>
    </row>
    <row r="45" spans="1:15" s="73" customFormat="1" x14ac:dyDescent="0.4">
      <c r="A45" s="128"/>
      <c r="B45" s="128"/>
      <c r="C45" s="128"/>
      <c r="D45" s="128"/>
      <c r="J45"/>
      <c r="O45" s="73" t="str">
        <f t="shared" si="4"/>
        <v>OSLA</v>
      </c>
    </row>
    <row r="46" spans="1:15" s="73" customFormat="1" x14ac:dyDescent="0.4">
      <c r="A46" s="128"/>
      <c r="B46" s="128"/>
      <c r="C46" s="128"/>
      <c r="D46" s="128"/>
      <c r="J46"/>
      <c r="O46" s="73" t="str">
        <f t="shared" si="4"/>
        <v>OSLA</v>
      </c>
    </row>
    <row r="47" spans="1:15" s="73" customFormat="1" x14ac:dyDescent="0.4">
      <c r="A47" s="128"/>
      <c r="B47" s="128"/>
      <c r="C47" s="128"/>
      <c r="D47" s="128"/>
      <c r="J47"/>
      <c r="O47" s="73" t="str">
        <f t="shared" si="4"/>
        <v>OSLA</v>
      </c>
    </row>
    <row r="48" spans="1:15" s="73" customFormat="1" x14ac:dyDescent="0.4">
      <c r="A48" s="128"/>
      <c r="B48" s="128"/>
      <c r="C48" s="128"/>
      <c r="D48" s="128"/>
      <c r="J48"/>
      <c r="O48" s="73" t="str">
        <f t="shared" si="4"/>
        <v>OSLA</v>
      </c>
    </row>
    <row r="49" spans="1:15" s="73" customFormat="1" x14ac:dyDescent="0.4">
      <c r="A49" s="128"/>
      <c r="B49" s="128"/>
      <c r="C49" s="128"/>
      <c r="D49" s="128"/>
      <c r="J49"/>
      <c r="O49" s="73" t="str">
        <f t="shared" si="4"/>
        <v>OSLA</v>
      </c>
    </row>
    <row r="50" spans="1:15" s="73" customFormat="1" x14ac:dyDescent="0.4">
      <c r="A50" s="128"/>
      <c r="B50" s="128"/>
      <c r="C50" s="128"/>
      <c r="D50" s="128"/>
      <c r="J50"/>
      <c r="O50" s="73" t="str">
        <f t="shared" si="4"/>
        <v>OSLA</v>
      </c>
    </row>
    <row r="51" spans="1:15" s="73" customFormat="1" x14ac:dyDescent="0.4">
      <c r="A51" s="128"/>
      <c r="B51" s="128"/>
      <c r="C51" s="128"/>
      <c r="D51" s="128"/>
      <c r="J51"/>
    </row>
    <row r="52" spans="1:15" s="73" customFormat="1" x14ac:dyDescent="0.4">
      <c r="A52" s="128"/>
      <c r="B52" s="128"/>
      <c r="C52" s="128"/>
      <c r="D52" s="128"/>
      <c r="J52"/>
    </row>
    <row r="53" spans="1:15" s="73" customFormat="1" x14ac:dyDescent="0.4">
      <c r="A53" s="128"/>
      <c r="B53" s="128"/>
      <c r="C53" s="128"/>
      <c r="D53" s="128"/>
      <c r="J53"/>
    </row>
    <row r="54" spans="1:15" s="73" customFormat="1" x14ac:dyDescent="0.4">
      <c r="A54" s="128"/>
      <c r="B54" s="128"/>
      <c r="C54" s="128"/>
      <c r="D54" s="128"/>
      <c r="J54"/>
    </row>
    <row r="55" spans="1:15" s="73" customFormat="1" x14ac:dyDescent="0.4">
      <c r="A55" s="128"/>
      <c r="B55" s="128"/>
      <c r="C55" s="128"/>
      <c r="D55" s="128"/>
      <c r="J55"/>
    </row>
    <row r="56" spans="1:15" s="73" customFormat="1" x14ac:dyDescent="0.4">
      <c r="A56" s="128"/>
      <c r="B56" s="128"/>
      <c r="C56" s="128"/>
      <c r="D56" s="128"/>
    </row>
    <row r="57" spans="1:15" x14ac:dyDescent="0.4">
      <c r="A57" s="128"/>
      <c r="B57" s="73" t="s">
        <v>2</v>
      </c>
      <c r="C57" s="73" t="s">
        <v>776</v>
      </c>
      <c r="D57" s="73">
        <v>120</v>
      </c>
      <c r="E57" s="73"/>
    </row>
    <row r="58" spans="1:15" x14ac:dyDescent="0.4">
      <c r="A58" s="128"/>
      <c r="B58" s="73" t="s">
        <v>14</v>
      </c>
      <c r="C58" s="73" t="s">
        <v>777</v>
      </c>
      <c r="D58" s="73">
        <v>240</v>
      </c>
      <c r="E58" s="73"/>
    </row>
    <row r="59" spans="1:15" x14ac:dyDescent="0.4">
      <c r="A59" s="128"/>
      <c r="B59" s="73" t="s">
        <v>158</v>
      </c>
      <c r="C59" s="73" t="s">
        <v>778</v>
      </c>
      <c r="D59" s="73">
        <v>2880</v>
      </c>
      <c r="E59" s="73"/>
    </row>
    <row r="60" spans="1:15" x14ac:dyDescent="0.4">
      <c r="A60" s="73"/>
      <c r="B60" s="128"/>
      <c r="C60" s="128"/>
      <c r="D60" s="128"/>
      <c r="E60" s="73"/>
    </row>
    <row r="61" spans="1:15" x14ac:dyDescent="0.4">
      <c r="B61" s="128"/>
      <c r="C61" s="128"/>
      <c r="D61" s="128"/>
    </row>
    <row r="62" spans="1:15" x14ac:dyDescent="0.4">
      <c r="B62" s="128"/>
      <c r="C62" s="128"/>
      <c r="D62" s="128"/>
    </row>
  </sheetData>
  <autoFilter ref="A1:O50" xr:uid="{00000000-0009-0000-0000-000016000000}"/>
  <conditionalFormatting sqref="F2:H33">
    <cfRule type="cellIs" dxfId="62" priority="6" operator="equal">
      <formula>"NOK"</formula>
    </cfRule>
  </conditionalFormatting>
  <dataValidations disablePrompts="1" count="2">
    <dataValidation type="list" allowBlank="1" showInputMessage="1" showErrorMessage="1" promptTitle="Categorie" prompt="La Categorie de l'Incident" sqref="D20" xr:uid="{00000000-0002-0000-1600-000000000000}">
      <formula1>cat</formula1>
    </dataValidation>
    <dataValidation type="list" allowBlank="1" showInputMessage="1" showErrorMessage="1" promptTitle="Priorité" prompt="La Priorité de l'Incident" sqref="C6 C26:C33" xr:uid="{00000000-0002-0000-1600-000001000000}">
      <formula1>prio</formula1>
    </dataValidation>
  </dataValidations>
  <hyperlinks>
    <hyperlink ref="I15" r:id="rId1" display="http://gameloft.orange-guinee.com/" xr:uid="{00000000-0004-0000-16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tabColor theme="9" tint="-0.249977111117893"/>
  </sheetPr>
  <dimension ref="A1:O49"/>
  <sheetViews>
    <sheetView workbookViewId="0">
      <selection activeCell="H2" sqref="H2"/>
    </sheetView>
  </sheetViews>
  <sheetFormatPr baseColWidth="10" defaultRowHeight="14.6" x14ac:dyDescent="0.4"/>
  <cols>
    <col min="1" max="1" width="5.84375" customWidth="1"/>
    <col min="2" max="2" width="9.53515625" bestFit="1" customWidth="1"/>
    <col min="3" max="3" width="6.84375" bestFit="1" customWidth="1"/>
    <col min="4" max="4" width="9.07421875" bestFit="1" customWidth="1"/>
    <col min="5" max="5" width="34.3046875" bestFit="1" customWidth="1"/>
    <col min="6" max="6" width="19.69140625" customWidth="1"/>
    <col min="7" max="7" width="17" customWidth="1"/>
    <col min="8" max="8" width="10.07421875" customWidth="1"/>
    <col min="9" max="9" width="50.53515625" customWidth="1"/>
    <col min="10" max="10" width="52.84375" customWidth="1"/>
    <col min="11" max="11" width="36.07421875" customWidth="1"/>
    <col min="12" max="12" width="13.4609375" bestFit="1" customWidth="1"/>
    <col min="13" max="13" width="6" bestFit="1" customWidth="1"/>
    <col min="14" max="14" width="11.4609375" customWidth="1"/>
    <col min="15" max="15" width="5.07421875" bestFit="1" customWidth="1"/>
  </cols>
  <sheetData>
    <row r="1" spans="1:15" x14ac:dyDescent="0.4">
      <c r="A1" s="6" t="s">
        <v>0</v>
      </c>
      <c r="B1" s="6" t="s">
        <v>679</v>
      </c>
      <c r="C1" s="6" t="s">
        <v>680</v>
      </c>
      <c r="D1" s="7" t="s">
        <v>700</v>
      </c>
      <c r="E1" s="7" t="s">
        <v>1883</v>
      </c>
      <c r="F1" s="6" t="s">
        <v>695</v>
      </c>
      <c r="G1" s="6" t="s">
        <v>694</v>
      </c>
      <c r="H1" s="6" t="s">
        <v>681</v>
      </c>
      <c r="I1" s="7" t="s">
        <v>395</v>
      </c>
      <c r="J1" s="6" t="s">
        <v>682</v>
      </c>
      <c r="K1" s="6" t="s">
        <v>683</v>
      </c>
      <c r="L1" s="7" t="s">
        <v>699</v>
      </c>
      <c r="M1" s="6" t="s">
        <v>684</v>
      </c>
      <c r="N1" s="7" t="s">
        <v>659</v>
      </c>
      <c r="O1" s="6" t="s">
        <v>888</v>
      </c>
    </row>
    <row r="2" spans="1:15" x14ac:dyDescent="0.4">
      <c r="A2" s="37">
        <v>1</v>
      </c>
      <c r="B2" s="37" t="s">
        <v>2115</v>
      </c>
      <c r="C2" s="37" t="s">
        <v>2</v>
      </c>
      <c r="D2" s="37" t="s">
        <v>702</v>
      </c>
      <c r="E2" s="12" t="s">
        <v>2113</v>
      </c>
      <c r="F2" s="83">
        <v>43678.638888888891</v>
      </c>
      <c r="G2" s="83">
        <v>43678.663194444445</v>
      </c>
      <c r="H2" s="84">
        <f t="shared" ref="H2:H7" si="0">(G2-F2)*1440</f>
        <v>34.999999998835847</v>
      </c>
      <c r="I2" s="12" t="s">
        <v>2114</v>
      </c>
      <c r="J2" s="12" t="s">
        <v>2123</v>
      </c>
      <c r="K2" s="100" t="s">
        <v>2124</v>
      </c>
      <c r="L2" s="37" t="s">
        <v>701</v>
      </c>
      <c r="M2" s="37" t="s">
        <v>678</v>
      </c>
      <c r="N2" s="12"/>
      <c r="O2" s="38" t="str">
        <f t="shared" ref="O2:O13" si="1">IF(AND(C2=$B$44,H2&lt;=$D$44),"ISLA",IF((AND(C2=$B$45,H2&lt;=$D$45)),"ISLA",IF((AND(C2=$B$46,H2&lt;=$D$46)),"ISLA","OSLA")))</f>
        <v>ISLA</v>
      </c>
    </row>
    <row r="3" spans="1:15" x14ac:dyDescent="0.4">
      <c r="A3" s="37">
        <v>2</v>
      </c>
      <c r="B3" s="37" t="s">
        <v>2116</v>
      </c>
      <c r="C3" s="37" t="s">
        <v>2</v>
      </c>
      <c r="D3" s="37" t="s">
        <v>701</v>
      </c>
      <c r="E3" s="12" t="s">
        <v>2048</v>
      </c>
      <c r="F3" s="83">
        <v>43678.731944444444</v>
      </c>
      <c r="G3" s="83">
        <v>43678.931944444441</v>
      </c>
      <c r="H3" s="84">
        <f t="shared" si="0"/>
        <v>287.99999999580905</v>
      </c>
      <c r="I3" s="12" t="s">
        <v>313</v>
      </c>
      <c r="J3" s="12" t="s">
        <v>879</v>
      </c>
      <c r="K3" s="100" t="s">
        <v>209</v>
      </c>
      <c r="L3" s="37" t="s">
        <v>701</v>
      </c>
      <c r="M3" s="37" t="s">
        <v>678</v>
      </c>
      <c r="N3" s="12"/>
      <c r="O3" s="38" t="str">
        <f t="shared" si="1"/>
        <v>OSLA</v>
      </c>
    </row>
    <row r="4" spans="1:15" x14ac:dyDescent="0.4">
      <c r="A4" s="37">
        <v>3</v>
      </c>
      <c r="B4" s="37" t="s">
        <v>2118</v>
      </c>
      <c r="C4" s="37" t="s">
        <v>2</v>
      </c>
      <c r="D4" s="37" t="s">
        <v>702</v>
      </c>
      <c r="E4" s="12" t="s">
        <v>2119</v>
      </c>
      <c r="F4" s="83">
        <v>43678.791666666664</v>
      </c>
      <c r="G4" s="83">
        <v>43679.474305555559</v>
      </c>
      <c r="H4" s="84">
        <f t="shared" si="0"/>
        <v>983.00000000861473</v>
      </c>
      <c r="I4" s="12" t="s">
        <v>2117</v>
      </c>
      <c r="J4" s="12" t="s">
        <v>2130</v>
      </c>
      <c r="K4" s="12" t="s">
        <v>2129</v>
      </c>
      <c r="L4" s="37" t="s">
        <v>703</v>
      </c>
      <c r="M4" s="37" t="s">
        <v>678</v>
      </c>
      <c r="N4" s="37"/>
      <c r="O4" s="38" t="str">
        <f t="shared" si="1"/>
        <v>OSLA</v>
      </c>
    </row>
    <row r="5" spans="1:15" x14ac:dyDescent="0.4">
      <c r="A5" s="37">
        <v>4</v>
      </c>
      <c r="B5" s="37" t="s">
        <v>2120</v>
      </c>
      <c r="C5" s="37" t="s">
        <v>2</v>
      </c>
      <c r="D5" s="37" t="s">
        <v>701</v>
      </c>
      <c r="E5" s="12" t="s">
        <v>2048</v>
      </c>
      <c r="F5" s="83">
        <v>43680.326388888891</v>
      </c>
      <c r="G5" s="83">
        <v>43680.336805555555</v>
      </c>
      <c r="H5" s="84">
        <f t="shared" si="0"/>
        <v>14.99999999650754</v>
      </c>
      <c r="I5" s="12" t="s">
        <v>313</v>
      </c>
      <c r="J5" s="12" t="s">
        <v>879</v>
      </c>
      <c r="K5" s="100" t="s">
        <v>209</v>
      </c>
      <c r="L5" s="37" t="s">
        <v>701</v>
      </c>
      <c r="M5" s="37" t="s">
        <v>678</v>
      </c>
      <c r="N5" s="37"/>
      <c r="O5" s="38" t="str">
        <f t="shared" si="1"/>
        <v>ISLA</v>
      </c>
    </row>
    <row r="6" spans="1:15" x14ac:dyDescent="0.4">
      <c r="A6" s="37">
        <v>5</v>
      </c>
      <c r="B6" s="37" t="s">
        <v>2121</v>
      </c>
      <c r="C6" s="37" t="s">
        <v>2</v>
      </c>
      <c r="D6" s="37" t="s">
        <v>702</v>
      </c>
      <c r="E6" s="12" t="s">
        <v>1141</v>
      </c>
      <c r="F6" s="83">
        <v>43680.434027777781</v>
      </c>
      <c r="G6" s="83">
        <v>43680.488888888889</v>
      </c>
      <c r="H6" s="84">
        <f t="shared" si="0"/>
        <v>78.999999995576218</v>
      </c>
      <c r="I6" s="12" t="s">
        <v>2091</v>
      </c>
      <c r="J6" s="12" t="s">
        <v>2125</v>
      </c>
      <c r="K6" s="100" t="s">
        <v>2126</v>
      </c>
      <c r="L6" s="37" t="s">
        <v>704</v>
      </c>
      <c r="M6" s="37" t="s">
        <v>678</v>
      </c>
      <c r="N6" s="37"/>
      <c r="O6" s="38" t="str">
        <f t="shared" si="1"/>
        <v>ISLA</v>
      </c>
    </row>
    <row r="7" spans="1:15" x14ac:dyDescent="0.4">
      <c r="A7" s="37">
        <v>6</v>
      </c>
      <c r="B7" s="37" t="s">
        <v>2122</v>
      </c>
      <c r="C7" s="37" t="s">
        <v>2</v>
      </c>
      <c r="D7" s="37" t="s">
        <v>701</v>
      </c>
      <c r="E7" s="12" t="s">
        <v>2048</v>
      </c>
      <c r="F7" s="83">
        <v>43680.770833333336</v>
      </c>
      <c r="G7" s="83">
        <v>43681.315972222219</v>
      </c>
      <c r="H7" s="84">
        <f t="shared" si="0"/>
        <v>784.99999999185093</v>
      </c>
      <c r="I7" s="12" t="s">
        <v>313</v>
      </c>
      <c r="J7" s="12" t="s">
        <v>879</v>
      </c>
      <c r="K7" s="100" t="s">
        <v>209</v>
      </c>
      <c r="L7" s="37" t="s">
        <v>701</v>
      </c>
      <c r="M7" s="37" t="s">
        <v>678</v>
      </c>
      <c r="N7" s="37"/>
      <c r="O7" s="38" t="str">
        <f t="shared" si="1"/>
        <v>OSLA</v>
      </c>
    </row>
    <row r="8" spans="1:15" x14ac:dyDescent="0.4">
      <c r="A8" s="37">
        <v>7</v>
      </c>
      <c r="B8" s="37" t="s">
        <v>2131</v>
      </c>
      <c r="C8" s="37" t="s">
        <v>2</v>
      </c>
      <c r="D8" s="37" t="s">
        <v>701</v>
      </c>
      <c r="E8" s="12" t="s">
        <v>2048</v>
      </c>
      <c r="F8" s="83">
        <v>43681.454861111109</v>
      </c>
      <c r="G8" s="83">
        <v>43681.46875</v>
      </c>
      <c r="H8" s="84">
        <v>20.000000002328306</v>
      </c>
      <c r="I8" s="12" t="s">
        <v>313</v>
      </c>
      <c r="J8" s="12" t="s">
        <v>879</v>
      </c>
      <c r="K8" s="100" t="s">
        <v>209</v>
      </c>
      <c r="L8" s="37" t="s">
        <v>701</v>
      </c>
      <c r="M8" s="37" t="s">
        <v>678</v>
      </c>
      <c r="N8" s="37"/>
      <c r="O8" s="38" t="str">
        <f t="shared" si="1"/>
        <v>ISLA</v>
      </c>
    </row>
    <row r="9" spans="1:15" x14ac:dyDescent="0.4">
      <c r="A9" s="37">
        <v>8</v>
      </c>
      <c r="B9" s="37" t="s">
        <v>2132</v>
      </c>
      <c r="C9" s="37" t="s">
        <v>2</v>
      </c>
      <c r="D9" s="37" t="s">
        <v>701</v>
      </c>
      <c r="E9" s="12" t="s">
        <v>2048</v>
      </c>
      <c r="F9" s="83">
        <v>43682.180555555555</v>
      </c>
      <c r="G9" s="83">
        <v>43682.194444444445</v>
      </c>
      <c r="H9" s="84">
        <v>20.000000002328306</v>
      </c>
      <c r="I9" s="12" t="s">
        <v>313</v>
      </c>
      <c r="J9" s="100" t="s">
        <v>879</v>
      </c>
      <c r="K9" s="100" t="s">
        <v>209</v>
      </c>
      <c r="L9" s="37" t="s">
        <v>701</v>
      </c>
      <c r="M9" s="37" t="s">
        <v>678</v>
      </c>
      <c r="N9" s="37"/>
      <c r="O9" s="38" t="str">
        <f t="shared" si="1"/>
        <v>ISLA</v>
      </c>
    </row>
    <row r="10" spans="1:15" x14ac:dyDescent="0.4">
      <c r="A10" s="37">
        <v>9</v>
      </c>
      <c r="B10" s="37" t="s">
        <v>2133</v>
      </c>
      <c r="C10" s="37" t="s">
        <v>2</v>
      </c>
      <c r="D10" s="37" t="s">
        <v>702</v>
      </c>
      <c r="E10" s="12" t="s">
        <v>1196</v>
      </c>
      <c r="F10" s="83">
        <v>43682.277777777781</v>
      </c>
      <c r="G10" s="83">
        <v>43682.302083333336</v>
      </c>
      <c r="H10" s="84">
        <v>34.999999998835847</v>
      </c>
      <c r="I10" s="12" t="s">
        <v>2134</v>
      </c>
      <c r="J10" s="100" t="s">
        <v>2135</v>
      </c>
      <c r="K10" s="100" t="s">
        <v>569</v>
      </c>
      <c r="L10" s="37" t="s">
        <v>2023</v>
      </c>
      <c r="M10" s="37" t="s">
        <v>678</v>
      </c>
      <c r="N10" s="37"/>
      <c r="O10" s="38" t="str">
        <f t="shared" si="1"/>
        <v>ISLA</v>
      </c>
    </row>
    <row r="11" spans="1:15" x14ac:dyDescent="0.4">
      <c r="A11" s="37">
        <v>10</v>
      </c>
      <c r="B11" s="37" t="s">
        <v>2136</v>
      </c>
      <c r="C11" s="37" t="s">
        <v>2</v>
      </c>
      <c r="D11" s="37" t="s">
        <v>702</v>
      </c>
      <c r="E11" s="12" t="s">
        <v>1936</v>
      </c>
      <c r="F11" s="83">
        <v>43682.28125</v>
      </c>
      <c r="G11" s="83">
        <v>43682.315972222219</v>
      </c>
      <c r="H11" s="84">
        <v>49.999999995343387</v>
      </c>
      <c r="I11" s="12" t="s">
        <v>2031</v>
      </c>
      <c r="J11" s="100" t="s">
        <v>2080</v>
      </c>
      <c r="K11" s="100" t="s">
        <v>105</v>
      </c>
      <c r="L11" s="37" t="s">
        <v>2033</v>
      </c>
      <c r="M11" s="37" t="s">
        <v>678</v>
      </c>
      <c r="N11" s="37"/>
      <c r="O11" s="38" t="str">
        <f t="shared" si="1"/>
        <v>ISLA</v>
      </c>
    </row>
    <row r="12" spans="1:15" x14ac:dyDescent="0.4">
      <c r="A12" s="37">
        <v>11</v>
      </c>
      <c r="B12" s="37" t="s">
        <v>2137</v>
      </c>
      <c r="C12" s="37" t="s">
        <v>2</v>
      </c>
      <c r="D12" s="37" t="s">
        <v>701</v>
      </c>
      <c r="E12" s="12" t="s">
        <v>2048</v>
      </c>
      <c r="F12" s="83">
        <v>43683.045138888891</v>
      </c>
      <c r="G12" s="83">
        <v>43683.072916666664</v>
      </c>
      <c r="H12" s="84">
        <v>40</v>
      </c>
      <c r="I12" s="12" t="s">
        <v>313</v>
      </c>
      <c r="J12" s="100" t="s">
        <v>879</v>
      </c>
      <c r="K12" s="100" t="s">
        <v>209</v>
      </c>
      <c r="L12" s="37" t="s">
        <v>701</v>
      </c>
      <c r="M12" s="37" t="s">
        <v>678</v>
      </c>
      <c r="N12" s="37"/>
      <c r="O12" s="38" t="str">
        <f t="shared" si="1"/>
        <v>ISLA</v>
      </c>
    </row>
    <row r="13" spans="1:15" x14ac:dyDescent="0.4">
      <c r="A13" s="37">
        <v>12</v>
      </c>
      <c r="B13" s="37" t="s">
        <v>2138</v>
      </c>
      <c r="C13" s="37" t="s">
        <v>2</v>
      </c>
      <c r="D13" s="37" t="s">
        <v>701</v>
      </c>
      <c r="E13" s="12" t="s">
        <v>2048</v>
      </c>
      <c r="F13" s="83">
        <v>43684.906944444447</v>
      </c>
      <c r="G13" s="83">
        <v>43684.927083333336</v>
      </c>
      <c r="H13" s="84">
        <v>29.000000000232831</v>
      </c>
      <c r="I13" s="12" t="s">
        <v>313</v>
      </c>
      <c r="J13" s="100" t="s">
        <v>879</v>
      </c>
      <c r="K13" s="100" t="s">
        <v>209</v>
      </c>
      <c r="L13" s="37" t="s">
        <v>701</v>
      </c>
      <c r="M13" s="37" t="s">
        <v>678</v>
      </c>
      <c r="N13" s="37"/>
      <c r="O13" s="38" t="str">
        <f t="shared" si="1"/>
        <v>ISLA</v>
      </c>
    </row>
    <row r="14" spans="1:15" x14ac:dyDescent="0.4">
      <c r="A14" s="37">
        <v>13</v>
      </c>
      <c r="B14" s="37" t="s">
        <v>2139</v>
      </c>
      <c r="C14" s="37" t="s">
        <v>2</v>
      </c>
      <c r="D14" s="37" t="s">
        <v>701</v>
      </c>
      <c r="E14" s="12" t="s">
        <v>2048</v>
      </c>
      <c r="F14" s="83">
        <v>43685.315972222219</v>
      </c>
      <c r="G14" s="83">
        <v>43685.347222222219</v>
      </c>
      <c r="H14" s="84">
        <v>45</v>
      </c>
      <c r="I14" s="12" t="s">
        <v>313</v>
      </c>
      <c r="J14" s="100" t="s">
        <v>879</v>
      </c>
      <c r="K14" s="100" t="s">
        <v>209</v>
      </c>
      <c r="L14" s="37" t="s">
        <v>701</v>
      </c>
      <c r="M14" s="37" t="s">
        <v>678</v>
      </c>
      <c r="N14" s="37"/>
      <c r="O14" s="38" t="s">
        <v>2007</v>
      </c>
    </row>
    <row r="15" spans="1:15" x14ac:dyDescent="0.4">
      <c r="A15" s="37">
        <v>14</v>
      </c>
      <c r="B15" s="37" t="s">
        <v>2140</v>
      </c>
      <c r="C15" s="37" t="s">
        <v>2</v>
      </c>
      <c r="D15" s="37" t="s">
        <v>701</v>
      </c>
      <c r="E15" s="12" t="s">
        <v>2048</v>
      </c>
      <c r="F15" s="83">
        <v>43685.40625</v>
      </c>
      <c r="G15" s="83">
        <v>43685.524305555555</v>
      </c>
      <c r="H15" s="84">
        <v>169.99999999883585</v>
      </c>
      <c r="I15" s="12" t="s">
        <v>313</v>
      </c>
      <c r="J15" s="100" t="s">
        <v>879</v>
      </c>
      <c r="K15" s="100" t="s">
        <v>209</v>
      </c>
      <c r="L15" s="37" t="s">
        <v>701</v>
      </c>
      <c r="M15" s="37" t="s">
        <v>678</v>
      </c>
      <c r="N15" s="37"/>
      <c r="O15" s="38" t="str">
        <f t="shared" ref="O15:O39" si="2">IF(AND(C15=$B$44,H15&lt;=$D$44),"ISLA",IF((AND(C15=$B$45,H15&lt;=$D$45)),"ISLA",IF((AND(C15=$B$46,H15&lt;=$D$46)),"ISLA","OSLA")))</f>
        <v>OSLA</v>
      </c>
    </row>
    <row r="16" spans="1:15" x14ac:dyDescent="0.4">
      <c r="A16" s="37">
        <v>15</v>
      </c>
      <c r="B16" s="37" t="s">
        <v>2141</v>
      </c>
      <c r="C16" s="37" t="s">
        <v>2</v>
      </c>
      <c r="D16" s="37" t="s">
        <v>701</v>
      </c>
      <c r="E16" s="12" t="s">
        <v>2210</v>
      </c>
      <c r="F16" s="83">
        <v>43685.611805555556</v>
      </c>
      <c r="G16" s="83">
        <v>43685.934027777781</v>
      </c>
      <c r="H16" s="84">
        <v>464.00000000372529</v>
      </c>
      <c r="I16" s="12" t="s">
        <v>2142</v>
      </c>
      <c r="J16" s="100" t="s">
        <v>2143</v>
      </c>
      <c r="K16" s="100" t="s">
        <v>2144</v>
      </c>
      <c r="L16" s="37" t="s">
        <v>701</v>
      </c>
      <c r="M16" s="37" t="s">
        <v>678</v>
      </c>
      <c r="N16" s="37"/>
      <c r="O16" s="38" t="str">
        <f t="shared" si="2"/>
        <v>OSLA</v>
      </c>
    </row>
    <row r="17" spans="1:15" x14ac:dyDescent="0.4">
      <c r="A17" s="37">
        <v>16</v>
      </c>
      <c r="B17" s="37" t="s">
        <v>2145</v>
      </c>
      <c r="C17" s="37" t="s">
        <v>2</v>
      </c>
      <c r="D17" s="37" t="s">
        <v>701</v>
      </c>
      <c r="E17" s="12" t="s">
        <v>2048</v>
      </c>
      <c r="F17" s="83">
        <v>43685.739583333336</v>
      </c>
      <c r="G17" s="83">
        <v>43686.411805555559</v>
      </c>
      <c r="H17" s="84">
        <v>968</v>
      </c>
      <c r="I17" s="12" t="s">
        <v>313</v>
      </c>
      <c r="J17" s="100" t="s">
        <v>879</v>
      </c>
      <c r="K17" s="100" t="s">
        <v>209</v>
      </c>
      <c r="L17" s="37" t="s">
        <v>701</v>
      </c>
      <c r="M17" s="37" t="s">
        <v>678</v>
      </c>
      <c r="N17" s="37"/>
      <c r="O17" s="38" t="str">
        <f t="shared" si="2"/>
        <v>OSLA</v>
      </c>
    </row>
    <row r="18" spans="1:15" x14ac:dyDescent="0.4">
      <c r="A18" s="37">
        <v>17</v>
      </c>
      <c r="B18" s="37" t="s">
        <v>2146</v>
      </c>
      <c r="C18" s="37" t="s">
        <v>2</v>
      </c>
      <c r="D18" s="37" t="s">
        <v>702</v>
      </c>
      <c r="E18" s="12" t="s">
        <v>1936</v>
      </c>
      <c r="F18" s="83">
        <v>43686.298611111109</v>
      </c>
      <c r="G18" s="83">
        <v>43686.368055555555</v>
      </c>
      <c r="H18" s="84">
        <f t="shared" ref="H18:H23" si="3">(G18-F18)*1440</f>
        <v>100.00000000116415</v>
      </c>
      <c r="I18" s="12" t="s">
        <v>2031</v>
      </c>
      <c r="J18" s="100" t="s">
        <v>2080</v>
      </c>
      <c r="K18" s="100" t="s">
        <v>105</v>
      </c>
      <c r="L18" s="37" t="s">
        <v>2033</v>
      </c>
      <c r="M18" s="37" t="s">
        <v>678</v>
      </c>
      <c r="N18" s="37"/>
      <c r="O18" s="38" t="str">
        <f t="shared" si="2"/>
        <v>ISLA</v>
      </c>
    </row>
    <row r="19" spans="1:15" x14ac:dyDescent="0.4">
      <c r="A19" s="37">
        <v>18</v>
      </c>
      <c r="B19" s="37" t="s">
        <v>2147</v>
      </c>
      <c r="C19" s="37" t="s">
        <v>2</v>
      </c>
      <c r="D19" s="37" t="s">
        <v>702</v>
      </c>
      <c r="E19" s="12" t="s">
        <v>2148</v>
      </c>
      <c r="F19" s="83">
        <v>43691.656944444447</v>
      </c>
      <c r="G19" s="83">
        <v>43691.965277777781</v>
      </c>
      <c r="H19" s="84">
        <f t="shared" si="3"/>
        <v>444.00000000139698</v>
      </c>
      <c r="I19" s="12" t="s">
        <v>2178</v>
      </c>
      <c r="J19" s="114" t="s">
        <v>2103</v>
      </c>
      <c r="K19" s="100" t="s">
        <v>441</v>
      </c>
      <c r="L19" s="37" t="s">
        <v>2149</v>
      </c>
      <c r="M19" s="37" t="s">
        <v>678</v>
      </c>
      <c r="N19" s="37"/>
      <c r="O19" s="38" t="str">
        <f t="shared" si="2"/>
        <v>OSLA</v>
      </c>
    </row>
    <row r="20" spans="1:15" s="73" customFormat="1" x14ac:dyDescent="0.4">
      <c r="A20" s="37">
        <v>19</v>
      </c>
      <c r="B20" s="37" t="s">
        <v>2150</v>
      </c>
      <c r="C20" s="37" t="s">
        <v>2</v>
      </c>
      <c r="D20" s="37" t="s">
        <v>701</v>
      </c>
      <c r="E20" s="12" t="s">
        <v>2048</v>
      </c>
      <c r="F20" s="83">
        <v>43691.94027777778</v>
      </c>
      <c r="G20" s="83">
        <v>43691.974999999999</v>
      </c>
      <c r="H20" s="84">
        <f t="shared" si="3"/>
        <v>49.999999995343387</v>
      </c>
      <c r="I20" s="12" t="s">
        <v>313</v>
      </c>
      <c r="J20" s="100" t="s">
        <v>879</v>
      </c>
      <c r="K20" s="100" t="s">
        <v>209</v>
      </c>
      <c r="L20" s="37" t="s">
        <v>701</v>
      </c>
      <c r="M20" s="37" t="s">
        <v>678</v>
      </c>
      <c r="N20" s="12"/>
      <c r="O20" s="38" t="str">
        <f t="shared" si="2"/>
        <v>ISLA</v>
      </c>
    </row>
    <row r="21" spans="1:15" s="73" customFormat="1" x14ac:dyDescent="0.4">
      <c r="A21" s="37">
        <v>20</v>
      </c>
      <c r="B21" s="37" t="s">
        <v>2151</v>
      </c>
      <c r="C21" s="37" t="s">
        <v>2</v>
      </c>
      <c r="D21" s="37" t="s">
        <v>702</v>
      </c>
      <c r="E21" s="12" t="s">
        <v>1936</v>
      </c>
      <c r="F21" s="83">
        <v>43694.300694444442</v>
      </c>
      <c r="G21" s="83">
        <v>43694.347222222219</v>
      </c>
      <c r="H21" s="84">
        <f t="shared" si="3"/>
        <v>66.999999998370185</v>
      </c>
      <c r="I21" s="12" t="s">
        <v>2031</v>
      </c>
      <c r="J21" s="100" t="s">
        <v>2152</v>
      </c>
      <c r="K21" s="100" t="s">
        <v>105</v>
      </c>
      <c r="L21" s="37" t="s">
        <v>2033</v>
      </c>
      <c r="M21" s="37" t="s">
        <v>678</v>
      </c>
      <c r="N21" s="12"/>
      <c r="O21" s="38" t="str">
        <f t="shared" si="2"/>
        <v>ISLA</v>
      </c>
    </row>
    <row r="22" spans="1:15" s="73" customFormat="1" x14ac:dyDescent="0.4">
      <c r="A22" s="37">
        <v>21</v>
      </c>
      <c r="B22" s="37" t="s">
        <v>2153</v>
      </c>
      <c r="C22" s="37" t="s">
        <v>2</v>
      </c>
      <c r="D22" s="37" t="s">
        <v>702</v>
      </c>
      <c r="E22" s="12" t="s">
        <v>2154</v>
      </c>
      <c r="F22" s="83">
        <v>43694.864583333336</v>
      </c>
      <c r="G22" s="83">
        <v>43695.1875</v>
      </c>
      <c r="H22" s="84">
        <f t="shared" si="3"/>
        <v>464.99999999650754</v>
      </c>
      <c r="I22" s="12" t="s">
        <v>2155</v>
      </c>
      <c r="J22" s="100" t="s">
        <v>2202</v>
      </c>
      <c r="K22" s="100" t="s">
        <v>2156</v>
      </c>
      <c r="L22" s="37" t="s">
        <v>704</v>
      </c>
      <c r="M22" s="37" t="s">
        <v>678</v>
      </c>
      <c r="N22" s="12"/>
      <c r="O22" s="38" t="str">
        <f t="shared" si="2"/>
        <v>OSLA</v>
      </c>
    </row>
    <row r="23" spans="1:15" s="73" customFormat="1" x14ac:dyDescent="0.4">
      <c r="A23" s="37">
        <v>22</v>
      </c>
      <c r="B23" s="37" t="s">
        <v>2157</v>
      </c>
      <c r="C23" s="37" t="s">
        <v>2</v>
      </c>
      <c r="D23" s="37" t="s">
        <v>701</v>
      </c>
      <c r="E23" s="12" t="s">
        <v>2048</v>
      </c>
      <c r="F23" s="83">
        <v>43695.056944444441</v>
      </c>
      <c r="G23" s="83">
        <v>43696.082638888889</v>
      </c>
      <c r="H23" s="84">
        <f t="shared" si="3"/>
        <v>1477.0000000053551</v>
      </c>
      <c r="I23" s="12" t="s">
        <v>313</v>
      </c>
      <c r="J23" s="100" t="s">
        <v>879</v>
      </c>
      <c r="K23" s="100" t="s">
        <v>209</v>
      </c>
      <c r="L23" s="37" t="s">
        <v>701</v>
      </c>
      <c r="M23" s="37" t="s">
        <v>678</v>
      </c>
      <c r="N23" s="12"/>
      <c r="O23" s="38" t="str">
        <f t="shared" si="2"/>
        <v>OSLA</v>
      </c>
    </row>
    <row r="24" spans="1:15" s="73" customFormat="1" x14ac:dyDescent="0.4">
      <c r="A24" s="37">
        <v>23</v>
      </c>
      <c r="B24" s="37" t="s">
        <v>2158</v>
      </c>
      <c r="C24" s="37" t="s">
        <v>2</v>
      </c>
      <c r="D24" s="37" t="s">
        <v>702</v>
      </c>
      <c r="E24" s="17" t="s">
        <v>1936</v>
      </c>
      <c r="F24" s="83">
        <v>43697.239583333336</v>
      </c>
      <c r="G24" s="83">
        <v>43697.369444444441</v>
      </c>
      <c r="H24" s="84">
        <f t="shared" ref="H24:H31" si="4">(G24-F24)*1440</f>
        <v>186.99999999138527</v>
      </c>
      <c r="I24" s="12" t="s">
        <v>2031</v>
      </c>
      <c r="J24" s="100" t="s">
        <v>2152</v>
      </c>
      <c r="K24" s="100" t="s">
        <v>105</v>
      </c>
      <c r="L24" s="37" t="s">
        <v>2033</v>
      </c>
      <c r="M24" s="37" t="s">
        <v>678</v>
      </c>
      <c r="N24" s="12"/>
      <c r="O24" s="38" t="str">
        <f t="shared" si="2"/>
        <v>OSLA</v>
      </c>
    </row>
    <row r="25" spans="1:15" s="73" customFormat="1" x14ac:dyDescent="0.4">
      <c r="A25" s="37">
        <v>24</v>
      </c>
      <c r="B25" s="37" t="s">
        <v>2159</v>
      </c>
      <c r="C25" s="37" t="s">
        <v>2</v>
      </c>
      <c r="D25" s="37" t="s">
        <v>701</v>
      </c>
      <c r="E25" s="12" t="s">
        <v>2048</v>
      </c>
      <c r="F25" s="83">
        <v>43697.283333333333</v>
      </c>
      <c r="G25" s="83">
        <v>43697.304166666669</v>
      </c>
      <c r="H25" s="84">
        <f t="shared" si="4"/>
        <v>30.00000000349246</v>
      </c>
      <c r="I25" s="12" t="s">
        <v>313</v>
      </c>
      <c r="J25" s="100" t="s">
        <v>879</v>
      </c>
      <c r="K25" s="100" t="s">
        <v>209</v>
      </c>
      <c r="L25" s="37" t="s">
        <v>701</v>
      </c>
      <c r="M25" s="37" t="s">
        <v>678</v>
      </c>
      <c r="N25" s="12"/>
      <c r="O25" s="38" t="str">
        <f t="shared" si="2"/>
        <v>ISLA</v>
      </c>
    </row>
    <row r="26" spans="1:15" s="73" customFormat="1" x14ac:dyDescent="0.4">
      <c r="A26" s="37">
        <v>25</v>
      </c>
      <c r="B26" s="37" t="s">
        <v>2160</v>
      </c>
      <c r="C26" s="37" t="s">
        <v>2</v>
      </c>
      <c r="D26" s="37" t="s">
        <v>702</v>
      </c>
      <c r="E26" s="12" t="s">
        <v>2161</v>
      </c>
      <c r="F26" s="83">
        <v>43697.612500000003</v>
      </c>
      <c r="G26" s="83">
        <v>43699.409722222219</v>
      </c>
      <c r="H26" s="84">
        <f t="shared" si="4"/>
        <v>2587.9999999911524</v>
      </c>
      <c r="I26" s="12" t="s">
        <v>2179</v>
      </c>
      <c r="J26" s="100" t="s">
        <v>2162</v>
      </c>
      <c r="K26" s="100" t="s">
        <v>2203</v>
      </c>
      <c r="L26" s="37" t="s">
        <v>703</v>
      </c>
      <c r="M26" s="37" t="s">
        <v>678</v>
      </c>
      <c r="N26" s="12"/>
      <c r="O26" s="38" t="str">
        <f t="shared" si="2"/>
        <v>OSLA</v>
      </c>
    </row>
    <row r="27" spans="1:15" s="73" customFormat="1" x14ac:dyDescent="0.4">
      <c r="A27" s="37">
        <v>26</v>
      </c>
      <c r="B27" s="37" t="s">
        <v>2163</v>
      </c>
      <c r="C27" s="37" t="s">
        <v>2</v>
      </c>
      <c r="D27" s="37" t="s">
        <v>701</v>
      </c>
      <c r="E27" s="12" t="s">
        <v>1827</v>
      </c>
      <c r="F27" s="83">
        <v>43697.77847222222</v>
      </c>
      <c r="G27" s="83">
        <v>43698.566666666666</v>
      </c>
      <c r="H27" s="84">
        <f t="shared" si="4"/>
        <v>1135.0000000011642</v>
      </c>
      <c r="I27" s="12" t="s">
        <v>2164</v>
      </c>
      <c r="J27" s="100" t="s">
        <v>2204</v>
      </c>
      <c r="K27" s="100" t="s">
        <v>2165</v>
      </c>
      <c r="L27" s="37" t="s">
        <v>701</v>
      </c>
      <c r="M27" s="37" t="s">
        <v>678</v>
      </c>
      <c r="N27" s="12"/>
      <c r="O27" s="38" t="str">
        <f t="shared" si="2"/>
        <v>OSLA</v>
      </c>
    </row>
    <row r="28" spans="1:15" s="73" customFormat="1" x14ac:dyDescent="0.4">
      <c r="A28" s="37">
        <v>27</v>
      </c>
      <c r="B28" s="37" t="s">
        <v>2166</v>
      </c>
      <c r="C28" s="37" t="s">
        <v>2</v>
      </c>
      <c r="D28" s="83" t="s">
        <v>2167</v>
      </c>
      <c r="E28" s="12" t="s">
        <v>2201</v>
      </c>
      <c r="F28" s="83">
        <v>43698.756944444445</v>
      </c>
      <c r="G28" s="83">
        <v>43698.875</v>
      </c>
      <c r="H28" s="84">
        <f t="shared" si="4"/>
        <v>169.99999999883585</v>
      </c>
      <c r="I28" s="12" t="s">
        <v>2168</v>
      </c>
      <c r="J28" s="12" t="s">
        <v>2205</v>
      </c>
      <c r="K28" s="12" t="s">
        <v>105</v>
      </c>
      <c r="L28" s="37" t="s">
        <v>2169</v>
      </c>
      <c r="M28" s="37" t="s">
        <v>678</v>
      </c>
      <c r="N28" s="12"/>
      <c r="O28" s="38" t="str">
        <f t="shared" si="2"/>
        <v>OSLA</v>
      </c>
    </row>
    <row r="29" spans="1:15" s="73" customFormat="1" x14ac:dyDescent="0.4">
      <c r="A29" s="37">
        <v>28</v>
      </c>
      <c r="B29" s="37" t="s">
        <v>2170</v>
      </c>
      <c r="C29" s="37" t="s">
        <v>2</v>
      </c>
      <c r="D29" s="37" t="s">
        <v>701</v>
      </c>
      <c r="E29" s="12" t="s">
        <v>2048</v>
      </c>
      <c r="F29" s="83">
        <v>43698.783333333333</v>
      </c>
      <c r="G29" s="83">
        <v>43698.910416666666</v>
      </c>
      <c r="H29" s="84">
        <f t="shared" si="4"/>
        <v>182.99999999930151</v>
      </c>
      <c r="I29" s="12" t="s">
        <v>313</v>
      </c>
      <c r="J29" s="100" t="s">
        <v>879</v>
      </c>
      <c r="K29" s="100" t="s">
        <v>209</v>
      </c>
      <c r="L29" s="37" t="s">
        <v>701</v>
      </c>
      <c r="M29" s="37" t="s">
        <v>678</v>
      </c>
      <c r="N29" s="12"/>
      <c r="O29" s="38" t="str">
        <f t="shared" si="2"/>
        <v>OSLA</v>
      </c>
    </row>
    <row r="30" spans="1:15" s="73" customFormat="1" x14ac:dyDescent="0.4">
      <c r="A30" s="37">
        <v>29</v>
      </c>
      <c r="B30" s="37" t="s">
        <v>2171</v>
      </c>
      <c r="C30" s="37" t="s">
        <v>2</v>
      </c>
      <c r="D30" s="37" t="s">
        <v>701</v>
      </c>
      <c r="E30" s="12" t="s">
        <v>2048</v>
      </c>
      <c r="F30" s="83">
        <v>43699.311111111114</v>
      </c>
      <c r="G30" s="83">
        <v>43699.331250000003</v>
      </c>
      <c r="H30" s="132">
        <f t="shared" si="4"/>
        <v>29.000000000232831</v>
      </c>
      <c r="I30" s="12" t="s">
        <v>313</v>
      </c>
      <c r="J30" s="100" t="s">
        <v>879</v>
      </c>
      <c r="K30" s="100" t="s">
        <v>209</v>
      </c>
      <c r="L30" s="92" t="s">
        <v>701</v>
      </c>
      <c r="M30" s="37" t="s">
        <v>678</v>
      </c>
      <c r="N30" s="12"/>
      <c r="O30" s="38" t="str">
        <f t="shared" si="2"/>
        <v>ISLA</v>
      </c>
    </row>
    <row r="31" spans="1:15" s="73" customFormat="1" x14ac:dyDescent="0.4">
      <c r="A31" s="37">
        <v>30</v>
      </c>
      <c r="B31" s="37" t="s">
        <v>2172</v>
      </c>
      <c r="C31" s="37" t="s">
        <v>2</v>
      </c>
      <c r="D31" s="37" t="s">
        <v>702</v>
      </c>
      <c r="E31" s="12" t="s">
        <v>1141</v>
      </c>
      <c r="F31" s="83">
        <v>43699.819444444445</v>
      </c>
      <c r="G31" s="83">
        <v>43700.468055555553</v>
      </c>
      <c r="H31" s="84">
        <f t="shared" si="4"/>
        <v>933.99999999557622</v>
      </c>
      <c r="I31" s="12" t="s">
        <v>1327</v>
      </c>
      <c r="J31" s="100" t="s">
        <v>2173</v>
      </c>
      <c r="K31" s="100" t="s">
        <v>2174</v>
      </c>
      <c r="L31" s="37" t="s">
        <v>704</v>
      </c>
      <c r="M31" s="37" t="s">
        <v>678</v>
      </c>
      <c r="N31" s="12"/>
      <c r="O31" s="38" t="str">
        <f t="shared" si="2"/>
        <v>OSLA</v>
      </c>
    </row>
    <row r="32" spans="1:15" s="138" customFormat="1" x14ac:dyDescent="0.4">
      <c r="A32" s="37">
        <v>31</v>
      </c>
      <c r="B32" s="133" t="s">
        <v>2175</v>
      </c>
      <c r="C32" s="133" t="s">
        <v>2</v>
      </c>
      <c r="D32" s="133" t="s">
        <v>702</v>
      </c>
      <c r="E32" s="17" t="s">
        <v>1141</v>
      </c>
      <c r="F32" s="134">
        <v>43700.790277777778</v>
      </c>
      <c r="G32" s="134">
        <v>43701.291666666664</v>
      </c>
      <c r="H32" s="135">
        <f>(G32-F32)*1440</f>
        <v>721.99999999604188</v>
      </c>
      <c r="I32" s="17" t="s">
        <v>2176</v>
      </c>
      <c r="J32" s="136" t="s">
        <v>2177</v>
      </c>
      <c r="K32" s="100" t="s">
        <v>105</v>
      </c>
      <c r="L32" s="133" t="s">
        <v>704</v>
      </c>
      <c r="M32" s="133" t="s">
        <v>678</v>
      </c>
      <c r="N32" s="17"/>
      <c r="O32" s="137" t="str">
        <f t="shared" si="2"/>
        <v>OSLA</v>
      </c>
    </row>
    <row r="33" spans="1:15" s="73" customFormat="1" x14ac:dyDescent="0.4">
      <c r="A33" s="37">
        <v>32</v>
      </c>
      <c r="B33" s="37" t="s">
        <v>2180</v>
      </c>
      <c r="C33" s="37" t="s">
        <v>2</v>
      </c>
      <c r="D33" s="37" t="s">
        <v>702</v>
      </c>
      <c r="E33" s="12" t="s">
        <v>1633</v>
      </c>
      <c r="F33" s="83">
        <v>43703.760416666664</v>
      </c>
      <c r="G33" s="83">
        <v>43703.784722222219</v>
      </c>
      <c r="H33" s="84">
        <f t="shared" ref="H33:H39" si="5">(G33-F33)*1440</f>
        <v>34.999999998835847</v>
      </c>
      <c r="I33" s="12" t="s">
        <v>1586</v>
      </c>
      <c r="J33" s="100" t="s">
        <v>20</v>
      </c>
      <c r="K33" s="100" t="s">
        <v>105</v>
      </c>
      <c r="L33" s="37" t="s">
        <v>1590</v>
      </c>
      <c r="M33" s="37" t="s">
        <v>678</v>
      </c>
      <c r="N33" s="17"/>
      <c r="O33" s="137" t="str">
        <f t="shared" si="2"/>
        <v>ISLA</v>
      </c>
    </row>
    <row r="34" spans="1:15" s="73" customFormat="1" x14ac:dyDescent="0.4">
      <c r="A34" s="37">
        <v>33</v>
      </c>
      <c r="B34" s="37" t="s">
        <v>2181</v>
      </c>
      <c r="C34" s="37" t="s">
        <v>2</v>
      </c>
      <c r="D34" s="37" t="s">
        <v>701</v>
      </c>
      <c r="E34" s="12" t="s">
        <v>522</v>
      </c>
      <c r="F34" s="83">
        <v>43704.291666666664</v>
      </c>
      <c r="G34" s="83">
        <v>43704.422222222223</v>
      </c>
      <c r="H34" s="84">
        <f t="shared" si="5"/>
        <v>188.00000000512227</v>
      </c>
      <c r="I34" s="12" t="s">
        <v>1857</v>
      </c>
      <c r="J34" s="100" t="s">
        <v>2206</v>
      </c>
      <c r="K34" s="100" t="s">
        <v>2207</v>
      </c>
      <c r="L34" s="37" t="s">
        <v>701</v>
      </c>
      <c r="M34" s="37" t="s">
        <v>678</v>
      </c>
      <c r="N34" s="17"/>
      <c r="O34" s="137" t="str">
        <f t="shared" si="2"/>
        <v>OSLA</v>
      </c>
    </row>
    <row r="35" spans="1:15" s="73" customFormat="1" x14ac:dyDescent="0.4">
      <c r="A35" s="37">
        <v>34</v>
      </c>
      <c r="B35" s="37" t="s">
        <v>2182</v>
      </c>
      <c r="C35" s="37" t="s">
        <v>2</v>
      </c>
      <c r="D35" s="37" t="s">
        <v>702</v>
      </c>
      <c r="E35" s="12" t="s">
        <v>1633</v>
      </c>
      <c r="F35" s="83">
        <v>43704.531944444447</v>
      </c>
      <c r="G35" s="83">
        <v>43704.673611111109</v>
      </c>
      <c r="H35" s="84">
        <f t="shared" si="5"/>
        <v>203.99999999441206</v>
      </c>
      <c r="I35" s="12" t="s">
        <v>2183</v>
      </c>
      <c r="J35" s="100" t="s">
        <v>2184</v>
      </c>
      <c r="K35" s="100" t="s">
        <v>105</v>
      </c>
      <c r="L35" s="37" t="s">
        <v>889</v>
      </c>
      <c r="M35" s="37" t="s">
        <v>678</v>
      </c>
      <c r="N35" s="17"/>
      <c r="O35" s="137" t="str">
        <f t="shared" si="2"/>
        <v>OSLA</v>
      </c>
    </row>
    <row r="36" spans="1:15" s="73" customFormat="1" x14ac:dyDescent="0.4">
      <c r="A36" s="37">
        <v>35</v>
      </c>
      <c r="B36" s="37" t="s">
        <v>2185</v>
      </c>
      <c r="C36" s="37" t="s">
        <v>2</v>
      </c>
      <c r="D36" s="37" t="s">
        <v>702</v>
      </c>
      <c r="E36" s="12" t="s">
        <v>2186</v>
      </c>
      <c r="F36" s="83">
        <v>43704.587500000001</v>
      </c>
      <c r="G36" s="83">
        <v>43704.631249999999</v>
      </c>
      <c r="H36" s="84">
        <f t="shared" si="5"/>
        <v>62.999999995809048</v>
      </c>
      <c r="I36" s="12" t="s">
        <v>826</v>
      </c>
      <c r="J36" s="100" t="s">
        <v>2187</v>
      </c>
      <c r="K36" s="100" t="s">
        <v>2188</v>
      </c>
      <c r="L36" s="37" t="s">
        <v>703</v>
      </c>
      <c r="M36" s="37" t="s">
        <v>678</v>
      </c>
      <c r="N36" s="17"/>
      <c r="O36" s="137" t="str">
        <f t="shared" si="2"/>
        <v>ISLA</v>
      </c>
    </row>
    <row r="37" spans="1:15" s="73" customFormat="1" ht="15" x14ac:dyDescent="0.4">
      <c r="A37" s="37">
        <v>36</v>
      </c>
      <c r="B37" s="37" t="s">
        <v>2189</v>
      </c>
      <c r="C37" s="37" t="s">
        <v>2</v>
      </c>
      <c r="D37" s="37" t="s">
        <v>701</v>
      </c>
      <c r="E37" s="12" t="s">
        <v>2048</v>
      </c>
      <c r="F37" s="83">
        <v>43705.680555555555</v>
      </c>
      <c r="G37" s="83">
        <v>43705.696527777778</v>
      </c>
      <c r="H37" s="84">
        <f t="shared" si="5"/>
        <v>23.000000001629815</v>
      </c>
      <c r="I37" s="12" t="s">
        <v>313</v>
      </c>
      <c r="J37" s="100" t="s">
        <v>879</v>
      </c>
      <c r="K37" s="100" t="s">
        <v>209</v>
      </c>
      <c r="L37" s="37" t="s">
        <v>701</v>
      </c>
      <c r="M37" s="37" t="s">
        <v>678</v>
      </c>
      <c r="N37" s="17"/>
      <c r="O37" s="137" t="str">
        <f t="shared" si="2"/>
        <v>ISLA</v>
      </c>
    </row>
    <row r="38" spans="1:15" s="73" customFormat="1" x14ac:dyDescent="0.4">
      <c r="A38" s="37">
        <v>37</v>
      </c>
      <c r="B38" s="37" t="s">
        <v>2190</v>
      </c>
      <c r="C38" s="37" t="s">
        <v>2</v>
      </c>
      <c r="D38" s="37" t="s">
        <v>701</v>
      </c>
      <c r="E38" s="12" t="s">
        <v>522</v>
      </c>
      <c r="F38" s="83">
        <v>43705.696527777778</v>
      </c>
      <c r="G38" s="83">
        <v>43705.73333333333</v>
      </c>
      <c r="H38" s="84">
        <f t="shared" si="5"/>
        <v>52.999999994644895</v>
      </c>
      <c r="I38" s="12" t="s">
        <v>1857</v>
      </c>
      <c r="J38" s="100" t="s">
        <v>2209</v>
      </c>
      <c r="K38" s="100" t="s">
        <v>2208</v>
      </c>
      <c r="L38" s="37" t="s">
        <v>701</v>
      </c>
      <c r="M38" s="37" t="s">
        <v>678</v>
      </c>
      <c r="N38" s="17"/>
      <c r="O38" s="137" t="str">
        <f t="shared" si="2"/>
        <v>ISLA</v>
      </c>
    </row>
    <row r="39" spans="1:15" s="73" customFormat="1" x14ac:dyDescent="0.4">
      <c r="A39" s="37">
        <v>38</v>
      </c>
      <c r="B39" s="37" t="s">
        <v>2191</v>
      </c>
      <c r="C39" s="37" t="s">
        <v>2</v>
      </c>
      <c r="D39" s="37" t="s">
        <v>701</v>
      </c>
      <c r="E39" s="12" t="s">
        <v>2048</v>
      </c>
      <c r="F39" s="83">
        <v>43707.309027777781</v>
      </c>
      <c r="G39" s="83">
        <v>43707.336111111108</v>
      </c>
      <c r="H39" s="84">
        <f t="shared" si="5"/>
        <v>38.999999990919605</v>
      </c>
      <c r="I39" s="12" t="s">
        <v>313</v>
      </c>
      <c r="J39" s="100" t="s">
        <v>879</v>
      </c>
      <c r="K39" s="100" t="s">
        <v>209</v>
      </c>
      <c r="L39" s="37" t="s">
        <v>701</v>
      </c>
      <c r="M39" s="37" t="s">
        <v>678</v>
      </c>
      <c r="N39" s="17"/>
      <c r="O39" s="137" t="str">
        <f t="shared" si="2"/>
        <v>ISLA</v>
      </c>
    </row>
    <row r="40" spans="1:15" s="73" customFormat="1" x14ac:dyDescent="0.4">
      <c r="A40" s="128"/>
      <c r="B40" s="128"/>
      <c r="C40" s="128"/>
      <c r="D40" s="128"/>
      <c r="J40"/>
    </row>
    <row r="41" spans="1:15" s="73" customFormat="1" x14ac:dyDescent="0.4">
      <c r="A41" s="128"/>
      <c r="B41" s="128"/>
      <c r="C41" s="128"/>
      <c r="D41" s="128"/>
      <c r="J41"/>
    </row>
    <row r="42" spans="1:15" s="73" customFormat="1" x14ac:dyDescent="0.4">
      <c r="A42" s="128"/>
      <c r="B42" s="128"/>
      <c r="C42" s="128"/>
      <c r="D42" s="128"/>
      <c r="J42"/>
    </row>
    <row r="43" spans="1:15" s="73" customFormat="1" x14ac:dyDescent="0.4">
      <c r="A43" s="128"/>
      <c r="B43" s="128"/>
      <c r="C43" s="128"/>
      <c r="D43" s="128"/>
    </row>
    <row r="44" spans="1:15" s="73" customFormat="1" x14ac:dyDescent="0.4">
      <c r="A44" s="128"/>
      <c r="B44" s="73" t="s">
        <v>2</v>
      </c>
      <c r="C44" s="73" t="s">
        <v>776</v>
      </c>
      <c r="D44" s="73">
        <v>120</v>
      </c>
      <c r="F44"/>
      <c r="G44"/>
      <c r="H44"/>
      <c r="I44"/>
      <c r="J44"/>
      <c r="K44"/>
      <c r="L44"/>
      <c r="M44"/>
      <c r="N44"/>
      <c r="O44"/>
    </row>
    <row r="45" spans="1:15" s="73" customFormat="1" x14ac:dyDescent="0.4">
      <c r="A45" s="128"/>
      <c r="B45" s="73" t="s">
        <v>14</v>
      </c>
      <c r="C45" s="73" t="s">
        <v>777</v>
      </c>
      <c r="D45" s="73">
        <v>240</v>
      </c>
      <c r="F45"/>
      <c r="G45"/>
      <c r="H45"/>
      <c r="I45"/>
      <c r="J45"/>
      <c r="K45"/>
      <c r="L45"/>
      <c r="M45"/>
      <c r="N45"/>
      <c r="O45"/>
    </row>
    <row r="46" spans="1:15" s="73" customFormat="1" x14ac:dyDescent="0.4">
      <c r="A46" s="128"/>
      <c r="B46" s="73" t="s">
        <v>158</v>
      </c>
      <c r="C46" s="73" t="s">
        <v>778</v>
      </c>
      <c r="D46" s="73">
        <v>2880</v>
      </c>
      <c r="F46"/>
      <c r="G46"/>
      <c r="H46"/>
      <c r="I46"/>
      <c r="J46"/>
      <c r="K46"/>
      <c r="L46"/>
      <c r="M46"/>
      <c r="N46"/>
      <c r="O46"/>
    </row>
    <row r="47" spans="1:15" x14ac:dyDescent="0.4">
      <c r="A47" s="73"/>
      <c r="B47" s="128"/>
      <c r="C47" s="128"/>
      <c r="D47" s="128"/>
      <c r="E47" s="73"/>
    </row>
    <row r="48" spans="1:15" x14ac:dyDescent="0.4">
      <c r="B48" s="128"/>
      <c r="C48" s="128"/>
      <c r="D48" s="128"/>
    </row>
    <row r="49" spans="2:4" x14ac:dyDescent="0.4">
      <c r="B49" s="128"/>
      <c r="C49" s="128"/>
      <c r="D49" s="128"/>
    </row>
  </sheetData>
  <autoFilter ref="A1:O39" xr:uid="{00000000-0009-0000-0000-000017000000}"/>
  <conditionalFormatting sqref="F30:G30">
    <cfRule type="cellIs" dxfId="61" priority="7" operator="equal">
      <formula>"NOK"</formula>
    </cfRule>
  </conditionalFormatting>
  <conditionalFormatting sqref="F2:H29">
    <cfRule type="cellIs" dxfId="60" priority="13" operator="equal">
      <formula>"NOK"</formula>
    </cfRule>
  </conditionalFormatting>
  <conditionalFormatting sqref="F31:H39">
    <cfRule type="cellIs" dxfId="59" priority="1" operator="equal">
      <formula>"NOK"</formula>
    </cfRule>
  </conditionalFormatting>
  <dataValidations count="1">
    <dataValidation type="list" allowBlank="1" showInputMessage="1" showErrorMessage="1" promptTitle="Priorité" prompt="La Priorité de l'Incident" sqref="C2:C7 C13:C18 C20:C23" xr:uid="{00000000-0002-0000-1700-000000000000}">
      <formula1>prio</formula1>
    </dataValidation>
  </dataValidation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6">
    <tabColor theme="0" tint="-0.499984740745262"/>
  </sheetPr>
  <dimension ref="A1:O48"/>
  <sheetViews>
    <sheetView workbookViewId="0">
      <selection activeCell="H2" sqref="H2"/>
    </sheetView>
  </sheetViews>
  <sheetFormatPr baseColWidth="10" defaultRowHeight="14.6" x14ac:dyDescent="0.4"/>
  <cols>
    <col min="1" max="1" width="5.84375" customWidth="1"/>
    <col min="2" max="2" width="9.53515625" bestFit="1" customWidth="1"/>
    <col min="3" max="3" width="6.84375" bestFit="1" customWidth="1"/>
    <col min="4" max="4" width="9.07421875" bestFit="1" customWidth="1"/>
    <col min="5" max="5" width="34.3046875" bestFit="1" customWidth="1"/>
    <col min="6" max="6" width="19.69140625" customWidth="1"/>
    <col min="7" max="7" width="17" customWidth="1"/>
    <col min="8" max="8" width="10.07421875" customWidth="1"/>
    <col min="9" max="9" width="50.53515625" customWidth="1"/>
    <col min="10" max="10" width="52.84375" customWidth="1"/>
    <col min="11" max="11" width="36.07421875" customWidth="1"/>
    <col min="12" max="12" width="9.4609375" bestFit="1" customWidth="1"/>
    <col min="13" max="13" width="6" bestFit="1" customWidth="1"/>
    <col min="14" max="14" width="11.4609375" customWidth="1"/>
    <col min="15" max="15" width="5.07421875" bestFit="1" customWidth="1"/>
  </cols>
  <sheetData>
    <row r="1" spans="1:15" x14ac:dyDescent="0.4">
      <c r="A1" s="6" t="s">
        <v>0</v>
      </c>
      <c r="B1" s="6" t="s">
        <v>679</v>
      </c>
      <c r="C1" s="6" t="s">
        <v>680</v>
      </c>
      <c r="D1" s="7" t="s">
        <v>700</v>
      </c>
      <c r="E1" s="7" t="s">
        <v>1883</v>
      </c>
      <c r="F1" s="6" t="s">
        <v>695</v>
      </c>
      <c r="G1" s="6" t="s">
        <v>694</v>
      </c>
      <c r="H1" s="6" t="s">
        <v>681</v>
      </c>
      <c r="I1" s="7" t="s">
        <v>395</v>
      </c>
      <c r="J1" s="6" t="s">
        <v>682</v>
      </c>
      <c r="K1" s="6" t="s">
        <v>683</v>
      </c>
      <c r="L1" s="7" t="s">
        <v>699</v>
      </c>
      <c r="M1" s="6" t="s">
        <v>684</v>
      </c>
      <c r="N1" s="7" t="s">
        <v>659</v>
      </c>
      <c r="O1" s="6" t="s">
        <v>888</v>
      </c>
    </row>
    <row r="2" spans="1:15" x14ac:dyDescent="0.4">
      <c r="A2" s="37">
        <v>1</v>
      </c>
      <c r="B2" s="37" t="s">
        <v>2192</v>
      </c>
      <c r="C2" s="37" t="s">
        <v>2</v>
      </c>
      <c r="D2" s="37" t="s">
        <v>701</v>
      </c>
      <c r="E2" s="12" t="s">
        <v>2048</v>
      </c>
      <c r="F2" s="83">
        <v>43709.522222222222</v>
      </c>
      <c r="G2" s="83">
        <v>43709.852777777778</v>
      </c>
      <c r="H2" s="84">
        <f t="shared" ref="H2:H27" si="0">(G2-F2)*1440</f>
        <v>476.00000000093132</v>
      </c>
      <c r="I2" s="12" t="s">
        <v>313</v>
      </c>
      <c r="J2" s="100" t="s">
        <v>879</v>
      </c>
      <c r="K2" s="100" t="s">
        <v>995</v>
      </c>
      <c r="L2" s="37" t="s">
        <v>701</v>
      </c>
      <c r="M2" s="37" t="s">
        <v>678</v>
      </c>
      <c r="N2" s="12"/>
      <c r="O2" s="38" t="str">
        <f>IF(AND(C2=$B$43,H2&lt;=$D$43),"ISLA",IF((AND(C2=$B$44,H2&lt;=$D$44)),"ISLA",IF((AND(C2=$B$45,H2&lt;=$D$45)),"ISLA","OSLA")))</f>
        <v>OSLA</v>
      </c>
    </row>
    <row r="3" spans="1:15" x14ac:dyDescent="0.4">
      <c r="A3" s="37">
        <v>2</v>
      </c>
      <c r="B3" s="37" t="s">
        <v>2193</v>
      </c>
      <c r="C3" s="37" t="s">
        <v>14</v>
      </c>
      <c r="D3" s="37" t="s">
        <v>707</v>
      </c>
      <c r="E3" s="12" t="s">
        <v>514</v>
      </c>
      <c r="F3" s="83">
        <v>43710.405555555553</v>
      </c>
      <c r="G3" s="83">
        <v>43710.520833333336</v>
      </c>
      <c r="H3" s="84">
        <f t="shared" si="0"/>
        <v>166.00000000675209</v>
      </c>
      <c r="I3" s="12" t="s">
        <v>2194</v>
      </c>
      <c r="J3" s="12" t="s">
        <v>2286</v>
      </c>
      <c r="K3" s="12" t="s">
        <v>2287</v>
      </c>
      <c r="L3" s="37" t="s">
        <v>707</v>
      </c>
      <c r="M3" s="37" t="s">
        <v>678</v>
      </c>
      <c r="N3" s="12"/>
      <c r="O3" s="38" t="str">
        <f t="shared" ref="O3:O38" si="1">IF(AND(C3=$B$43,H3&lt;=$D$43),"ISLA",IF((AND(C3=$B$44,H3&lt;=$D$44)),"ISLA",IF((AND(C3=$B$45,H3&lt;=$D$45)),"ISLA","OSLA")))</f>
        <v>ISLA</v>
      </c>
    </row>
    <row r="4" spans="1:15" x14ac:dyDescent="0.4">
      <c r="A4" s="37">
        <v>3</v>
      </c>
      <c r="B4" s="37" t="s">
        <v>2195</v>
      </c>
      <c r="C4" s="37" t="s">
        <v>2</v>
      </c>
      <c r="D4" s="37" t="s">
        <v>701</v>
      </c>
      <c r="E4" s="12" t="s">
        <v>2048</v>
      </c>
      <c r="F4" s="83">
        <v>43710.9375</v>
      </c>
      <c r="G4" s="83">
        <v>43710.961111111108</v>
      </c>
      <c r="H4" s="84">
        <f t="shared" si="0"/>
        <v>33.999999995576218</v>
      </c>
      <c r="I4" s="12" t="s">
        <v>313</v>
      </c>
      <c r="J4" s="12" t="s">
        <v>879</v>
      </c>
      <c r="K4" s="100" t="s">
        <v>995</v>
      </c>
      <c r="L4" s="37" t="s">
        <v>701</v>
      </c>
      <c r="M4" s="37" t="s">
        <v>678</v>
      </c>
      <c r="N4" s="37"/>
      <c r="O4" s="38" t="str">
        <f t="shared" si="1"/>
        <v>ISLA</v>
      </c>
    </row>
    <row r="5" spans="1:15" x14ac:dyDescent="0.4">
      <c r="A5" s="37">
        <v>4</v>
      </c>
      <c r="B5" s="37" t="s">
        <v>2196</v>
      </c>
      <c r="C5" s="37" t="s">
        <v>2</v>
      </c>
      <c r="D5" s="37" t="s">
        <v>701</v>
      </c>
      <c r="E5" s="12" t="s">
        <v>2048</v>
      </c>
      <c r="F5" s="83">
        <v>43711.283333333333</v>
      </c>
      <c r="G5" s="83">
        <v>43711.304861111108</v>
      </c>
      <c r="H5" s="84">
        <f t="shared" si="0"/>
        <v>30.99999999627471</v>
      </c>
      <c r="I5" s="12" t="s">
        <v>313</v>
      </c>
      <c r="J5" s="12" t="s">
        <v>879</v>
      </c>
      <c r="K5" s="100" t="s">
        <v>995</v>
      </c>
      <c r="L5" s="37" t="s">
        <v>701</v>
      </c>
      <c r="M5" s="37" t="s">
        <v>678</v>
      </c>
      <c r="N5" s="37"/>
      <c r="O5" s="38" t="str">
        <f t="shared" si="1"/>
        <v>ISLA</v>
      </c>
    </row>
    <row r="6" spans="1:15" x14ac:dyDescent="0.4">
      <c r="A6" s="37">
        <v>5</v>
      </c>
      <c r="B6" s="37" t="s">
        <v>2197</v>
      </c>
      <c r="C6" s="37" t="s">
        <v>2</v>
      </c>
      <c r="D6" s="37" t="s">
        <v>701</v>
      </c>
      <c r="E6" s="12" t="s">
        <v>2048</v>
      </c>
      <c r="F6" s="83">
        <v>43712.280555555553</v>
      </c>
      <c r="G6" s="83">
        <v>43712.301388888889</v>
      </c>
      <c r="H6" s="84">
        <f t="shared" si="0"/>
        <v>30.00000000349246</v>
      </c>
      <c r="I6" s="12" t="s">
        <v>313</v>
      </c>
      <c r="J6" s="12" t="s">
        <v>879</v>
      </c>
      <c r="K6" s="100" t="s">
        <v>995</v>
      </c>
      <c r="L6" s="37" t="s">
        <v>701</v>
      </c>
      <c r="M6" s="37" t="s">
        <v>678</v>
      </c>
      <c r="N6" s="37"/>
      <c r="O6" s="38" t="str">
        <f t="shared" si="1"/>
        <v>ISLA</v>
      </c>
    </row>
    <row r="7" spans="1:15" x14ac:dyDescent="0.4">
      <c r="A7" s="37">
        <v>6</v>
      </c>
      <c r="B7" s="37" t="s">
        <v>2198</v>
      </c>
      <c r="C7" s="37" t="s">
        <v>2</v>
      </c>
      <c r="D7" s="37" t="s">
        <v>1988</v>
      </c>
      <c r="E7" s="12" t="s">
        <v>150</v>
      </c>
      <c r="F7" s="83">
        <v>43712.930555555555</v>
      </c>
      <c r="G7" s="83">
        <v>43712.954861111109</v>
      </c>
      <c r="H7" s="84">
        <f t="shared" si="0"/>
        <v>34.999999998835847</v>
      </c>
      <c r="I7" s="12" t="s">
        <v>2199</v>
      </c>
      <c r="J7" s="12" t="s">
        <v>2349</v>
      </c>
      <c r="K7" s="100" t="s">
        <v>2200</v>
      </c>
      <c r="L7" s="37" t="s">
        <v>713</v>
      </c>
      <c r="M7" s="37" t="s">
        <v>678</v>
      </c>
      <c r="N7" s="37"/>
      <c r="O7" s="38" t="str">
        <f t="shared" si="1"/>
        <v>ISLA</v>
      </c>
    </row>
    <row r="8" spans="1:15" x14ac:dyDescent="0.4">
      <c r="A8" s="37">
        <v>7</v>
      </c>
      <c r="B8" s="37" t="s">
        <v>2211</v>
      </c>
      <c r="C8" s="37" t="s">
        <v>14</v>
      </c>
      <c r="D8" s="37" t="s">
        <v>1988</v>
      </c>
      <c r="E8" s="12" t="s">
        <v>40</v>
      </c>
      <c r="F8" s="83">
        <v>43714.427083333336</v>
      </c>
      <c r="G8" s="83">
        <v>43714.440972222219</v>
      </c>
      <c r="H8" s="84">
        <f t="shared" si="0"/>
        <v>19.999999991850927</v>
      </c>
      <c r="I8" s="12" t="s">
        <v>2224</v>
      </c>
      <c r="J8" s="12" t="s">
        <v>2212</v>
      </c>
      <c r="K8" s="12" t="s">
        <v>2213</v>
      </c>
      <c r="L8" s="37" t="s">
        <v>701</v>
      </c>
      <c r="M8" s="37" t="s">
        <v>678</v>
      </c>
      <c r="N8" s="37"/>
      <c r="O8" s="38" t="str">
        <f t="shared" si="1"/>
        <v>ISLA</v>
      </c>
    </row>
    <row r="9" spans="1:15" x14ac:dyDescent="0.4">
      <c r="A9" s="37">
        <v>8</v>
      </c>
      <c r="B9" s="37" t="s">
        <v>2214</v>
      </c>
      <c r="C9" s="37" t="s">
        <v>2</v>
      </c>
      <c r="D9" s="37" t="s">
        <v>701</v>
      </c>
      <c r="E9" s="12" t="s">
        <v>252</v>
      </c>
      <c r="F9" s="83">
        <v>43714.6</v>
      </c>
      <c r="G9" s="83">
        <v>43714.6875</v>
      </c>
      <c r="H9" s="84">
        <f t="shared" si="0"/>
        <v>126.00000000209548</v>
      </c>
      <c r="I9" s="12" t="s">
        <v>2215</v>
      </c>
      <c r="J9" s="12" t="s">
        <v>2238</v>
      </c>
      <c r="K9" s="12" t="s">
        <v>2239</v>
      </c>
      <c r="L9" s="37" t="s">
        <v>701</v>
      </c>
      <c r="M9" s="37" t="s">
        <v>678</v>
      </c>
      <c r="N9" s="37"/>
      <c r="O9" s="38" t="str">
        <f t="shared" si="1"/>
        <v>OSLA</v>
      </c>
    </row>
    <row r="10" spans="1:15" x14ac:dyDescent="0.4">
      <c r="A10" s="37">
        <v>9</v>
      </c>
      <c r="B10" s="37" t="s">
        <v>2216</v>
      </c>
      <c r="C10" s="37" t="s">
        <v>2</v>
      </c>
      <c r="D10" s="37" t="s">
        <v>701</v>
      </c>
      <c r="E10" s="12" t="s">
        <v>2048</v>
      </c>
      <c r="F10" s="83">
        <v>43717.286805555559</v>
      </c>
      <c r="G10" s="83">
        <v>43717.685416666667</v>
      </c>
      <c r="H10" s="84">
        <f t="shared" si="0"/>
        <v>573.99999999557622</v>
      </c>
      <c r="I10" s="12" t="s">
        <v>313</v>
      </c>
      <c r="J10" s="100" t="s">
        <v>879</v>
      </c>
      <c r="K10" s="12" t="s">
        <v>995</v>
      </c>
      <c r="L10" s="37" t="s">
        <v>701</v>
      </c>
      <c r="M10" s="37" t="s">
        <v>678</v>
      </c>
      <c r="N10" s="37"/>
      <c r="O10" s="38" t="str">
        <f t="shared" si="1"/>
        <v>OSLA</v>
      </c>
    </row>
    <row r="11" spans="1:15" x14ac:dyDescent="0.4">
      <c r="A11" s="37">
        <v>10</v>
      </c>
      <c r="B11" s="37" t="s">
        <v>2217</v>
      </c>
      <c r="C11" s="37" t="s">
        <v>2</v>
      </c>
      <c r="D11" s="37" t="s">
        <v>1988</v>
      </c>
      <c r="E11" s="12" t="s">
        <v>2225</v>
      </c>
      <c r="F11" s="83">
        <v>43717.513888888891</v>
      </c>
      <c r="G11" s="83">
        <v>43717.579861111109</v>
      </c>
      <c r="H11" s="84">
        <f t="shared" si="0"/>
        <v>94.999999995343387</v>
      </c>
      <c r="I11" s="12" t="s">
        <v>2229</v>
      </c>
      <c r="J11" s="100" t="s">
        <v>2222</v>
      </c>
      <c r="K11" s="12" t="s">
        <v>2228</v>
      </c>
      <c r="L11" s="37" t="s">
        <v>754</v>
      </c>
      <c r="M11" s="37" t="s">
        <v>678</v>
      </c>
      <c r="N11" s="37"/>
      <c r="O11" s="38" t="str">
        <f t="shared" si="1"/>
        <v>ISLA</v>
      </c>
    </row>
    <row r="12" spans="1:15" x14ac:dyDescent="0.4">
      <c r="A12" s="37">
        <v>11</v>
      </c>
      <c r="B12" s="37" t="s">
        <v>2218</v>
      </c>
      <c r="C12" s="37" t="s">
        <v>2</v>
      </c>
      <c r="D12" s="37" t="s">
        <v>701</v>
      </c>
      <c r="E12" s="12" t="s">
        <v>2226</v>
      </c>
      <c r="F12" s="83">
        <v>43717.590277777781</v>
      </c>
      <c r="G12" s="83">
        <v>43717.684027777781</v>
      </c>
      <c r="H12" s="84">
        <f t="shared" si="0"/>
        <v>135</v>
      </c>
      <c r="I12" s="12" t="s">
        <v>2227</v>
      </c>
      <c r="J12" s="100" t="s">
        <v>2222</v>
      </c>
      <c r="K12" s="12" t="s">
        <v>2228</v>
      </c>
      <c r="L12" s="37" t="s">
        <v>754</v>
      </c>
      <c r="M12" s="37" t="s">
        <v>678</v>
      </c>
      <c r="N12" s="37"/>
      <c r="O12" s="38" t="str">
        <f t="shared" si="1"/>
        <v>OSLA</v>
      </c>
    </row>
    <row r="13" spans="1:15" x14ac:dyDescent="0.4">
      <c r="A13" s="37">
        <v>12</v>
      </c>
      <c r="B13" s="37" t="s">
        <v>2219</v>
      </c>
      <c r="C13" s="37" t="s">
        <v>2</v>
      </c>
      <c r="D13" s="37" t="s">
        <v>701</v>
      </c>
      <c r="E13" s="12" t="s">
        <v>2048</v>
      </c>
      <c r="F13" s="83">
        <v>43718.275000000001</v>
      </c>
      <c r="G13" s="83">
        <v>43718.305555555555</v>
      </c>
      <c r="H13" s="84">
        <f t="shared" si="0"/>
        <v>43.999999996740371</v>
      </c>
      <c r="I13" s="12" t="s">
        <v>313</v>
      </c>
      <c r="J13" s="100" t="s">
        <v>879</v>
      </c>
      <c r="K13" s="12" t="s">
        <v>2223</v>
      </c>
      <c r="L13" s="37" t="s">
        <v>701</v>
      </c>
      <c r="M13" s="37" t="s">
        <v>678</v>
      </c>
      <c r="N13" s="37"/>
      <c r="O13" s="38" t="str">
        <f t="shared" si="1"/>
        <v>ISLA</v>
      </c>
    </row>
    <row r="14" spans="1:15" x14ac:dyDescent="0.4">
      <c r="A14" s="37">
        <v>13</v>
      </c>
      <c r="B14" s="37" t="s">
        <v>2010</v>
      </c>
      <c r="C14" s="37" t="s">
        <v>2</v>
      </c>
      <c r="D14" s="37" t="s">
        <v>701</v>
      </c>
      <c r="E14" s="12" t="s">
        <v>1827</v>
      </c>
      <c r="F14" s="83">
        <v>43719.124305555553</v>
      </c>
      <c r="G14" s="83">
        <v>43719.138888888891</v>
      </c>
      <c r="H14" s="84">
        <f t="shared" si="0"/>
        <v>21.000000005587935</v>
      </c>
      <c r="I14" s="12" t="s">
        <v>1837</v>
      </c>
      <c r="J14" s="100" t="s">
        <v>1521</v>
      </c>
      <c r="K14" s="12" t="s">
        <v>1981</v>
      </c>
      <c r="L14" s="37" t="s">
        <v>701</v>
      </c>
      <c r="M14" s="37" t="s">
        <v>678</v>
      </c>
      <c r="N14" s="37"/>
      <c r="O14" s="38" t="str">
        <f t="shared" si="1"/>
        <v>ISLA</v>
      </c>
    </row>
    <row r="15" spans="1:15" x14ac:dyDescent="0.4">
      <c r="A15" s="37">
        <v>14</v>
      </c>
      <c r="B15" s="37" t="s">
        <v>2220</v>
      </c>
      <c r="C15" s="37" t="s">
        <v>2</v>
      </c>
      <c r="D15" s="37" t="s">
        <v>701</v>
      </c>
      <c r="E15" s="12" t="s">
        <v>2050</v>
      </c>
      <c r="F15" s="83">
        <v>43720.724999999999</v>
      </c>
      <c r="G15" s="83">
        <v>43720.756944444445</v>
      </c>
      <c r="H15" s="84">
        <f t="shared" si="0"/>
        <v>46.000000003259629</v>
      </c>
      <c r="I15" s="12" t="s">
        <v>313</v>
      </c>
      <c r="J15" s="12" t="s">
        <v>879</v>
      </c>
      <c r="K15" s="100" t="s">
        <v>995</v>
      </c>
      <c r="L15" s="37" t="s">
        <v>701</v>
      </c>
      <c r="M15" s="37" t="s">
        <v>678</v>
      </c>
      <c r="N15" s="37"/>
      <c r="O15" s="38" t="str">
        <f t="shared" si="1"/>
        <v>ISLA</v>
      </c>
    </row>
    <row r="16" spans="1:15" x14ac:dyDescent="0.4">
      <c r="A16" s="37">
        <v>15</v>
      </c>
      <c r="B16" s="37" t="s">
        <v>2221</v>
      </c>
      <c r="C16" s="37" t="s">
        <v>2</v>
      </c>
      <c r="D16" s="37" t="s">
        <v>701</v>
      </c>
      <c r="E16" s="12" t="s">
        <v>1828</v>
      </c>
      <c r="F16" s="83">
        <v>43720.736805555556</v>
      </c>
      <c r="G16" s="83">
        <v>43720.756944444445</v>
      </c>
      <c r="H16" s="84">
        <f t="shared" si="0"/>
        <v>29.000000000232831</v>
      </c>
      <c r="I16" s="12" t="s">
        <v>313</v>
      </c>
      <c r="J16" s="12" t="s">
        <v>879</v>
      </c>
      <c r="K16" s="100" t="s">
        <v>995</v>
      </c>
      <c r="L16" s="37" t="s">
        <v>701</v>
      </c>
      <c r="M16" s="37" t="s">
        <v>678</v>
      </c>
      <c r="N16" s="37"/>
      <c r="O16" s="38" t="str">
        <f t="shared" si="1"/>
        <v>ISLA</v>
      </c>
    </row>
    <row r="17" spans="1:15" x14ac:dyDescent="0.4">
      <c r="A17" s="37">
        <v>16</v>
      </c>
      <c r="B17" s="37" t="s">
        <v>2232</v>
      </c>
      <c r="C17" s="37" t="s">
        <v>14</v>
      </c>
      <c r="D17" s="37" t="s">
        <v>1988</v>
      </c>
      <c r="E17" s="12" t="s">
        <v>2230</v>
      </c>
      <c r="F17" s="83">
        <v>43721.023611111108</v>
      </c>
      <c r="G17" s="83">
        <v>43721.288194444445</v>
      </c>
      <c r="H17" s="84">
        <f t="shared" si="0"/>
        <v>381.00000000558794</v>
      </c>
      <c r="I17" s="12" t="s">
        <v>2231</v>
      </c>
      <c r="J17" s="12" t="s">
        <v>2234</v>
      </c>
      <c r="K17" s="12" t="s">
        <v>2233</v>
      </c>
      <c r="L17" s="37" t="s">
        <v>713</v>
      </c>
      <c r="M17" s="37" t="s">
        <v>678</v>
      </c>
      <c r="N17" s="37"/>
      <c r="O17" s="38" t="str">
        <f t="shared" si="1"/>
        <v>OSLA</v>
      </c>
    </row>
    <row r="18" spans="1:15" x14ac:dyDescent="0.4">
      <c r="A18" s="37">
        <v>17</v>
      </c>
      <c r="B18" s="37" t="s">
        <v>2232</v>
      </c>
      <c r="C18" s="37" t="s">
        <v>14</v>
      </c>
      <c r="D18" s="37" t="s">
        <v>713</v>
      </c>
      <c r="E18" s="12" t="s">
        <v>2230</v>
      </c>
      <c r="F18" s="83">
        <v>43722.375694444447</v>
      </c>
      <c r="G18" s="83">
        <v>43722.415277777778</v>
      </c>
      <c r="H18" s="84">
        <f t="shared" si="0"/>
        <v>56.999999997206032</v>
      </c>
      <c r="I18" s="12" t="s">
        <v>2231</v>
      </c>
      <c r="J18" s="12" t="s">
        <v>2255</v>
      </c>
      <c r="K18" s="12" t="s">
        <v>2256</v>
      </c>
      <c r="L18" s="37" t="s">
        <v>713</v>
      </c>
      <c r="M18" s="37" t="s">
        <v>678</v>
      </c>
      <c r="N18" s="37"/>
      <c r="O18" s="38" t="str">
        <f t="shared" si="1"/>
        <v>ISLA</v>
      </c>
    </row>
    <row r="19" spans="1:15" x14ac:dyDescent="0.4">
      <c r="A19" s="37">
        <v>18</v>
      </c>
      <c r="B19" s="37" t="s">
        <v>2235</v>
      </c>
      <c r="C19" s="37" t="s">
        <v>2</v>
      </c>
      <c r="D19" s="37" t="s">
        <v>701</v>
      </c>
      <c r="E19" s="12" t="s">
        <v>2048</v>
      </c>
      <c r="F19" s="83">
        <v>43723.989583333336</v>
      </c>
      <c r="G19" s="83">
        <v>43724.019444444442</v>
      </c>
      <c r="H19" s="84">
        <f t="shared" si="0"/>
        <v>42.999999993480742</v>
      </c>
      <c r="I19" s="12" t="s">
        <v>313</v>
      </c>
      <c r="J19" s="12" t="s">
        <v>879</v>
      </c>
      <c r="K19" s="100" t="s">
        <v>995</v>
      </c>
      <c r="L19" s="37" t="s">
        <v>701</v>
      </c>
      <c r="M19" s="37" t="s">
        <v>678</v>
      </c>
      <c r="N19" s="37"/>
      <c r="O19" s="38" t="str">
        <f t="shared" si="1"/>
        <v>ISLA</v>
      </c>
    </row>
    <row r="20" spans="1:15" x14ac:dyDescent="0.4">
      <c r="A20" s="37">
        <v>19</v>
      </c>
      <c r="B20" s="37" t="s">
        <v>2236</v>
      </c>
      <c r="C20" s="37" t="s">
        <v>2</v>
      </c>
      <c r="D20" s="37" t="s">
        <v>701</v>
      </c>
      <c r="E20" s="12" t="s">
        <v>252</v>
      </c>
      <c r="F20" s="83">
        <v>43724.479166666664</v>
      </c>
      <c r="G20" s="83">
        <v>43724.540277777778</v>
      </c>
      <c r="H20" s="84">
        <f t="shared" si="0"/>
        <v>88.000000003958121</v>
      </c>
      <c r="I20" s="12" t="s">
        <v>2237</v>
      </c>
      <c r="J20" s="12" t="s">
        <v>2238</v>
      </c>
      <c r="K20" s="100" t="s">
        <v>2239</v>
      </c>
      <c r="L20" s="37" t="s">
        <v>701</v>
      </c>
      <c r="M20" s="37" t="s">
        <v>678</v>
      </c>
      <c r="N20" s="37"/>
      <c r="O20" s="38" t="str">
        <f t="shared" si="1"/>
        <v>ISLA</v>
      </c>
    </row>
    <row r="21" spans="1:15" x14ac:dyDescent="0.4">
      <c r="A21" s="37">
        <v>20</v>
      </c>
      <c r="B21" s="37" t="s">
        <v>2240</v>
      </c>
      <c r="C21" s="37" t="s">
        <v>2</v>
      </c>
      <c r="D21" s="37" t="s">
        <v>701</v>
      </c>
      <c r="E21" s="12" t="s">
        <v>2050</v>
      </c>
      <c r="F21" s="83">
        <v>43724.621527777781</v>
      </c>
      <c r="G21" s="83">
        <v>43724.636111111111</v>
      </c>
      <c r="H21" s="84">
        <f t="shared" si="0"/>
        <v>20.999999995110556</v>
      </c>
      <c r="I21" s="12" t="s">
        <v>313</v>
      </c>
      <c r="J21" s="12" t="s">
        <v>879</v>
      </c>
      <c r="K21" s="100" t="s">
        <v>995</v>
      </c>
      <c r="L21" s="37" t="s">
        <v>701</v>
      </c>
      <c r="M21" s="37" t="s">
        <v>678</v>
      </c>
      <c r="N21" s="37"/>
      <c r="O21" s="38" t="str">
        <f t="shared" si="1"/>
        <v>ISLA</v>
      </c>
    </row>
    <row r="22" spans="1:15" x14ac:dyDescent="0.4">
      <c r="A22" s="37">
        <v>21</v>
      </c>
      <c r="B22" s="37" t="s">
        <v>2241</v>
      </c>
      <c r="C22" s="37" t="s">
        <v>2</v>
      </c>
      <c r="D22" s="37" t="s">
        <v>1988</v>
      </c>
      <c r="E22" s="12" t="s">
        <v>40</v>
      </c>
      <c r="F22" s="83">
        <v>43726.086805555555</v>
      </c>
      <c r="G22" s="83">
        <v>43726.270833333336</v>
      </c>
      <c r="H22" s="84">
        <f t="shared" si="0"/>
        <v>265.00000000465661</v>
      </c>
      <c r="I22" s="12" t="s">
        <v>2242</v>
      </c>
      <c r="J22" s="100" t="s">
        <v>2243</v>
      </c>
      <c r="K22" s="100" t="s">
        <v>2257</v>
      </c>
      <c r="L22" s="37" t="s">
        <v>701</v>
      </c>
      <c r="M22" s="37" t="s">
        <v>678</v>
      </c>
      <c r="N22" s="37"/>
      <c r="O22" s="38" t="str">
        <f t="shared" si="1"/>
        <v>OSLA</v>
      </c>
    </row>
    <row r="23" spans="1:15" x14ac:dyDescent="0.4">
      <c r="A23" s="37">
        <v>22</v>
      </c>
      <c r="B23" s="37" t="s">
        <v>2253</v>
      </c>
      <c r="C23" s="37" t="s">
        <v>2</v>
      </c>
      <c r="D23" s="37" t="s">
        <v>1988</v>
      </c>
      <c r="E23" s="12" t="s">
        <v>2306</v>
      </c>
      <c r="F23" s="83">
        <v>43727.32916666667</v>
      </c>
      <c r="G23" s="83">
        <v>43727.368055555555</v>
      </c>
      <c r="H23" s="84">
        <f t="shared" si="0"/>
        <v>55.999999993946403</v>
      </c>
      <c r="I23" s="12" t="s">
        <v>2244</v>
      </c>
      <c r="J23" s="100" t="s">
        <v>2245</v>
      </c>
      <c r="K23" s="100" t="s">
        <v>2246</v>
      </c>
      <c r="L23" s="37" t="s">
        <v>701</v>
      </c>
      <c r="M23" s="37" t="s">
        <v>678</v>
      </c>
      <c r="N23" s="37"/>
      <c r="O23" s="38" t="str">
        <f t="shared" si="1"/>
        <v>ISLA</v>
      </c>
    </row>
    <row r="24" spans="1:15" ht="41.15" x14ac:dyDescent="0.4">
      <c r="A24" s="37">
        <v>23</v>
      </c>
      <c r="B24" s="37" t="s">
        <v>2247</v>
      </c>
      <c r="C24" s="37" t="s">
        <v>2</v>
      </c>
      <c r="D24" s="37" t="s">
        <v>1988</v>
      </c>
      <c r="E24" s="12" t="s">
        <v>2248</v>
      </c>
      <c r="F24" s="83">
        <v>43727.664583333331</v>
      </c>
      <c r="G24" s="83">
        <v>43727.809027777781</v>
      </c>
      <c r="H24" s="84">
        <f t="shared" si="0"/>
        <v>208.00000000745058</v>
      </c>
      <c r="I24" s="12" t="s">
        <v>2249</v>
      </c>
      <c r="J24" s="139" t="s">
        <v>2259</v>
      </c>
      <c r="K24" s="139" t="s">
        <v>2258</v>
      </c>
      <c r="L24" s="37" t="s">
        <v>707</v>
      </c>
      <c r="M24" s="37" t="s">
        <v>678</v>
      </c>
      <c r="N24" s="37"/>
      <c r="O24" s="38" t="str">
        <f t="shared" si="1"/>
        <v>OSLA</v>
      </c>
    </row>
    <row r="25" spans="1:15" x14ac:dyDescent="0.4">
      <c r="A25" s="37">
        <v>24</v>
      </c>
      <c r="B25" s="130" t="s">
        <v>2250</v>
      </c>
      <c r="C25" s="37" t="s">
        <v>2</v>
      </c>
      <c r="D25" s="37" t="s">
        <v>1988</v>
      </c>
      <c r="E25" s="12" t="s">
        <v>2248</v>
      </c>
      <c r="F25" s="83">
        <v>43727.951388888891</v>
      </c>
      <c r="G25" s="83">
        <v>43730.829861111109</v>
      </c>
      <c r="H25" s="84">
        <f t="shared" si="0"/>
        <v>4144.9999999953434</v>
      </c>
      <c r="I25" s="12" t="s">
        <v>2249</v>
      </c>
      <c r="J25" s="148" t="s">
        <v>441</v>
      </c>
      <c r="K25" s="148" t="s">
        <v>441</v>
      </c>
      <c r="L25" s="37" t="s">
        <v>707</v>
      </c>
      <c r="M25" s="37" t="s">
        <v>678</v>
      </c>
      <c r="N25" s="37"/>
      <c r="O25" s="38" t="str">
        <f t="shared" si="1"/>
        <v>OSLA</v>
      </c>
    </row>
    <row r="26" spans="1:15" x14ac:dyDescent="0.4">
      <c r="A26" s="37">
        <v>25</v>
      </c>
      <c r="B26" s="37" t="s">
        <v>2254</v>
      </c>
      <c r="C26" s="37" t="s">
        <v>2</v>
      </c>
      <c r="D26" s="37" t="s">
        <v>1988</v>
      </c>
      <c r="E26" s="12" t="s">
        <v>2226</v>
      </c>
      <c r="F26" s="83">
        <v>43728.416666666664</v>
      </c>
      <c r="G26" s="83">
        <v>43728.826388888891</v>
      </c>
      <c r="H26" s="84">
        <f t="shared" si="0"/>
        <v>590.00000000582077</v>
      </c>
      <c r="I26" s="12" t="s">
        <v>2251</v>
      </c>
      <c r="J26" s="12" t="s">
        <v>2285</v>
      </c>
      <c r="K26" s="100" t="s">
        <v>2260</v>
      </c>
      <c r="L26" s="37" t="s">
        <v>754</v>
      </c>
      <c r="M26" s="37" t="s">
        <v>678</v>
      </c>
      <c r="N26" s="37"/>
      <c r="O26" s="38" t="str">
        <f t="shared" si="1"/>
        <v>OSLA</v>
      </c>
    </row>
    <row r="27" spans="1:15" x14ac:dyDescent="0.4">
      <c r="A27" s="37">
        <v>26</v>
      </c>
      <c r="B27" s="143" t="s">
        <v>2252</v>
      </c>
      <c r="C27" s="143" t="s">
        <v>2</v>
      </c>
      <c r="D27" s="143" t="s">
        <v>701</v>
      </c>
      <c r="E27" s="144" t="s">
        <v>1828</v>
      </c>
      <c r="F27" s="145">
        <v>43730.154166666667</v>
      </c>
      <c r="G27" s="145">
        <v>43730.260416666664</v>
      </c>
      <c r="H27" s="146">
        <f t="shared" si="0"/>
        <v>152.99999999580905</v>
      </c>
      <c r="I27" s="144" t="s">
        <v>313</v>
      </c>
      <c r="J27" s="147" t="s">
        <v>879</v>
      </c>
      <c r="K27" s="144" t="s">
        <v>995</v>
      </c>
      <c r="L27" s="143" t="s">
        <v>701</v>
      </c>
      <c r="M27" s="143" t="s">
        <v>678</v>
      </c>
      <c r="N27" s="37"/>
      <c r="O27" s="38" t="str">
        <f t="shared" si="1"/>
        <v>OSLA</v>
      </c>
    </row>
    <row r="28" spans="1:15" x14ac:dyDescent="0.4">
      <c r="A28" s="140">
        <v>27</v>
      </c>
      <c r="B28" s="37" t="s">
        <v>2261</v>
      </c>
      <c r="C28" s="37" t="s">
        <v>2</v>
      </c>
      <c r="D28" s="37" t="s">
        <v>701</v>
      </c>
      <c r="E28" s="12" t="s">
        <v>2262</v>
      </c>
      <c r="F28" s="83">
        <v>43731.294444444444</v>
      </c>
      <c r="G28" s="83">
        <v>43731.322916666664</v>
      </c>
      <c r="H28" s="84">
        <f>(G28-F28)*1440</f>
        <v>40.999999997438863</v>
      </c>
      <c r="I28" s="12" t="s">
        <v>313</v>
      </c>
      <c r="J28" s="12" t="s">
        <v>879</v>
      </c>
      <c r="K28" s="12" t="s">
        <v>209</v>
      </c>
      <c r="L28" s="37" t="s">
        <v>701</v>
      </c>
      <c r="M28" s="37" t="s">
        <v>678</v>
      </c>
      <c r="N28" s="141"/>
      <c r="O28" s="38" t="str">
        <f t="shared" si="1"/>
        <v>ISLA</v>
      </c>
    </row>
    <row r="29" spans="1:15" x14ac:dyDescent="0.4">
      <c r="A29" s="140">
        <v>28</v>
      </c>
      <c r="B29" s="37" t="s">
        <v>2263</v>
      </c>
      <c r="C29" s="37" t="s">
        <v>2</v>
      </c>
      <c r="D29" s="37" t="s">
        <v>1988</v>
      </c>
      <c r="E29" s="12" t="s">
        <v>2264</v>
      </c>
      <c r="F29" s="83">
        <v>43731.364583333336</v>
      </c>
      <c r="G29" s="83">
        <v>43731.392361111109</v>
      </c>
      <c r="H29" s="84">
        <f t="shared" ref="H29:H35" si="2">(G29-F29)*1440</f>
        <v>39.999999994179234</v>
      </c>
      <c r="I29" s="12" t="s">
        <v>2265</v>
      </c>
      <c r="J29" s="12" t="s">
        <v>2303</v>
      </c>
      <c r="K29" s="12" t="s">
        <v>2304</v>
      </c>
      <c r="L29" s="37" t="s">
        <v>716</v>
      </c>
      <c r="M29" s="37" t="s">
        <v>678</v>
      </c>
      <c r="N29" s="141"/>
      <c r="O29" s="38" t="str">
        <f t="shared" si="1"/>
        <v>ISLA</v>
      </c>
    </row>
    <row r="30" spans="1:15" ht="41.15" x14ac:dyDescent="0.4">
      <c r="A30" s="140">
        <v>29</v>
      </c>
      <c r="B30" s="37" t="s">
        <v>2266</v>
      </c>
      <c r="C30" s="37" t="s">
        <v>2</v>
      </c>
      <c r="D30" s="37" t="s">
        <v>701</v>
      </c>
      <c r="E30" s="12" t="s">
        <v>2267</v>
      </c>
      <c r="F30" s="83">
        <v>43732.472222222219</v>
      </c>
      <c r="G30" s="83">
        <v>43732.930555555555</v>
      </c>
      <c r="H30" s="84">
        <f t="shared" si="2"/>
        <v>660.00000000349246</v>
      </c>
      <c r="I30" s="12" t="s">
        <v>2268</v>
      </c>
      <c r="J30" s="12" t="s">
        <v>2269</v>
      </c>
      <c r="K30" s="9" t="s">
        <v>2270</v>
      </c>
      <c r="L30" s="37" t="s">
        <v>701</v>
      </c>
      <c r="M30" s="37" t="s">
        <v>678</v>
      </c>
      <c r="N30" s="141"/>
      <c r="O30" s="38" t="str">
        <f t="shared" si="1"/>
        <v>OSLA</v>
      </c>
    </row>
    <row r="31" spans="1:15" x14ac:dyDescent="0.4">
      <c r="A31" s="140">
        <v>30</v>
      </c>
      <c r="B31" s="37" t="s">
        <v>2271</v>
      </c>
      <c r="C31" s="37" t="s">
        <v>2</v>
      </c>
      <c r="D31" s="37" t="s">
        <v>701</v>
      </c>
      <c r="E31" s="12" t="s">
        <v>2267</v>
      </c>
      <c r="F31" s="83">
        <v>43733.284722222219</v>
      </c>
      <c r="G31" s="83">
        <v>43733.59375</v>
      </c>
      <c r="H31" s="84">
        <f t="shared" si="2"/>
        <v>445.00000000465661</v>
      </c>
      <c r="I31" s="12" t="s">
        <v>313</v>
      </c>
      <c r="J31" s="12" t="s">
        <v>2285</v>
      </c>
      <c r="K31" s="149" t="s">
        <v>441</v>
      </c>
      <c r="L31" s="37" t="s">
        <v>701</v>
      </c>
      <c r="M31" s="37" t="s">
        <v>678</v>
      </c>
      <c r="N31" s="141"/>
      <c r="O31" s="38" t="str">
        <f t="shared" si="1"/>
        <v>OSLA</v>
      </c>
    </row>
    <row r="32" spans="1:15" x14ac:dyDescent="0.4">
      <c r="A32" s="140">
        <v>31</v>
      </c>
      <c r="B32" s="37" t="s">
        <v>2272</v>
      </c>
      <c r="C32" s="37" t="s">
        <v>2</v>
      </c>
      <c r="D32" s="37" t="s">
        <v>701</v>
      </c>
      <c r="E32" s="12" t="s">
        <v>2273</v>
      </c>
      <c r="F32" s="83">
        <v>43733.951388888891</v>
      </c>
      <c r="G32" s="83">
        <v>43734.510416666664</v>
      </c>
      <c r="H32" s="84">
        <f t="shared" si="2"/>
        <v>804.99999999417923</v>
      </c>
      <c r="I32" s="12" t="s">
        <v>2164</v>
      </c>
      <c r="J32" s="12" t="s">
        <v>1521</v>
      </c>
      <c r="K32" s="12" t="s">
        <v>2274</v>
      </c>
      <c r="L32" s="37" t="s">
        <v>701</v>
      </c>
      <c r="M32" s="37" t="s">
        <v>678</v>
      </c>
      <c r="N32" s="141"/>
      <c r="O32" s="38" t="str">
        <f t="shared" si="1"/>
        <v>OSLA</v>
      </c>
    </row>
    <row r="33" spans="1:15" s="73" customFormat="1" x14ac:dyDescent="0.4">
      <c r="A33" s="140">
        <v>32</v>
      </c>
      <c r="B33" s="37" t="s">
        <v>2275</v>
      </c>
      <c r="C33" s="37" t="s">
        <v>2</v>
      </c>
      <c r="D33" s="37" t="s">
        <v>1988</v>
      </c>
      <c r="E33" s="12" t="s">
        <v>2276</v>
      </c>
      <c r="F33" s="83">
        <v>43734.291666666664</v>
      </c>
      <c r="G33" s="83">
        <v>43734.338888888888</v>
      </c>
      <c r="H33" s="84">
        <f t="shared" si="2"/>
        <v>68.000000001629815</v>
      </c>
      <c r="I33" s="12" t="s">
        <v>2277</v>
      </c>
      <c r="J33" s="12" t="s">
        <v>1402</v>
      </c>
      <c r="K33" s="12" t="s">
        <v>2278</v>
      </c>
      <c r="L33" s="37" t="s">
        <v>706</v>
      </c>
      <c r="M33" s="37" t="s">
        <v>678</v>
      </c>
      <c r="N33" s="142"/>
      <c r="O33" s="38" t="str">
        <f t="shared" si="1"/>
        <v>ISLA</v>
      </c>
    </row>
    <row r="34" spans="1:15" s="73" customFormat="1" x14ac:dyDescent="0.4">
      <c r="A34" s="140">
        <v>33</v>
      </c>
      <c r="B34" s="37" t="s">
        <v>2279</v>
      </c>
      <c r="C34" s="37" t="s">
        <v>2</v>
      </c>
      <c r="D34" s="37" t="s">
        <v>701</v>
      </c>
      <c r="E34" s="12" t="s">
        <v>2048</v>
      </c>
      <c r="F34" s="83">
        <v>43735.09097222222</v>
      </c>
      <c r="G34" s="83">
        <v>43735.136111111111</v>
      </c>
      <c r="H34" s="84">
        <f t="shared" si="2"/>
        <v>65.000000002328306</v>
      </c>
      <c r="I34" s="12" t="s">
        <v>313</v>
      </c>
      <c r="J34" s="12" t="s">
        <v>879</v>
      </c>
      <c r="K34" s="12" t="s">
        <v>209</v>
      </c>
      <c r="L34" s="37" t="s">
        <v>701</v>
      </c>
      <c r="M34" s="37" t="s">
        <v>678</v>
      </c>
      <c r="N34" s="142"/>
      <c r="O34" s="38" t="str">
        <f t="shared" si="1"/>
        <v>ISLA</v>
      </c>
    </row>
    <row r="35" spans="1:15" s="73" customFormat="1" x14ac:dyDescent="0.4">
      <c r="A35" s="140">
        <v>34</v>
      </c>
      <c r="B35" s="37" t="s">
        <v>2280</v>
      </c>
      <c r="C35" s="37" t="s">
        <v>2</v>
      </c>
      <c r="D35" s="37" t="s">
        <v>707</v>
      </c>
      <c r="E35" s="12" t="s">
        <v>2281</v>
      </c>
      <c r="F35" s="83">
        <v>43735.645833333336</v>
      </c>
      <c r="G35" s="83">
        <v>43735.702777777777</v>
      </c>
      <c r="H35" s="84">
        <f t="shared" si="2"/>
        <v>81.999999994877726</v>
      </c>
      <c r="I35" s="12" t="s">
        <v>2282</v>
      </c>
      <c r="J35" s="12" t="s">
        <v>2283</v>
      </c>
      <c r="K35" s="12" t="s">
        <v>2284</v>
      </c>
      <c r="L35" s="37" t="s">
        <v>707</v>
      </c>
      <c r="M35" s="37" t="s">
        <v>678</v>
      </c>
      <c r="N35" s="142"/>
      <c r="O35" s="38" t="str">
        <f t="shared" si="1"/>
        <v>ISLA</v>
      </c>
    </row>
    <row r="36" spans="1:15" s="73" customFormat="1" x14ac:dyDescent="0.4">
      <c r="A36" s="37">
        <v>35</v>
      </c>
      <c r="B36" s="101" t="s">
        <v>2288</v>
      </c>
      <c r="C36" s="37" t="s">
        <v>2</v>
      </c>
      <c r="D36" s="37" t="s">
        <v>701</v>
      </c>
      <c r="E36" s="12" t="s">
        <v>2262</v>
      </c>
      <c r="F36" s="83">
        <v>43737.80972222222</v>
      </c>
      <c r="G36" s="83">
        <v>43737.843055555553</v>
      </c>
      <c r="H36" s="84">
        <f>(G36-F36)*1440</f>
        <v>47.999999999301508</v>
      </c>
      <c r="I36" s="12" t="s">
        <v>313</v>
      </c>
      <c r="J36" s="12" t="s">
        <v>879</v>
      </c>
      <c r="K36" s="12" t="s">
        <v>209</v>
      </c>
      <c r="L36" s="37" t="s">
        <v>701</v>
      </c>
      <c r="M36" s="37" t="s">
        <v>678</v>
      </c>
      <c r="N36" s="12"/>
      <c r="O36" s="38" t="str">
        <f t="shared" si="1"/>
        <v>ISLA</v>
      </c>
    </row>
    <row r="37" spans="1:15" s="73" customFormat="1" x14ac:dyDescent="0.4">
      <c r="A37" s="37">
        <v>36</v>
      </c>
      <c r="B37" s="37" t="s">
        <v>2305</v>
      </c>
      <c r="C37" s="37" t="s">
        <v>2</v>
      </c>
      <c r="D37" s="37" t="s">
        <v>701</v>
      </c>
      <c r="E37" s="17" t="s">
        <v>2289</v>
      </c>
      <c r="F37" s="83">
        <v>43738.056250000001</v>
      </c>
      <c r="G37" s="83">
        <v>43738.089583333334</v>
      </c>
      <c r="H37" s="84">
        <f>(G37-F37)*1440</f>
        <v>47.999999999301508</v>
      </c>
      <c r="I37" s="12" t="s">
        <v>2164</v>
      </c>
      <c r="J37" s="100" t="s">
        <v>1521</v>
      </c>
      <c r="K37" s="100" t="s">
        <v>1535</v>
      </c>
      <c r="L37" s="37" t="s">
        <v>701</v>
      </c>
      <c r="M37" s="37" t="s">
        <v>678</v>
      </c>
      <c r="N37" s="12"/>
      <c r="O37" s="38" t="str">
        <f t="shared" si="1"/>
        <v>ISLA</v>
      </c>
    </row>
    <row r="38" spans="1:15" s="73" customFormat="1" x14ac:dyDescent="0.4">
      <c r="A38" s="37">
        <v>37</v>
      </c>
      <c r="B38" s="37" t="s">
        <v>2290</v>
      </c>
      <c r="C38" s="37" t="s">
        <v>2</v>
      </c>
      <c r="D38" s="37" t="s">
        <v>1988</v>
      </c>
      <c r="E38" s="12" t="s">
        <v>1936</v>
      </c>
      <c r="F38" s="83">
        <v>43738.284722222219</v>
      </c>
      <c r="G38" s="83">
        <v>43738.385416666664</v>
      </c>
      <c r="H38" s="84">
        <f>(G38-F38)*1440</f>
        <v>145.00000000116415</v>
      </c>
      <c r="I38" s="12" t="s">
        <v>2031</v>
      </c>
      <c r="J38" s="100" t="s">
        <v>2291</v>
      </c>
      <c r="K38" s="100" t="s">
        <v>219</v>
      </c>
      <c r="L38" s="37" t="s">
        <v>2033</v>
      </c>
      <c r="M38" s="37" t="s">
        <v>678</v>
      </c>
      <c r="N38" s="12"/>
      <c r="O38" s="38" t="str">
        <f t="shared" si="1"/>
        <v>OSLA</v>
      </c>
    </row>
    <row r="39" spans="1:15" s="73" customFormat="1" x14ac:dyDescent="0.4">
      <c r="A39" s="128"/>
      <c r="B39" s="128"/>
      <c r="C39" s="128"/>
      <c r="D39" s="128"/>
      <c r="J39"/>
    </row>
    <row r="40" spans="1:15" s="73" customFormat="1" x14ac:dyDescent="0.4">
      <c r="A40" s="128"/>
      <c r="B40" s="128"/>
      <c r="C40" s="128"/>
      <c r="D40" s="128"/>
      <c r="J40"/>
    </row>
    <row r="41" spans="1:15" s="73" customFormat="1" x14ac:dyDescent="0.4">
      <c r="A41" s="128"/>
      <c r="B41" s="128"/>
      <c r="C41" s="128"/>
      <c r="D41" s="128"/>
      <c r="J41"/>
    </row>
    <row r="42" spans="1:15" s="73" customFormat="1" x14ac:dyDescent="0.4">
      <c r="A42" s="128"/>
      <c r="B42" s="128"/>
      <c r="C42" s="128"/>
      <c r="D42" s="128"/>
    </row>
    <row r="43" spans="1:15" s="73" customFormat="1" x14ac:dyDescent="0.4">
      <c r="A43" s="128"/>
      <c r="B43" s="73" t="s">
        <v>2</v>
      </c>
      <c r="C43" s="73" t="s">
        <v>776</v>
      </c>
      <c r="D43" s="73">
        <v>120</v>
      </c>
      <c r="F43"/>
      <c r="G43"/>
      <c r="H43"/>
      <c r="I43"/>
      <c r="J43"/>
      <c r="K43"/>
      <c r="L43"/>
      <c r="M43"/>
      <c r="N43"/>
      <c r="O43"/>
    </row>
    <row r="44" spans="1:15" s="73" customFormat="1" x14ac:dyDescent="0.4">
      <c r="A44" s="128"/>
      <c r="B44" s="73" t="s">
        <v>14</v>
      </c>
      <c r="C44" s="73" t="s">
        <v>777</v>
      </c>
      <c r="D44" s="73">
        <v>240</v>
      </c>
      <c r="F44"/>
      <c r="G44"/>
      <c r="H44"/>
      <c r="I44"/>
      <c r="J44"/>
      <c r="K44"/>
      <c r="L44"/>
      <c r="M44"/>
      <c r="N44"/>
      <c r="O44"/>
    </row>
    <row r="45" spans="1:15" s="73" customFormat="1" x14ac:dyDescent="0.4">
      <c r="A45" s="128"/>
      <c r="B45" s="73" t="s">
        <v>158</v>
      </c>
      <c r="C45" s="73" t="s">
        <v>778</v>
      </c>
      <c r="D45" s="73">
        <v>2880</v>
      </c>
      <c r="F45"/>
      <c r="G45"/>
      <c r="H45"/>
      <c r="I45"/>
      <c r="J45"/>
      <c r="K45"/>
      <c r="L45"/>
      <c r="M45"/>
      <c r="N45"/>
      <c r="O45"/>
    </row>
    <row r="46" spans="1:15" x14ac:dyDescent="0.4">
      <c r="A46" s="73"/>
      <c r="B46" s="128"/>
      <c r="C46" s="128"/>
      <c r="D46" s="128"/>
      <c r="E46" s="73"/>
    </row>
    <row r="47" spans="1:15" x14ac:dyDescent="0.4">
      <c r="B47" s="128"/>
      <c r="C47" s="128"/>
      <c r="D47" s="128"/>
    </row>
    <row r="48" spans="1:15" x14ac:dyDescent="0.4">
      <c r="B48" s="128"/>
      <c r="C48" s="128"/>
      <c r="D48" s="128"/>
    </row>
  </sheetData>
  <autoFilter ref="A1:O38" xr:uid="{00000000-0009-0000-0000-000018000000}"/>
  <conditionalFormatting sqref="F17:F34">
    <cfRule type="cellIs" dxfId="58" priority="6" operator="equal">
      <formula>"NOK"</formula>
    </cfRule>
  </conditionalFormatting>
  <conditionalFormatting sqref="F2:G9">
    <cfRule type="cellIs" dxfId="57" priority="23" operator="equal">
      <formula>"NOK"</formula>
    </cfRule>
  </conditionalFormatting>
  <conditionalFormatting sqref="F35:G36">
    <cfRule type="cellIs" dxfId="56" priority="1" operator="equal">
      <formula>"NOK"</formula>
    </cfRule>
  </conditionalFormatting>
  <conditionalFormatting sqref="F37:H38">
    <cfRule type="cellIs" dxfId="55" priority="28" operator="equal">
      <formula>"NOK"</formula>
    </cfRule>
  </conditionalFormatting>
  <conditionalFormatting sqref="G14:G34">
    <cfRule type="cellIs" dxfId="54" priority="5" operator="equal">
      <formula>"NOK"</formula>
    </cfRule>
  </conditionalFormatting>
  <conditionalFormatting sqref="H2:H36">
    <cfRule type="cellIs" dxfId="53" priority="3" operator="equal">
      <formula>"NOK"</formula>
    </cfRule>
  </conditionalFormatting>
  <dataValidations count="2">
    <dataValidation type="list" allowBlank="1" showInputMessage="1" showErrorMessage="1" promptTitle="Categorie" prompt="La Categorie de l'Incident" sqref="D20" xr:uid="{00000000-0002-0000-1800-000000000000}">
      <formula1>cat</formula1>
    </dataValidation>
    <dataValidation type="list" allowBlank="1" showInputMessage="1" showErrorMessage="1" promptTitle="Priorité" prompt="La Priorité de l'Incident" sqref="C33:C38 C13 C3:C6 C10:C11 C28:C31" xr:uid="{00000000-0002-0000-1800-000001000000}">
      <formula1>prio</formula1>
    </dataValidation>
  </dataValidation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7">
    <tabColor theme="4" tint="0.59999389629810485"/>
  </sheetPr>
  <dimension ref="A1:O52"/>
  <sheetViews>
    <sheetView workbookViewId="0">
      <selection activeCell="H2" sqref="H2"/>
    </sheetView>
  </sheetViews>
  <sheetFormatPr baseColWidth="10" defaultRowHeight="14.6" x14ac:dyDescent="0.4"/>
  <cols>
    <col min="1" max="1" width="5.84375" customWidth="1"/>
    <col min="2" max="2" width="9.53515625" bestFit="1" customWidth="1"/>
    <col min="3" max="3" width="6.84375" bestFit="1" customWidth="1"/>
    <col min="4" max="4" width="9.07421875" bestFit="1" customWidth="1"/>
    <col min="5" max="5" width="34.3046875" bestFit="1" customWidth="1"/>
    <col min="6" max="6" width="19.69140625" customWidth="1"/>
    <col min="7" max="7" width="17" customWidth="1"/>
    <col min="8" max="8" width="10.07421875" customWidth="1"/>
    <col min="9" max="9" width="50.53515625" customWidth="1"/>
    <col min="10" max="10" width="52.84375" customWidth="1"/>
    <col min="11" max="11" width="32" customWidth="1"/>
    <col min="12" max="12" width="9.4609375" bestFit="1" customWidth="1"/>
    <col min="13" max="13" width="6" bestFit="1" customWidth="1"/>
    <col min="14" max="14" width="11.4609375" customWidth="1"/>
    <col min="15" max="15" width="5.07421875" bestFit="1" customWidth="1"/>
  </cols>
  <sheetData>
    <row r="1" spans="1:15" x14ac:dyDescent="0.4">
      <c r="A1" s="6" t="s">
        <v>0</v>
      </c>
      <c r="B1" s="6" t="s">
        <v>679</v>
      </c>
      <c r="C1" s="6" t="s">
        <v>680</v>
      </c>
      <c r="D1" s="7" t="s">
        <v>700</v>
      </c>
      <c r="E1" s="7" t="s">
        <v>1883</v>
      </c>
      <c r="F1" s="6" t="s">
        <v>695</v>
      </c>
      <c r="G1" s="6" t="s">
        <v>694</v>
      </c>
      <c r="H1" s="6" t="s">
        <v>681</v>
      </c>
      <c r="I1" s="7" t="s">
        <v>395</v>
      </c>
      <c r="J1" s="6" t="s">
        <v>682</v>
      </c>
      <c r="K1" s="6" t="s">
        <v>683</v>
      </c>
      <c r="L1" s="7" t="s">
        <v>699</v>
      </c>
      <c r="M1" s="6" t="s">
        <v>684</v>
      </c>
      <c r="N1" s="7" t="s">
        <v>659</v>
      </c>
      <c r="O1" s="6" t="s">
        <v>888</v>
      </c>
    </row>
    <row r="2" spans="1:15" ht="72" x14ac:dyDescent="0.4">
      <c r="A2" s="37">
        <v>1</v>
      </c>
      <c r="B2" s="101" t="s">
        <v>2292</v>
      </c>
      <c r="C2" s="37" t="s">
        <v>2</v>
      </c>
      <c r="D2" s="37" t="s">
        <v>718</v>
      </c>
      <c r="E2" s="12" t="s">
        <v>2293</v>
      </c>
      <c r="F2" s="83">
        <v>43739.442361111112</v>
      </c>
      <c r="G2" s="83">
        <v>43740.013888888891</v>
      </c>
      <c r="H2" s="84">
        <f t="shared" ref="H2:H11" si="0">(G2-F2)*1440</f>
        <v>823.00000000046566</v>
      </c>
      <c r="I2" s="9" t="s">
        <v>2294</v>
      </c>
      <c r="J2" s="12" t="s">
        <v>2295</v>
      </c>
      <c r="K2" s="9" t="s">
        <v>2296</v>
      </c>
      <c r="L2" s="37" t="s">
        <v>707</v>
      </c>
      <c r="M2" s="37" t="s">
        <v>678</v>
      </c>
      <c r="N2" s="12"/>
      <c r="O2" s="38" t="str">
        <f t="shared" ref="O2:O41" si="1">IF(AND(C2=$B$47,H2&lt;=$D$47),"ISLA",IF((AND(C2=$B$48,H2&lt;=$D$48)),"ISLA",IF((AND(C2=$B$49,H2&lt;=$D$49)),"ISLA","OSLA")))</f>
        <v>OSLA</v>
      </c>
    </row>
    <row r="3" spans="1:15" x14ac:dyDescent="0.4">
      <c r="A3" s="37">
        <v>2</v>
      </c>
      <c r="B3" s="101" t="s">
        <v>2297</v>
      </c>
      <c r="C3" s="37" t="s">
        <v>2</v>
      </c>
      <c r="D3" s="37" t="s">
        <v>701</v>
      </c>
      <c r="E3" s="12" t="s">
        <v>2298</v>
      </c>
      <c r="F3" s="83">
        <v>43739.75277777778</v>
      </c>
      <c r="G3" s="83">
        <v>43739.773611111108</v>
      </c>
      <c r="H3" s="84">
        <f t="shared" si="0"/>
        <v>29.999999993015081</v>
      </c>
      <c r="I3" s="12" t="s">
        <v>2299</v>
      </c>
      <c r="J3" s="12" t="s">
        <v>879</v>
      </c>
      <c r="K3" s="12" t="s">
        <v>209</v>
      </c>
      <c r="L3" s="37" t="s">
        <v>701</v>
      </c>
      <c r="M3" s="37" t="s">
        <v>678</v>
      </c>
      <c r="N3" s="12"/>
      <c r="O3" s="38" t="str">
        <f t="shared" si="1"/>
        <v>ISLA</v>
      </c>
    </row>
    <row r="4" spans="1:15" x14ac:dyDescent="0.4">
      <c r="A4" s="37">
        <v>3</v>
      </c>
      <c r="B4" s="101" t="s">
        <v>2300</v>
      </c>
      <c r="C4" s="37" t="s">
        <v>2</v>
      </c>
      <c r="D4" s="37" t="s">
        <v>701</v>
      </c>
      <c r="E4" s="12" t="s">
        <v>2262</v>
      </c>
      <c r="F4" s="83">
        <v>43742.067361111112</v>
      </c>
      <c r="G4" s="83">
        <v>43742.109027777777</v>
      </c>
      <c r="H4" s="84">
        <f t="shared" si="0"/>
        <v>59.99999999650754</v>
      </c>
      <c r="I4" s="12" t="s">
        <v>313</v>
      </c>
      <c r="J4" s="12" t="s">
        <v>879</v>
      </c>
      <c r="K4" s="12" t="s">
        <v>209</v>
      </c>
      <c r="L4" s="37" t="s">
        <v>701</v>
      </c>
      <c r="M4" s="37" t="s">
        <v>678</v>
      </c>
      <c r="N4" s="12"/>
      <c r="O4" s="38" t="str">
        <f t="shared" si="1"/>
        <v>ISLA</v>
      </c>
    </row>
    <row r="5" spans="1:15" x14ac:dyDescent="0.4">
      <c r="A5" s="37">
        <v>4</v>
      </c>
      <c r="B5" s="101" t="s">
        <v>2301</v>
      </c>
      <c r="C5" s="37" t="s">
        <v>2</v>
      </c>
      <c r="D5" s="37" t="s">
        <v>701</v>
      </c>
      <c r="E5" s="12" t="s">
        <v>2302</v>
      </c>
      <c r="F5" s="83">
        <v>43743.377083333333</v>
      </c>
      <c r="G5" s="83">
        <v>43743.394444444442</v>
      </c>
      <c r="H5" s="84">
        <f t="shared" si="0"/>
        <v>24.999999997671694</v>
      </c>
      <c r="I5" s="12" t="s">
        <v>313</v>
      </c>
      <c r="J5" s="12" t="s">
        <v>879</v>
      </c>
      <c r="K5" s="12" t="s">
        <v>209</v>
      </c>
      <c r="L5" s="37" t="s">
        <v>701</v>
      </c>
      <c r="M5" s="37" t="s">
        <v>678</v>
      </c>
      <c r="N5" s="12"/>
      <c r="O5" s="38" t="str">
        <f t="shared" si="1"/>
        <v>ISLA</v>
      </c>
    </row>
    <row r="6" spans="1:15" x14ac:dyDescent="0.4">
      <c r="A6" s="37">
        <v>5</v>
      </c>
      <c r="B6" s="101" t="s">
        <v>2307</v>
      </c>
      <c r="C6" s="37" t="s">
        <v>2</v>
      </c>
      <c r="D6" s="37" t="s">
        <v>701</v>
      </c>
      <c r="E6" s="12" t="s">
        <v>2262</v>
      </c>
      <c r="F6" s="83">
        <v>43744.725694444445</v>
      </c>
      <c r="G6" s="83">
        <v>43744.857638888891</v>
      </c>
      <c r="H6" s="84">
        <f t="shared" si="0"/>
        <v>190.00000000116415</v>
      </c>
      <c r="I6" s="12" t="s">
        <v>313</v>
      </c>
      <c r="J6" s="12" t="s">
        <v>879</v>
      </c>
      <c r="K6" s="12" t="s">
        <v>209</v>
      </c>
      <c r="L6" s="37" t="s">
        <v>701</v>
      </c>
      <c r="M6" s="37" t="s">
        <v>678</v>
      </c>
      <c r="N6" s="37"/>
      <c r="O6" s="38" t="str">
        <f t="shared" si="1"/>
        <v>OSLA</v>
      </c>
    </row>
    <row r="7" spans="1:15" ht="51.45" x14ac:dyDescent="0.4">
      <c r="A7" s="37">
        <v>6</v>
      </c>
      <c r="B7" s="101" t="s">
        <v>2308</v>
      </c>
      <c r="C7" s="37" t="s">
        <v>2</v>
      </c>
      <c r="D7" s="37" t="s">
        <v>702</v>
      </c>
      <c r="E7" s="12" t="s">
        <v>2309</v>
      </c>
      <c r="F7" s="83">
        <v>43744.972222222219</v>
      </c>
      <c r="G7" s="83">
        <v>43745</v>
      </c>
      <c r="H7" s="84">
        <f t="shared" si="0"/>
        <v>40.000000004656613</v>
      </c>
      <c r="I7" s="9" t="s">
        <v>2294</v>
      </c>
      <c r="J7" s="12" t="s">
        <v>2310</v>
      </c>
      <c r="K7" s="12" t="s">
        <v>105</v>
      </c>
      <c r="L7" s="37" t="s">
        <v>707</v>
      </c>
      <c r="M7" s="37" t="s">
        <v>678</v>
      </c>
      <c r="N7" s="37"/>
      <c r="O7" s="38" t="str">
        <f t="shared" si="1"/>
        <v>ISLA</v>
      </c>
    </row>
    <row r="8" spans="1:15" x14ac:dyDescent="0.4">
      <c r="A8" s="37">
        <v>7</v>
      </c>
      <c r="B8" s="101" t="s">
        <v>2311</v>
      </c>
      <c r="C8" s="37" t="s">
        <v>2</v>
      </c>
      <c r="D8" s="37" t="s">
        <v>702</v>
      </c>
      <c r="E8" s="12" t="s">
        <v>81</v>
      </c>
      <c r="F8" s="83">
        <v>43746.06527777778</v>
      </c>
      <c r="G8" s="83">
        <v>43746.074305555558</v>
      </c>
      <c r="H8" s="84">
        <f t="shared" si="0"/>
        <v>13.000000000465661</v>
      </c>
      <c r="I8" s="12" t="s">
        <v>2312</v>
      </c>
      <c r="J8" s="12" t="s">
        <v>2313</v>
      </c>
      <c r="K8" s="12" t="s">
        <v>105</v>
      </c>
      <c r="L8" s="37" t="s">
        <v>713</v>
      </c>
      <c r="M8" s="37" t="s">
        <v>678</v>
      </c>
      <c r="N8" s="37"/>
      <c r="O8" s="38" t="str">
        <f t="shared" si="1"/>
        <v>ISLA</v>
      </c>
    </row>
    <row r="9" spans="1:15" ht="41.15" x14ac:dyDescent="0.4">
      <c r="A9" s="37">
        <v>8</v>
      </c>
      <c r="B9" s="101" t="s">
        <v>2314</v>
      </c>
      <c r="C9" s="37" t="s">
        <v>14</v>
      </c>
      <c r="D9" s="37" t="s">
        <v>716</v>
      </c>
      <c r="E9" s="12" t="s">
        <v>2230</v>
      </c>
      <c r="F9" s="83">
        <v>43747.666666666664</v>
      </c>
      <c r="G9" s="83">
        <v>43747.697222222225</v>
      </c>
      <c r="H9" s="84">
        <f t="shared" si="0"/>
        <v>44.00000000721775</v>
      </c>
      <c r="I9" s="12" t="s">
        <v>2315</v>
      </c>
      <c r="J9" s="9" t="s">
        <v>2352</v>
      </c>
      <c r="K9" s="9" t="s">
        <v>2353</v>
      </c>
      <c r="L9" s="37" t="s">
        <v>713</v>
      </c>
      <c r="M9" s="37" t="s">
        <v>678</v>
      </c>
      <c r="N9" s="37"/>
      <c r="O9" s="38" t="str">
        <f t="shared" si="1"/>
        <v>ISLA</v>
      </c>
    </row>
    <row r="10" spans="1:15" ht="41.15" x14ac:dyDescent="0.4">
      <c r="A10" s="37">
        <v>9</v>
      </c>
      <c r="B10" s="101" t="s">
        <v>2316</v>
      </c>
      <c r="C10" s="37" t="s">
        <v>14</v>
      </c>
      <c r="D10" s="37" t="s">
        <v>716</v>
      </c>
      <c r="E10" s="12" t="s">
        <v>2230</v>
      </c>
      <c r="F10" s="83">
        <v>43748.333333333336</v>
      </c>
      <c r="G10" s="83">
        <v>43748.34375</v>
      </c>
      <c r="H10" s="84">
        <f t="shared" si="0"/>
        <v>14.99999999650754</v>
      </c>
      <c r="I10" s="12" t="s">
        <v>2315</v>
      </c>
      <c r="J10" s="9" t="s">
        <v>2352</v>
      </c>
      <c r="K10" s="9" t="s">
        <v>2353</v>
      </c>
      <c r="L10" s="37" t="s">
        <v>713</v>
      </c>
      <c r="M10" s="37" t="s">
        <v>678</v>
      </c>
      <c r="N10" s="37"/>
      <c r="O10" s="38" t="str">
        <f t="shared" si="1"/>
        <v>ISLA</v>
      </c>
    </row>
    <row r="11" spans="1:15" x14ac:dyDescent="0.4">
      <c r="A11" s="37">
        <v>10</v>
      </c>
      <c r="B11" s="101" t="s">
        <v>2317</v>
      </c>
      <c r="C11" s="37" t="s">
        <v>2</v>
      </c>
      <c r="D11" s="37" t="s">
        <v>701</v>
      </c>
      <c r="E11" s="12" t="s">
        <v>2048</v>
      </c>
      <c r="F11" s="83">
        <v>43748.84375</v>
      </c>
      <c r="G11" s="83">
        <v>43748.881249999999</v>
      </c>
      <c r="H11" s="84">
        <f t="shared" si="0"/>
        <v>53.999999997904524</v>
      </c>
      <c r="I11" s="12" t="s">
        <v>313</v>
      </c>
      <c r="J11" s="12" t="s">
        <v>879</v>
      </c>
      <c r="K11" s="12" t="s">
        <v>209</v>
      </c>
      <c r="L11" s="37" t="s">
        <v>701</v>
      </c>
      <c r="M11" s="37" t="s">
        <v>678</v>
      </c>
      <c r="N11" s="37"/>
      <c r="O11" s="38" t="str">
        <f t="shared" si="1"/>
        <v>ISLA</v>
      </c>
    </row>
    <row r="12" spans="1:15" x14ac:dyDescent="0.4">
      <c r="A12" s="37">
        <v>11</v>
      </c>
      <c r="B12" s="101" t="s">
        <v>2318</v>
      </c>
      <c r="C12" s="37" t="s">
        <v>2</v>
      </c>
      <c r="D12" s="37" t="s">
        <v>701</v>
      </c>
      <c r="E12" s="12" t="s">
        <v>2302</v>
      </c>
      <c r="F12" s="83">
        <v>43749.347222222219</v>
      </c>
      <c r="G12" s="83">
        <v>43749.363888888889</v>
      </c>
      <c r="H12" s="84">
        <f>(G12-F12)*1440</f>
        <v>24.000000004889444</v>
      </c>
      <c r="I12" s="12" t="s">
        <v>313</v>
      </c>
      <c r="J12" s="12" t="s">
        <v>879</v>
      </c>
      <c r="K12" s="12" t="s">
        <v>209</v>
      </c>
      <c r="L12" s="37" t="s">
        <v>701</v>
      </c>
      <c r="M12" s="37" t="s">
        <v>678</v>
      </c>
      <c r="N12" s="37"/>
      <c r="O12" s="38" t="str">
        <f t="shared" si="1"/>
        <v>ISLA</v>
      </c>
    </row>
    <row r="13" spans="1:15" x14ac:dyDescent="0.4">
      <c r="A13" s="37">
        <v>12</v>
      </c>
      <c r="B13" s="101" t="s">
        <v>2322</v>
      </c>
      <c r="C13" s="37" t="s">
        <v>2</v>
      </c>
      <c r="D13" s="37" t="s">
        <v>2321</v>
      </c>
      <c r="E13" s="12" t="s">
        <v>2323</v>
      </c>
      <c r="F13" s="83">
        <v>43749.345833333333</v>
      </c>
      <c r="G13" s="83">
        <v>43749.458333333336</v>
      </c>
      <c r="H13" s="84">
        <f>(G13-F13)*1440</f>
        <v>162.00000000419095</v>
      </c>
      <c r="I13" s="12" t="s">
        <v>2324</v>
      </c>
      <c r="J13" s="12" t="s">
        <v>2354</v>
      </c>
      <c r="K13" s="12" t="s">
        <v>2356</v>
      </c>
      <c r="L13" s="37" t="s">
        <v>705</v>
      </c>
      <c r="M13" s="37" t="s">
        <v>678</v>
      </c>
      <c r="N13" s="37"/>
      <c r="O13" s="38" t="str">
        <f t="shared" si="1"/>
        <v>OSLA</v>
      </c>
    </row>
    <row r="14" spans="1:15" x14ac:dyDescent="0.4">
      <c r="A14" s="37">
        <v>13</v>
      </c>
      <c r="B14" s="101" t="s">
        <v>2319</v>
      </c>
      <c r="C14" s="37" t="s">
        <v>2</v>
      </c>
      <c r="D14" s="37" t="s">
        <v>701</v>
      </c>
      <c r="E14" s="12" t="s">
        <v>2302</v>
      </c>
      <c r="F14" s="83">
        <v>43750.902777777781</v>
      </c>
      <c r="G14" s="83">
        <v>43751.027777777781</v>
      </c>
      <c r="H14" s="84">
        <f t="shared" ref="H14:H29" si="2">(G14-F14)*1440</f>
        <v>180</v>
      </c>
      <c r="I14" s="12" t="s">
        <v>313</v>
      </c>
      <c r="J14" s="12" t="s">
        <v>879</v>
      </c>
      <c r="K14" s="12" t="s">
        <v>209</v>
      </c>
      <c r="L14" s="37" t="s">
        <v>701</v>
      </c>
      <c r="M14" s="37" t="s">
        <v>678</v>
      </c>
      <c r="N14" s="37"/>
      <c r="O14" s="38" t="str">
        <f t="shared" si="1"/>
        <v>OSLA</v>
      </c>
    </row>
    <row r="15" spans="1:15" x14ac:dyDescent="0.4">
      <c r="A15" s="37">
        <v>14</v>
      </c>
      <c r="B15" s="101" t="s">
        <v>2320</v>
      </c>
      <c r="C15" s="37" t="s">
        <v>2</v>
      </c>
      <c r="D15" s="37" t="s">
        <v>701</v>
      </c>
      <c r="E15" s="12" t="s">
        <v>2048</v>
      </c>
      <c r="F15" s="83">
        <v>43751.313888888886</v>
      </c>
      <c r="G15" s="83">
        <v>43751.40902777778</v>
      </c>
      <c r="H15" s="84">
        <f t="shared" si="2"/>
        <v>137.00000000651926</v>
      </c>
      <c r="I15" s="12" t="s">
        <v>313</v>
      </c>
      <c r="J15" s="12" t="s">
        <v>879</v>
      </c>
      <c r="K15" s="12" t="s">
        <v>209</v>
      </c>
      <c r="L15" s="37" t="s">
        <v>701</v>
      </c>
      <c r="M15" s="37" t="s">
        <v>678</v>
      </c>
      <c r="N15" s="37"/>
      <c r="O15" s="38" t="str">
        <f t="shared" si="1"/>
        <v>OSLA</v>
      </c>
    </row>
    <row r="16" spans="1:15" x14ac:dyDescent="0.4">
      <c r="A16" s="37">
        <v>15</v>
      </c>
      <c r="B16" s="101" t="s">
        <v>2325</v>
      </c>
      <c r="C16" s="37" t="s">
        <v>2</v>
      </c>
      <c r="D16" s="37" t="s">
        <v>701</v>
      </c>
      <c r="E16" s="12" t="s">
        <v>2302</v>
      </c>
      <c r="F16" s="83">
        <v>43752.161111111112</v>
      </c>
      <c r="G16" s="83">
        <v>43752.175694444442</v>
      </c>
      <c r="H16" s="84">
        <f t="shared" si="2"/>
        <v>20.999999995110556</v>
      </c>
      <c r="I16" s="12" t="s">
        <v>313</v>
      </c>
      <c r="J16" s="12" t="s">
        <v>879</v>
      </c>
      <c r="K16" s="12" t="s">
        <v>209</v>
      </c>
      <c r="L16" s="37" t="s">
        <v>701</v>
      </c>
      <c r="M16" s="37" t="s">
        <v>678</v>
      </c>
      <c r="N16" s="37"/>
      <c r="O16" s="38" t="str">
        <f t="shared" si="1"/>
        <v>ISLA</v>
      </c>
    </row>
    <row r="17" spans="1:15" x14ac:dyDescent="0.4">
      <c r="A17" s="37">
        <v>16</v>
      </c>
      <c r="B17" s="101" t="s">
        <v>2326</v>
      </c>
      <c r="C17" s="37" t="s">
        <v>2</v>
      </c>
      <c r="D17" s="37" t="s">
        <v>701</v>
      </c>
      <c r="E17" s="12" t="s">
        <v>2302</v>
      </c>
      <c r="F17" s="83">
        <v>43752.638888888891</v>
      </c>
      <c r="G17" s="83">
        <v>43752.661805555559</v>
      </c>
      <c r="H17" s="84">
        <f t="shared" si="2"/>
        <v>33.000000002793968</v>
      </c>
      <c r="I17" s="12" t="s">
        <v>313</v>
      </c>
      <c r="J17" s="12" t="s">
        <v>879</v>
      </c>
      <c r="K17" s="12" t="s">
        <v>209</v>
      </c>
      <c r="L17" s="37" t="s">
        <v>701</v>
      </c>
      <c r="M17" s="37" t="s">
        <v>678</v>
      </c>
      <c r="N17" s="37"/>
      <c r="O17" s="38" t="str">
        <f t="shared" si="1"/>
        <v>ISLA</v>
      </c>
    </row>
    <row r="18" spans="1:15" x14ac:dyDescent="0.4">
      <c r="A18" s="37">
        <v>17</v>
      </c>
      <c r="B18" s="101" t="s">
        <v>2327</v>
      </c>
      <c r="C18" s="37" t="s">
        <v>2</v>
      </c>
      <c r="D18" s="37" t="s">
        <v>701</v>
      </c>
      <c r="E18" s="12" t="s">
        <v>2048</v>
      </c>
      <c r="F18" s="83">
        <v>43753.37222222222</v>
      </c>
      <c r="G18" s="83">
        <v>43753.390277777777</v>
      </c>
      <c r="H18" s="84">
        <f t="shared" si="2"/>
        <v>26.000000000931323</v>
      </c>
      <c r="I18" s="12" t="s">
        <v>313</v>
      </c>
      <c r="J18" s="12" t="s">
        <v>879</v>
      </c>
      <c r="K18" s="12" t="s">
        <v>209</v>
      </c>
      <c r="L18" s="37" t="s">
        <v>701</v>
      </c>
      <c r="M18" s="37" t="s">
        <v>678</v>
      </c>
      <c r="N18" s="37"/>
      <c r="O18" s="38" t="str">
        <f t="shared" si="1"/>
        <v>ISLA</v>
      </c>
    </row>
    <row r="19" spans="1:15" x14ac:dyDescent="0.4">
      <c r="A19" s="37">
        <v>18</v>
      </c>
      <c r="B19" s="101" t="s">
        <v>2355</v>
      </c>
      <c r="C19" s="37" t="s">
        <v>2</v>
      </c>
      <c r="D19" s="37" t="s">
        <v>701</v>
      </c>
      <c r="E19" s="12" t="s">
        <v>2048</v>
      </c>
      <c r="F19" s="83">
        <v>43753.421527777777</v>
      </c>
      <c r="G19" s="83">
        <v>43754.553472222222</v>
      </c>
      <c r="H19" s="84">
        <f t="shared" si="2"/>
        <v>1630.0000000011642</v>
      </c>
      <c r="I19" s="12" t="s">
        <v>313</v>
      </c>
      <c r="J19" s="12" t="s">
        <v>879</v>
      </c>
      <c r="K19" s="12" t="s">
        <v>209</v>
      </c>
      <c r="L19" s="37" t="s">
        <v>701</v>
      </c>
      <c r="M19" s="37" t="s">
        <v>678</v>
      </c>
      <c r="N19" s="37"/>
      <c r="O19" s="38" t="str">
        <f t="shared" si="1"/>
        <v>OSLA</v>
      </c>
    </row>
    <row r="20" spans="1:15" x14ac:dyDescent="0.4">
      <c r="A20" s="37">
        <v>19</v>
      </c>
      <c r="B20" s="101" t="s">
        <v>2328</v>
      </c>
      <c r="C20" s="37" t="s">
        <v>2</v>
      </c>
      <c r="D20" s="37" t="s">
        <v>702</v>
      </c>
      <c r="E20" s="12" t="s">
        <v>2329</v>
      </c>
      <c r="F20" s="83">
        <v>43753.510416666664</v>
      </c>
      <c r="G20" s="83">
        <v>43753.628472222219</v>
      </c>
      <c r="H20" s="84">
        <f t="shared" si="2"/>
        <v>169.99999999883585</v>
      </c>
      <c r="I20" s="12" t="s">
        <v>2330</v>
      </c>
      <c r="J20" s="12" t="s">
        <v>2331</v>
      </c>
      <c r="K20" s="12" t="s">
        <v>2332</v>
      </c>
      <c r="L20" s="37" t="s">
        <v>703</v>
      </c>
      <c r="M20" s="37" t="s">
        <v>678</v>
      </c>
      <c r="N20" s="37"/>
      <c r="O20" s="38" t="str">
        <f t="shared" si="1"/>
        <v>OSLA</v>
      </c>
    </row>
    <row r="21" spans="1:15" ht="20.6" x14ac:dyDescent="0.4">
      <c r="A21" s="37">
        <v>20</v>
      </c>
      <c r="B21" s="101" t="s">
        <v>2333</v>
      </c>
      <c r="C21" s="37" t="s">
        <v>2</v>
      </c>
      <c r="D21" s="37" t="s">
        <v>716</v>
      </c>
      <c r="E21" s="12" t="s">
        <v>2230</v>
      </c>
      <c r="F21" s="83">
        <v>43754.083333333336</v>
      </c>
      <c r="G21" s="83">
        <v>43754.314583333333</v>
      </c>
      <c r="H21" s="84">
        <f t="shared" si="2"/>
        <v>332.99999999580905</v>
      </c>
      <c r="I21" s="12" t="s">
        <v>2315</v>
      </c>
      <c r="J21" s="9" t="s">
        <v>2358</v>
      </c>
      <c r="K21" s="12" t="s">
        <v>2357</v>
      </c>
      <c r="L21" s="37" t="s">
        <v>713</v>
      </c>
      <c r="M21" s="37" t="s">
        <v>678</v>
      </c>
      <c r="N21" s="37"/>
      <c r="O21" s="38" t="str">
        <f t="shared" si="1"/>
        <v>OSLA</v>
      </c>
    </row>
    <row r="22" spans="1:15" x14ac:dyDescent="0.4">
      <c r="A22" s="37">
        <v>21</v>
      </c>
      <c r="B22" s="101" t="s">
        <v>2334</v>
      </c>
      <c r="C22" s="37" t="s">
        <v>2</v>
      </c>
      <c r="D22" s="37" t="s">
        <v>701</v>
      </c>
      <c r="E22" s="12" t="s">
        <v>2302</v>
      </c>
      <c r="F22" s="83">
        <v>43754.206250000003</v>
      </c>
      <c r="G22" s="83">
        <v>43754.21875</v>
      </c>
      <c r="H22" s="84">
        <f t="shared" si="2"/>
        <v>17.999999995809048</v>
      </c>
      <c r="I22" s="12" t="s">
        <v>313</v>
      </c>
      <c r="J22" s="12" t="s">
        <v>879</v>
      </c>
      <c r="K22" s="12" t="s">
        <v>209</v>
      </c>
      <c r="L22" s="37" t="s">
        <v>701</v>
      </c>
      <c r="M22" s="37" t="s">
        <v>678</v>
      </c>
      <c r="N22" s="37"/>
      <c r="O22" s="38" t="str">
        <f t="shared" si="1"/>
        <v>ISLA</v>
      </c>
    </row>
    <row r="23" spans="1:15" x14ac:dyDescent="0.4">
      <c r="A23" s="37">
        <v>22</v>
      </c>
      <c r="B23" s="101" t="s">
        <v>2335</v>
      </c>
      <c r="C23" s="37" t="s">
        <v>2</v>
      </c>
      <c r="D23" s="37" t="s">
        <v>704</v>
      </c>
      <c r="E23" s="12" t="s">
        <v>150</v>
      </c>
      <c r="F23" s="83">
        <v>43754.645138888889</v>
      </c>
      <c r="G23" s="83">
        <v>43754.680555555555</v>
      </c>
      <c r="H23" s="84">
        <f t="shared" si="2"/>
        <v>50.999999998603016</v>
      </c>
      <c r="I23" s="12" t="s">
        <v>2199</v>
      </c>
      <c r="J23" s="12" t="s">
        <v>2336</v>
      </c>
      <c r="K23" s="12" t="s">
        <v>1329</v>
      </c>
      <c r="L23" s="37" t="s">
        <v>713</v>
      </c>
      <c r="M23" s="37" t="s">
        <v>678</v>
      </c>
      <c r="N23" s="37"/>
      <c r="O23" s="38" t="str">
        <f t="shared" si="1"/>
        <v>ISLA</v>
      </c>
    </row>
    <row r="24" spans="1:15" x14ac:dyDescent="0.4">
      <c r="A24" s="37">
        <v>23</v>
      </c>
      <c r="B24" s="101" t="s">
        <v>2337</v>
      </c>
      <c r="C24" s="37" t="s">
        <v>14</v>
      </c>
      <c r="D24" s="37" t="s">
        <v>702</v>
      </c>
      <c r="E24" s="12" t="s">
        <v>228</v>
      </c>
      <c r="F24" s="83">
        <v>43755.409722222219</v>
      </c>
      <c r="G24" s="83">
        <v>43755.474305555559</v>
      </c>
      <c r="H24" s="84">
        <f t="shared" si="2"/>
        <v>93.000000009778887</v>
      </c>
      <c r="I24" s="12" t="s">
        <v>2338</v>
      </c>
      <c r="J24" s="12" t="s">
        <v>2339</v>
      </c>
      <c r="K24" s="12" t="s">
        <v>105</v>
      </c>
      <c r="L24" s="37" t="s">
        <v>707</v>
      </c>
      <c r="M24" s="37" t="s">
        <v>678</v>
      </c>
      <c r="N24" s="37"/>
      <c r="O24" s="38" t="str">
        <f t="shared" si="1"/>
        <v>ISLA</v>
      </c>
    </row>
    <row r="25" spans="1:15" x14ac:dyDescent="0.4">
      <c r="A25" s="37">
        <v>24</v>
      </c>
      <c r="B25" s="101" t="s">
        <v>2340</v>
      </c>
      <c r="C25" s="37" t="s">
        <v>2</v>
      </c>
      <c r="D25" s="37" t="s">
        <v>702</v>
      </c>
      <c r="E25" s="12" t="s">
        <v>2341</v>
      </c>
      <c r="F25" s="83">
        <v>43755.927083333336</v>
      </c>
      <c r="G25" s="83">
        <v>43756.052083333336</v>
      </c>
      <c r="H25" s="84">
        <f t="shared" si="2"/>
        <v>180</v>
      </c>
      <c r="I25" s="12" t="s">
        <v>2342</v>
      </c>
      <c r="J25" s="12" t="s">
        <v>2350</v>
      </c>
      <c r="K25" s="12" t="s">
        <v>959</v>
      </c>
      <c r="L25" s="37" t="s">
        <v>701</v>
      </c>
      <c r="M25" s="37" t="s">
        <v>678</v>
      </c>
      <c r="N25" s="37"/>
      <c r="O25" s="38" t="str">
        <f t="shared" si="1"/>
        <v>OSLA</v>
      </c>
    </row>
    <row r="26" spans="1:15" x14ac:dyDescent="0.4">
      <c r="A26" s="37">
        <v>25</v>
      </c>
      <c r="B26" s="101" t="s">
        <v>2337</v>
      </c>
      <c r="C26" s="37" t="s">
        <v>14</v>
      </c>
      <c r="D26" s="37" t="s">
        <v>702</v>
      </c>
      <c r="E26" s="12" t="s">
        <v>228</v>
      </c>
      <c r="F26" s="83">
        <v>43755.409722222219</v>
      </c>
      <c r="G26" s="83">
        <v>43755.474305555559</v>
      </c>
      <c r="H26" s="84">
        <f t="shared" si="2"/>
        <v>93.000000009778887</v>
      </c>
      <c r="I26" s="12" t="s">
        <v>2338</v>
      </c>
      <c r="J26" s="12" t="s">
        <v>2339</v>
      </c>
      <c r="K26" s="12" t="s">
        <v>105</v>
      </c>
      <c r="L26" s="37" t="s">
        <v>707</v>
      </c>
      <c r="M26" s="37" t="s">
        <v>678</v>
      </c>
      <c r="N26" s="37"/>
      <c r="O26" s="38" t="str">
        <f t="shared" si="1"/>
        <v>ISLA</v>
      </c>
    </row>
    <row r="27" spans="1:15" x14ac:dyDescent="0.4">
      <c r="A27" s="37">
        <v>26</v>
      </c>
      <c r="B27" s="101" t="s">
        <v>2343</v>
      </c>
      <c r="C27" s="37" t="s">
        <v>2</v>
      </c>
      <c r="D27" s="37" t="s">
        <v>701</v>
      </c>
      <c r="E27" s="12" t="s">
        <v>2048</v>
      </c>
      <c r="F27" s="83">
        <v>43757.686805555553</v>
      </c>
      <c r="G27" s="83">
        <v>43757.799305555556</v>
      </c>
      <c r="H27" s="84">
        <f t="shared" si="2"/>
        <v>162.00000000419095</v>
      </c>
      <c r="I27" s="12" t="s">
        <v>313</v>
      </c>
      <c r="J27" s="12" t="s">
        <v>879</v>
      </c>
      <c r="K27" s="12" t="s">
        <v>209</v>
      </c>
      <c r="L27" s="37" t="s">
        <v>701</v>
      </c>
      <c r="M27" s="37" t="s">
        <v>678</v>
      </c>
      <c r="N27" s="37"/>
      <c r="O27" s="38" t="str">
        <f t="shared" si="1"/>
        <v>OSLA</v>
      </c>
    </row>
    <row r="28" spans="1:15" x14ac:dyDescent="0.4">
      <c r="A28" s="37">
        <v>27</v>
      </c>
      <c r="B28" s="101" t="s">
        <v>2344</v>
      </c>
      <c r="C28" s="37" t="s">
        <v>2</v>
      </c>
      <c r="D28" s="37" t="s">
        <v>702</v>
      </c>
      <c r="E28" s="12" t="s">
        <v>2345</v>
      </c>
      <c r="F28" s="83">
        <v>43758.079861111109</v>
      </c>
      <c r="G28" s="83">
        <v>43758.149305555555</v>
      </c>
      <c r="H28" s="84">
        <f t="shared" si="2"/>
        <v>100.00000000116415</v>
      </c>
      <c r="I28" s="12" t="s">
        <v>1937</v>
      </c>
      <c r="J28" s="12" t="s">
        <v>2310</v>
      </c>
      <c r="K28" s="12" t="s">
        <v>105</v>
      </c>
      <c r="L28" s="37" t="s">
        <v>2351</v>
      </c>
      <c r="M28" s="37" t="s">
        <v>678</v>
      </c>
      <c r="N28" s="37"/>
      <c r="O28" s="38" t="str">
        <f t="shared" si="1"/>
        <v>ISLA</v>
      </c>
    </row>
    <row r="29" spans="1:15" x14ac:dyDescent="0.4">
      <c r="A29" s="37">
        <v>28</v>
      </c>
      <c r="B29" s="101" t="s">
        <v>2346</v>
      </c>
      <c r="C29" s="37" t="s">
        <v>2</v>
      </c>
      <c r="D29" s="37" t="s">
        <v>702</v>
      </c>
      <c r="E29" s="12" t="s">
        <v>2347</v>
      </c>
      <c r="F29" s="83">
        <v>43758.236111111109</v>
      </c>
      <c r="G29" s="83">
        <v>43758.28125</v>
      </c>
      <c r="H29" s="84">
        <f t="shared" si="2"/>
        <v>65.000000002328306</v>
      </c>
      <c r="I29" s="12" t="s">
        <v>2348</v>
      </c>
      <c r="J29" s="12" t="s">
        <v>2310</v>
      </c>
      <c r="K29" s="12" t="s">
        <v>105</v>
      </c>
      <c r="L29" s="37" t="s">
        <v>707</v>
      </c>
      <c r="M29" s="37" t="s">
        <v>678</v>
      </c>
      <c r="N29" s="141"/>
      <c r="O29" s="38" t="str">
        <f t="shared" si="1"/>
        <v>ISLA</v>
      </c>
    </row>
    <row r="30" spans="1:15" x14ac:dyDescent="0.4">
      <c r="A30" s="37">
        <v>29</v>
      </c>
      <c r="B30" s="12" t="s">
        <v>2359</v>
      </c>
      <c r="C30" s="37" t="s">
        <v>2</v>
      </c>
      <c r="D30" s="37" t="s">
        <v>701</v>
      </c>
      <c r="E30" s="12" t="s">
        <v>2048</v>
      </c>
      <c r="F30" s="83">
        <v>43759.166666666664</v>
      </c>
      <c r="G30" s="83">
        <v>43759.175694444442</v>
      </c>
      <c r="H30" s="84">
        <f t="shared" ref="H30:H42" si="3">(G30-F30)*1440</f>
        <v>13.000000000465661</v>
      </c>
      <c r="I30" s="12" t="s">
        <v>313</v>
      </c>
      <c r="J30" s="12" t="s">
        <v>879</v>
      </c>
      <c r="K30" s="12" t="s">
        <v>2360</v>
      </c>
      <c r="L30" s="37" t="s">
        <v>701</v>
      </c>
      <c r="M30" s="37" t="s">
        <v>763</v>
      </c>
      <c r="N30" s="141"/>
      <c r="O30" s="38" t="str">
        <f t="shared" si="1"/>
        <v>ISLA</v>
      </c>
    </row>
    <row r="31" spans="1:15" x14ac:dyDescent="0.4">
      <c r="A31" s="37">
        <v>30</v>
      </c>
      <c r="B31" s="12" t="s">
        <v>2361</v>
      </c>
      <c r="C31" s="37" t="s">
        <v>2</v>
      </c>
      <c r="D31" s="37" t="s">
        <v>701</v>
      </c>
      <c r="E31" s="12" t="s">
        <v>2362</v>
      </c>
      <c r="F31" s="83">
        <v>43760.1875</v>
      </c>
      <c r="G31" s="83">
        <v>43760.612500000003</v>
      </c>
      <c r="H31" s="84">
        <f t="shared" si="3"/>
        <v>612.00000000419095</v>
      </c>
      <c r="I31" s="12" t="s">
        <v>2164</v>
      </c>
      <c r="J31" s="12" t="s">
        <v>1521</v>
      </c>
      <c r="K31" s="12" t="s">
        <v>2360</v>
      </c>
      <c r="L31" s="37" t="s">
        <v>701</v>
      </c>
      <c r="M31" s="37" t="s">
        <v>763</v>
      </c>
      <c r="N31" s="141"/>
      <c r="O31" s="38" t="str">
        <f t="shared" si="1"/>
        <v>OSLA</v>
      </c>
    </row>
    <row r="32" spans="1:15" x14ac:dyDescent="0.4">
      <c r="A32" s="37">
        <v>31</v>
      </c>
      <c r="B32" s="12" t="s">
        <v>2363</v>
      </c>
      <c r="C32" s="37" t="s">
        <v>2</v>
      </c>
      <c r="D32" s="37" t="s">
        <v>702</v>
      </c>
      <c r="E32" s="12" t="s">
        <v>2345</v>
      </c>
      <c r="F32" s="83">
        <v>43760.416666666664</v>
      </c>
      <c r="G32" s="83">
        <v>43760.434027777781</v>
      </c>
      <c r="H32" s="84">
        <f t="shared" si="3"/>
        <v>25.000000008149073</v>
      </c>
      <c r="I32" s="12" t="s">
        <v>1937</v>
      </c>
      <c r="J32" s="12" t="s">
        <v>1576</v>
      </c>
      <c r="K32" s="12" t="s">
        <v>2364</v>
      </c>
      <c r="L32" s="37" t="s">
        <v>2033</v>
      </c>
      <c r="M32" s="37" t="s">
        <v>763</v>
      </c>
      <c r="N32" s="141"/>
      <c r="O32" s="38" t="str">
        <f t="shared" si="1"/>
        <v>ISLA</v>
      </c>
    </row>
    <row r="33" spans="1:15" x14ac:dyDescent="0.4">
      <c r="A33" s="37">
        <v>32</v>
      </c>
      <c r="B33" s="12" t="s">
        <v>2365</v>
      </c>
      <c r="C33" s="37" t="s">
        <v>2</v>
      </c>
      <c r="D33" s="37" t="s">
        <v>701</v>
      </c>
      <c r="E33" s="12" t="s">
        <v>2048</v>
      </c>
      <c r="F33" s="83">
        <v>43760.602777777778</v>
      </c>
      <c r="G33" s="83">
        <v>43761.179166666669</v>
      </c>
      <c r="H33" s="84">
        <f t="shared" si="3"/>
        <v>830.00000000232831</v>
      </c>
      <c r="I33" s="12" t="s">
        <v>313</v>
      </c>
      <c r="J33" s="12" t="s">
        <v>879</v>
      </c>
      <c r="K33" s="12" t="s">
        <v>2360</v>
      </c>
      <c r="L33" s="37" t="s">
        <v>701</v>
      </c>
      <c r="M33" s="37" t="s">
        <v>763</v>
      </c>
      <c r="N33" s="141"/>
      <c r="O33" s="38" t="str">
        <f t="shared" si="1"/>
        <v>OSLA</v>
      </c>
    </row>
    <row r="34" spans="1:15" s="73" customFormat="1" x14ac:dyDescent="0.4">
      <c r="A34" s="37">
        <v>33</v>
      </c>
      <c r="B34" s="12" t="s">
        <v>2366</v>
      </c>
      <c r="C34" s="37" t="s">
        <v>2</v>
      </c>
      <c r="D34" s="37" t="s">
        <v>701</v>
      </c>
      <c r="E34" s="12" t="s">
        <v>2362</v>
      </c>
      <c r="F34" s="83">
        <v>43761.976388888892</v>
      </c>
      <c r="G34" s="83">
        <v>43762.057638888888</v>
      </c>
      <c r="H34" s="84">
        <f t="shared" si="3"/>
        <v>116.99999999371357</v>
      </c>
      <c r="I34" s="12" t="s">
        <v>2164</v>
      </c>
      <c r="J34" s="12" t="s">
        <v>1521</v>
      </c>
      <c r="K34" s="12" t="s">
        <v>2360</v>
      </c>
      <c r="L34" s="37" t="s">
        <v>701</v>
      </c>
      <c r="M34" s="37" t="s">
        <v>763</v>
      </c>
      <c r="N34" s="142"/>
      <c r="O34" s="38" t="str">
        <f t="shared" si="1"/>
        <v>ISLA</v>
      </c>
    </row>
    <row r="35" spans="1:15" s="73" customFormat="1" x14ac:dyDescent="0.4">
      <c r="A35" s="37">
        <v>34</v>
      </c>
      <c r="B35" s="12" t="s">
        <v>2367</v>
      </c>
      <c r="C35" s="37" t="s">
        <v>2</v>
      </c>
      <c r="D35" s="37" t="s">
        <v>702</v>
      </c>
      <c r="E35" s="12" t="s">
        <v>2368</v>
      </c>
      <c r="F35" s="83">
        <v>43762.732638888891</v>
      </c>
      <c r="G35" s="83">
        <v>43762.765972222223</v>
      </c>
      <c r="H35" s="84">
        <f t="shared" si="3"/>
        <v>47.999999999301508</v>
      </c>
      <c r="I35" s="12" t="s">
        <v>2370</v>
      </c>
      <c r="J35" s="12" t="s">
        <v>2384</v>
      </c>
      <c r="K35" s="12" t="s">
        <v>2383</v>
      </c>
      <c r="L35" s="37" t="s">
        <v>701</v>
      </c>
      <c r="M35" s="37" t="s">
        <v>763</v>
      </c>
      <c r="N35" s="142"/>
      <c r="O35" s="38" t="str">
        <f t="shared" si="1"/>
        <v>ISLA</v>
      </c>
    </row>
    <row r="36" spans="1:15" s="73" customFormat="1" x14ac:dyDescent="0.4">
      <c r="A36" s="37">
        <v>35</v>
      </c>
      <c r="B36" s="12" t="s">
        <v>2369</v>
      </c>
      <c r="C36" s="37" t="s">
        <v>2</v>
      </c>
      <c r="D36" s="37" t="s">
        <v>701</v>
      </c>
      <c r="E36" s="12" t="s">
        <v>2048</v>
      </c>
      <c r="F36" s="83">
        <v>43765.091666666667</v>
      </c>
      <c r="G36" s="83">
        <v>43765.164583333331</v>
      </c>
      <c r="H36" s="84">
        <f t="shared" si="3"/>
        <v>104.99999999650754</v>
      </c>
      <c r="I36" s="12" t="s">
        <v>313</v>
      </c>
      <c r="J36" s="12" t="s">
        <v>879</v>
      </c>
      <c r="K36" s="12" t="s">
        <v>2360</v>
      </c>
      <c r="L36" s="37" t="s">
        <v>701</v>
      </c>
      <c r="M36" s="37" t="s">
        <v>678</v>
      </c>
      <c r="N36" s="142"/>
      <c r="O36" s="38" t="str">
        <f t="shared" si="1"/>
        <v>ISLA</v>
      </c>
    </row>
    <row r="37" spans="1:15" s="73" customFormat="1" x14ac:dyDescent="0.4">
      <c r="A37" s="37">
        <v>36</v>
      </c>
      <c r="B37" s="150" t="s">
        <v>2371</v>
      </c>
      <c r="C37" s="37" t="s">
        <v>2</v>
      </c>
      <c r="D37" s="37" t="s">
        <v>701</v>
      </c>
      <c r="E37" s="12" t="s">
        <v>2048</v>
      </c>
      <c r="F37" s="83">
        <v>43766.447916666664</v>
      </c>
      <c r="G37" s="83">
        <v>43766.511805555558</v>
      </c>
      <c r="H37" s="84">
        <f t="shared" si="3"/>
        <v>92.000000006519258</v>
      </c>
      <c r="I37" s="12" t="s">
        <v>313</v>
      </c>
      <c r="J37" s="12" t="s">
        <v>879</v>
      </c>
      <c r="K37" s="12" t="s">
        <v>2360</v>
      </c>
      <c r="L37" s="83" t="s">
        <v>701</v>
      </c>
      <c r="M37" s="37" t="s">
        <v>763</v>
      </c>
      <c r="N37" s="48"/>
      <c r="O37" s="38" t="str">
        <f t="shared" si="1"/>
        <v>ISLA</v>
      </c>
    </row>
    <row r="38" spans="1:15" s="73" customFormat="1" x14ac:dyDescent="0.4">
      <c r="A38" s="37">
        <v>37</v>
      </c>
      <c r="B38" s="12" t="s">
        <v>2372</v>
      </c>
      <c r="C38" s="37" t="s">
        <v>14</v>
      </c>
      <c r="D38" s="37" t="s">
        <v>702</v>
      </c>
      <c r="E38" s="12" t="s">
        <v>2373</v>
      </c>
      <c r="F38" s="83">
        <v>43766.836805555555</v>
      </c>
      <c r="G38" s="83">
        <v>43767.53125</v>
      </c>
      <c r="H38" s="84">
        <f t="shared" si="3"/>
        <v>1000.0000000011642</v>
      </c>
      <c r="I38" s="12" t="s">
        <v>2374</v>
      </c>
      <c r="J38" s="12" t="s">
        <v>2375</v>
      </c>
      <c r="K38" s="12" t="s">
        <v>2376</v>
      </c>
      <c r="L38" s="37" t="s">
        <v>704</v>
      </c>
      <c r="M38" s="37" t="s">
        <v>763</v>
      </c>
      <c r="N38" s="12" t="s">
        <v>2377</v>
      </c>
      <c r="O38" s="38" t="str">
        <f t="shared" si="1"/>
        <v>OSLA</v>
      </c>
    </row>
    <row r="39" spans="1:15" s="73" customFormat="1" x14ac:dyDescent="0.4">
      <c r="A39" s="37">
        <v>38</v>
      </c>
      <c r="B39" s="12" t="s">
        <v>2378</v>
      </c>
      <c r="C39" s="37" t="s">
        <v>2</v>
      </c>
      <c r="D39" s="37" t="s">
        <v>716</v>
      </c>
      <c r="E39" s="12" t="s">
        <v>2230</v>
      </c>
      <c r="F39" s="83">
        <v>43768.370138888888</v>
      </c>
      <c r="G39" s="83">
        <v>43768.543055555558</v>
      </c>
      <c r="H39" s="84">
        <f t="shared" si="3"/>
        <v>249.00000000488944</v>
      </c>
      <c r="I39" s="12" t="s">
        <v>2379</v>
      </c>
      <c r="J39" s="12" t="s">
        <v>2380</v>
      </c>
      <c r="K39" s="12" t="s">
        <v>441</v>
      </c>
      <c r="L39" s="37" t="s">
        <v>713</v>
      </c>
      <c r="M39" s="37" t="s">
        <v>763</v>
      </c>
      <c r="N39" s="48"/>
      <c r="O39" s="38" t="str">
        <f t="shared" si="1"/>
        <v>OSLA</v>
      </c>
    </row>
    <row r="40" spans="1:15" s="73" customFormat="1" x14ac:dyDescent="0.4">
      <c r="A40" s="37">
        <v>39</v>
      </c>
      <c r="B40" s="12" t="s">
        <v>2381</v>
      </c>
      <c r="C40" s="37" t="s">
        <v>2</v>
      </c>
      <c r="D40" s="37" t="s">
        <v>701</v>
      </c>
      <c r="E40" s="12" t="s">
        <v>2362</v>
      </c>
      <c r="F40" s="83">
        <v>43768.436111111114</v>
      </c>
      <c r="G40" s="83">
        <v>43768.455555555556</v>
      </c>
      <c r="H40" s="84">
        <f t="shared" si="3"/>
        <v>27.999999996973202</v>
      </c>
      <c r="I40" s="12" t="s">
        <v>2164</v>
      </c>
      <c r="J40" s="12" t="s">
        <v>1521</v>
      </c>
      <c r="K40" s="12" t="s">
        <v>2360</v>
      </c>
      <c r="L40" s="83" t="s">
        <v>701</v>
      </c>
      <c r="M40" s="37" t="s">
        <v>763</v>
      </c>
      <c r="N40" s="48"/>
      <c r="O40" s="38" t="str">
        <f t="shared" si="1"/>
        <v>ISLA</v>
      </c>
    </row>
    <row r="41" spans="1:15" s="73" customFormat="1" x14ac:dyDescent="0.4">
      <c r="A41" s="37">
        <v>40</v>
      </c>
      <c r="B41" s="12" t="s">
        <v>2382</v>
      </c>
      <c r="C41" s="37" t="s">
        <v>2</v>
      </c>
      <c r="D41" s="83" t="s">
        <v>701</v>
      </c>
      <c r="E41" s="20" t="s">
        <v>2050</v>
      </c>
      <c r="F41" s="83">
        <v>43768.740277777775</v>
      </c>
      <c r="G41" s="83">
        <v>43768.757638888892</v>
      </c>
      <c r="H41" s="84">
        <f t="shared" si="3"/>
        <v>25.000000008149073</v>
      </c>
      <c r="I41" s="12" t="s">
        <v>313</v>
      </c>
      <c r="J41" s="12" t="s">
        <v>879</v>
      </c>
      <c r="K41" s="12" t="s">
        <v>2360</v>
      </c>
      <c r="L41" s="83" t="s">
        <v>701</v>
      </c>
      <c r="M41" s="37" t="s">
        <v>763</v>
      </c>
      <c r="N41" s="48"/>
      <c r="O41" s="38" t="str">
        <f t="shared" si="1"/>
        <v>ISLA</v>
      </c>
    </row>
    <row r="42" spans="1:15" s="73" customFormat="1" x14ac:dyDescent="0.4">
      <c r="A42" s="37">
        <v>41</v>
      </c>
      <c r="B42" s="101"/>
      <c r="C42" s="37"/>
      <c r="D42" s="37"/>
      <c r="E42" s="12"/>
      <c r="F42" s="83"/>
      <c r="G42" s="83"/>
      <c r="H42" s="84">
        <f t="shared" si="3"/>
        <v>0</v>
      </c>
      <c r="I42" s="12"/>
      <c r="J42" s="12"/>
      <c r="K42" s="12"/>
      <c r="L42" s="37"/>
      <c r="M42" s="37"/>
      <c r="N42" s="12"/>
      <c r="O42" s="38"/>
    </row>
    <row r="43" spans="1:15" s="73" customFormat="1" x14ac:dyDescent="0.4">
      <c r="A43" s="128"/>
      <c r="B43" s="128"/>
      <c r="C43" s="128"/>
      <c r="D43" s="128"/>
      <c r="J43"/>
    </row>
    <row r="44" spans="1:15" s="73" customFormat="1" x14ac:dyDescent="0.4">
      <c r="A44" s="128"/>
      <c r="B44" s="128"/>
      <c r="C44" s="128"/>
      <c r="D44" s="128"/>
      <c r="J44"/>
    </row>
    <row r="45" spans="1:15" s="73" customFormat="1" x14ac:dyDescent="0.4">
      <c r="A45" s="128"/>
      <c r="B45" s="128"/>
      <c r="C45" s="128"/>
      <c r="D45" s="128"/>
      <c r="J45"/>
    </row>
    <row r="46" spans="1:15" s="73" customFormat="1" x14ac:dyDescent="0.4">
      <c r="A46" s="128"/>
      <c r="B46" s="128"/>
      <c r="C46" s="128"/>
      <c r="D46" s="128"/>
    </row>
    <row r="47" spans="1:15" s="73" customFormat="1" x14ac:dyDescent="0.4">
      <c r="A47" s="128"/>
      <c r="B47" s="73" t="s">
        <v>2</v>
      </c>
      <c r="C47" s="73" t="s">
        <v>776</v>
      </c>
      <c r="D47" s="73">
        <v>120</v>
      </c>
      <c r="F47"/>
      <c r="G47"/>
      <c r="H47"/>
      <c r="I47"/>
      <c r="J47"/>
      <c r="K47"/>
      <c r="L47"/>
      <c r="M47"/>
      <c r="N47"/>
      <c r="O47"/>
    </row>
    <row r="48" spans="1:15" s="73" customFormat="1" x14ac:dyDescent="0.4">
      <c r="A48" s="128"/>
      <c r="B48" s="73" t="s">
        <v>14</v>
      </c>
      <c r="C48" s="73" t="s">
        <v>777</v>
      </c>
      <c r="D48" s="73">
        <v>240</v>
      </c>
      <c r="F48"/>
      <c r="G48"/>
      <c r="H48"/>
      <c r="I48"/>
      <c r="J48"/>
      <c r="K48"/>
      <c r="L48"/>
      <c r="M48"/>
      <c r="N48"/>
      <c r="O48"/>
    </row>
    <row r="49" spans="1:15" s="73" customFormat="1" x14ac:dyDescent="0.4">
      <c r="A49" s="128"/>
      <c r="B49" s="73" t="s">
        <v>158</v>
      </c>
      <c r="C49" s="73" t="s">
        <v>778</v>
      </c>
      <c r="D49" s="73">
        <v>2880</v>
      </c>
      <c r="F49"/>
      <c r="G49"/>
      <c r="H49"/>
      <c r="I49"/>
      <c r="J49"/>
      <c r="K49"/>
      <c r="L49"/>
      <c r="M49"/>
      <c r="N49"/>
      <c r="O49"/>
    </row>
    <row r="50" spans="1:15" x14ac:dyDescent="0.4">
      <c r="A50" s="73"/>
      <c r="B50" s="128"/>
      <c r="C50" s="128"/>
      <c r="D50" s="128"/>
      <c r="E50" s="73"/>
    </row>
    <row r="51" spans="1:15" x14ac:dyDescent="0.4">
      <c r="B51" s="128"/>
      <c r="C51" s="128"/>
      <c r="D51" s="128"/>
    </row>
    <row r="52" spans="1:15" x14ac:dyDescent="0.4">
      <c r="B52" s="128"/>
      <c r="C52" s="128"/>
      <c r="D52" s="128"/>
    </row>
  </sheetData>
  <autoFilter ref="A1:O42" xr:uid="{00000000-0009-0000-0000-000019000000}"/>
  <conditionalFormatting sqref="B37">
    <cfRule type="cellIs" dxfId="52" priority="9" operator="equal">
      <formula>"NOK"</formula>
    </cfRule>
  </conditionalFormatting>
  <conditionalFormatting sqref="D41:E41">
    <cfRule type="cellIs" dxfId="51" priority="7" operator="equal">
      <formula>"NOK"</formula>
    </cfRule>
  </conditionalFormatting>
  <conditionalFormatting sqref="F12:F14">
    <cfRule type="cellIs" dxfId="50" priority="79" operator="equal">
      <formula>"NOK"</formula>
    </cfRule>
  </conditionalFormatting>
  <conditionalFormatting sqref="F8:G11">
    <cfRule type="cellIs" dxfId="49" priority="88" operator="equal">
      <formula>"NOK"</formula>
    </cfRule>
  </conditionalFormatting>
  <conditionalFormatting sqref="F16:G42">
    <cfRule type="cellIs" dxfId="48" priority="13" operator="equal">
      <formula>"NOK"</formula>
    </cfRule>
  </conditionalFormatting>
  <conditionalFormatting sqref="F2:H7">
    <cfRule type="cellIs" dxfId="47" priority="89" operator="equal">
      <formula>"NOK"</formula>
    </cfRule>
  </conditionalFormatting>
  <conditionalFormatting sqref="F14:H15">
    <cfRule type="cellIs" dxfId="46" priority="77" operator="equal">
      <formula>"NOK"</formula>
    </cfRule>
  </conditionalFormatting>
  <conditionalFormatting sqref="G12:G15">
    <cfRule type="cellIs" dxfId="45" priority="78" operator="equal">
      <formula>"NOK"</formula>
    </cfRule>
  </conditionalFormatting>
  <conditionalFormatting sqref="H8:H42">
    <cfRule type="cellIs" dxfId="44" priority="54" operator="equal">
      <formula>"NOK"</formula>
    </cfRule>
  </conditionalFormatting>
  <conditionalFormatting sqref="L37">
    <cfRule type="cellIs" dxfId="43" priority="5" operator="equal">
      <formula>"NOK"</formula>
    </cfRule>
  </conditionalFormatting>
  <conditionalFormatting sqref="L40:L41">
    <cfRule type="cellIs" dxfId="42" priority="1" operator="equal">
      <formula>"NOK"</formula>
    </cfRule>
  </conditionalFormatting>
  <dataValidations count="1">
    <dataValidation type="list" allowBlank="1" showInputMessage="1" showErrorMessage="1" promptTitle="Priorité" prompt="La Priorité de l'Incident" sqref="C34:C37 C6 C15 C10:C11 C30:C32" xr:uid="{00000000-0002-0000-1900-000000000000}">
      <formula1>prio</formula1>
    </dataValidation>
  </dataValidations>
  <pageMargins left="0.7" right="0.7" top="0.75" bottom="0.75" header="0.3" footer="0.3"/>
  <pageSetup paperSize="9"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8">
    <tabColor theme="2" tint="-0.749992370372631"/>
  </sheetPr>
  <dimension ref="A1:O52"/>
  <sheetViews>
    <sheetView workbookViewId="0">
      <selection activeCell="H2" sqref="H2"/>
    </sheetView>
  </sheetViews>
  <sheetFormatPr baseColWidth="10" defaultRowHeight="14.6" x14ac:dyDescent="0.4"/>
  <cols>
    <col min="1" max="1" width="5.84375" customWidth="1"/>
    <col min="2" max="2" width="9.84375" bestFit="1" customWidth="1"/>
    <col min="3" max="4" width="6.84375" bestFit="1" customWidth="1"/>
    <col min="5" max="5" width="34.3046875" bestFit="1" customWidth="1"/>
    <col min="6" max="6" width="19.69140625" customWidth="1"/>
    <col min="7" max="7" width="17" customWidth="1"/>
    <col min="8" max="8" width="10.07421875" customWidth="1"/>
    <col min="9" max="9" width="50.53515625" customWidth="1"/>
    <col min="10" max="10" width="58.53515625" customWidth="1"/>
    <col min="11" max="11" width="50.84375" customWidth="1"/>
    <col min="12" max="12" width="9.4609375" bestFit="1" customWidth="1"/>
    <col min="13" max="13" width="7.07421875" bestFit="1" customWidth="1"/>
    <col min="14" max="14" width="11.4609375" customWidth="1"/>
    <col min="15" max="15" width="5.07421875" bestFit="1" customWidth="1"/>
  </cols>
  <sheetData>
    <row r="1" spans="1:15" x14ac:dyDescent="0.4">
      <c r="A1" s="6" t="s">
        <v>0</v>
      </c>
      <c r="B1" s="6" t="s">
        <v>679</v>
      </c>
      <c r="C1" s="6" t="s">
        <v>680</v>
      </c>
      <c r="D1" s="7" t="s">
        <v>700</v>
      </c>
      <c r="E1" s="7" t="s">
        <v>1883</v>
      </c>
      <c r="F1" s="6" t="s">
        <v>695</v>
      </c>
      <c r="G1" s="6" t="s">
        <v>694</v>
      </c>
      <c r="H1" s="6" t="s">
        <v>681</v>
      </c>
      <c r="I1" s="7" t="s">
        <v>395</v>
      </c>
      <c r="J1" s="6" t="s">
        <v>682</v>
      </c>
      <c r="K1" s="6" t="s">
        <v>683</v>
      </c>
      <c r="L1" s="7" t="s">
        <v>699</v>
      </c>
      <c r="M1" s="6" t="s">
        <v>684</v>
      </c>
      <c r="N1" s="7" t="s">
        <v>659</v>
      </c>
      <c r="O1" s="6" t="s">
        <v>888</v>
      </c>
    </row>
    <row r="2" spans="1:15" x14ac:dyDescent="0.4">
      <c r="A2" s="37">
        <v>1</v>
      </c>
      <c r="B2" s="12" t="s">
        <v>2385</v>
      </c>
      <c r="C2" s="37" t="s">
        <v>2</v>
      </c>
      <c r="D2" s="37" t="s">
        <v>701</v>
      </c>
      <c r="E2" s="12" t="s">
        <v>2362</v>
      </c>
      <c r="F2" s="83">
        <v>43771.018055555556</v>
      </c>
      <c r="G2" s="83">
        <v>43771.038888888892</v>
      </c>
      <c r="H2" s="84">
        <f t="shared" ref="H2:H42" si="0">(G2-F2)*1440</f>
        <v>30.00000000349246</v>
      </c>
      <c r="I2" s="12" t="s">
        <v>2164</v>
      </c>
      <c r="J2" s="12" t="s">
        <v>1521</v>
      </c>
      <c r="K2" s="12" t="s">
        <v>2360</v>
      </c>
      <c r="L2" s="83" t="s">
        <v>701</v>
      </c>
      <c r="M2" s="37" t="s">
        <v>763</v>
      </c>
      <c r="N2" s="48"/>
      <c r="O2" s="38" t="str">
        <f t="shared" ref="O2:O42" si="1">IF(AND(C2=$B$47,H2&lt;=$D$47),"ISLA",IF((AND(C2=$B$48,H2&lt;=$D$48)),"ISLA",IF((AND(C2=$B$49,H2&lt;=$D$49)),"ISLA","OSLA")))</f>
        <v>ISLA</v>
      </c>
    </row>
    <row r="3" spans="1:15" x14ac:dyDescent="0.4">
      <c r="A3" s="37">
        <v>2</v>
      </c>
      <c r="B3" s="12" t="s">
        <v>2386</v>
      </c>
      <c r="C3" s="37" t="s">
        <v>2</v>
      </c>
      <c r="D3" s="37" t="s">
        <v>701</v>
      </c>
      <c r="E3" s="12" t="s">
        <v>1933</v>
      </c>
      <c r="F3" s="83">
        <v>43772.239583333336</v>
      </c>
      <c r="G3" s="83">
        <v>43772.356249999997</v>
      </c>
      <c r="H3" s="84">
        <f t="shared" si="0"/>
        <v>167.99999999231659</v>
      </c>
      <c r="I3" s="12" t="s">
        <v>313</v>
      </c>
      <c r="J3" s="12" t="s">
        <v>879</v>
      </c>
      <c r="K3" s="12" t="s">
        <v>2360</v>
      </c>
      <c r="L3" s="83" t="s">
        <v>701</v>
      </c>
      <c r="M3" s="37" t="s">
        <v>763</v>
      </c>
      <c r="N3" s="12"/>
      <c r="O3" s="38" t="str">
        <f t="shared" si="1"/>
        <v>OSLA</v>
      </c>
    </row>
    <row r="4" spans="1:15" x14ac:dyDescent="0.4">
      <c r="A4" s="37">
        <v>3</v>
      </c>
      <c r="B4" s="12" t="s">
        <v>2387</v>
      </c>
      <c r="C4" s="37" t="s">
        <v>14</v>
      </c>
      <c r="D4" s="37" t="s">
        <v>716</v>
      </c>
      <c r="E4" s="12" t="s">
        <v>2230</v>
      </c>
      <c r="F4" s="83">
        <v>43774.333333333336</v>
      </c>
      <c r="G4" s="83">
        <v>43776.614583333336</v>
      </c>
      <c r="H4" s="84">
        <f t="shared" si="0"/>
        <v>3285</v>
      </c>
      <c r="I4" s="12" t="s">
        <v>2379</v>
      </c>
      <c r="J4" s="12" t="s">
        <v>2500</v>
      </c>
      <c r="K4" s="12" t="s">
        <v>105</v>
      </c>
      <c r="L4" s="37" t="s">
        <v>713</v>
      </c>
      <c r="M4" s="37" t="s">
        <v>763</v>
      </c>
      <c r="N4" s="12"/>
      <c r="O4" s="38" t="str">
        <f t="shared" si="1"/>
        <v>OSLA</v>
      </c>
    </row>
    <row r="5" spans="1:15" x14ac:dyDescent="0.4">
      <c r="A5" s="37">
        <v>4</v>
      </c>
      <c r="B5" s="37" t="s">
        <v>2393</v>
      </c>
      <c r="C5" s="37" t="s">
        <v>2</v>
      </c>
      <c r="D5" s="37" t="s">
        <v>702</v>
      </c>
      <c r="E5" s="12" t="s">
        <v>2394</v>
      </c>
      <c r="F5" s="83">
        <v>43777.25</v>
      </c>
      <c r="G5" s="83">
        <v>43777.604166666664</v>
      </c>
      <c r="H5" s="84">
        <f t="shared" si="0"/>
        <v>509.99999999650754</v>
      </c>
      <c r="I5" s="12" t="s">
        <v>2395</v>
      </c>
      <c r="J5" s="12" t="s">
        <v>2504</v>
      </c>
      <c r="K5" s="12" t="s">
        <v>2503</v>
      </c>
      <c r="L5" s="37" t="s">
        <v>713</v>
      </c>
      <c r="M5" s="37" t="s">
        <v>763</v>
      </c>
      <c r="N5" s="12"/>
      <c r="O5" s="38" t="str">
        <f t="shared" si="1"/>
        <v>OSLA</v>
      </c>
    </row>
    <row r="6" spans="1:15" ht="41.15" x14ac:dyDescent="0.4">
      <c r="A6" s="37">
        <v>5</v>
      </c>
      <c r="B6" s="12" t="s">
        <v>2388</v>
      </c>
      <c r="C6" s="37" t="s">
        <v>2</v>
      </c>
      <c r="D6" s="37" t="s">
        <v>701</v>
      </c>
      <c r="E6" s="12" t="s">
        <v>2389</v>
      </c>
      <c r="F6" s="83">
        <v>43777.350694444445</v>
      </c>
      <c r="G6" s="83">
        <v>43777.385416666664</v>
      </c>
      <c r="H6" s="84">
        <f t="shared" si="0"/>
        <v>49.999999995343387</v>
      </c>
      <c r="I6" s="12" t="s">
        <v>2390</v>
      </c>
      <c r="J6" s="9" t="s">
        <v>2391</v>
      </c>
      <c r="K6" s="9" t="s">
        <v>2392</v>
      </c>
      <c r="L6" s="83" t="s">
        <v>701</v>
      </c>
      <c r="M6" s="37" t="s">
        <v>763</v>
      </c>
      <c r="N6" s="48"/>
      <c r="O6" s="38" t="str">
        <f t="shared" si="1"/>
        <v>ISLA</v>
      </c>
    </row>
    <row r="7" spans="1:15" x14ac:dyDescent="0.4">
      <c r="A7" s="37">
        <v>6</v>
      </c>
      <c r="B7" s="37" t="s">
        <v>2396</v>
      </c>
      <c r="C7" s="37" t="s">
        <v>2</v>
      </c>
      <c r="D7" s="37" t="s">
        <v>701</v>
      </c>
      <c r="E7" s="12" t="s">
        <v>522</v>
      </c>
      <c r="F7" s="83">
        <v>43780.759027777778</v>
      </c>
      <c r="G7" s="83">
        <v>43780.794444444444</v>
      </c>
      <c r="H7" s="84">
        <f t="shared" si="0"/>
        <v>50.999999998603016</v>
      </c>
      <c r="I7" s="12" t="s">
        <v>1857</v>
      </c>
      <c r="J7" s="12" t="s">
        <v>879</v>
      </c>
      <c r="K7" s="12" t="s">
        <v>209</v>
      </c>
      <c r="L7" s="37" t="s">
        <v>701</v>
      </c>
      <c r="M7" s="37" t="s">
        <v>678</v>
      </c>
      <c r="N7" s="12"/>
      <c r="O7" s="38" t="str">
        <f t="shared" si="1"/>
        <v>ISLA</v>
      </c>
    </row>
    <row r="8" spans="1:15" ht="20.6" x14ac:dyDescent="0.4">
      <c r="A8" s="37">
        <v>7</v>
      </c>
      <c r="B8" s="37" t="s">
        <v>2397</v>
      </c>
      <c r="C8" s="37" t="s">
        <v>2</v>
      </c>
      <c r="D8" s="37" t="s">
        <v>702</v>
      </c>
      <c r="E8" s="12" t="s">
        <v>1141</v>
      </c>
      <c r="F8" s="83">
        <v>43780.9375</v>
      </c>
      <c r="G8" s="83">
        <v>43780.959722222222</v>
      </c>
      <c r="H8" s="84">
        <f t="shared" si="0"/>
        <v>31.999999999534339</v>
      </c>
      <c r="I8" s="9" t="s">
        <v>2616</v>
      </c>
      <c r="J8" s="12" t="s">
        <v>2310</v>
      </c>
      <c r="K8" s="12" t="s">
        <v>105</v>
      </c>
      <c r="L8" s="37" t="s">
        <v>704</v>
      </c>
      <c r="M8" s="37" t="s">
        <v>678</v>
      </c>
      <c r="N8" s="12" t="s">
        <v>2398</v>
      </c>
      <c r="O8" s="38" t="str">
        <f t="shared" si="1"/>
        <v>ISLA</v>
      </c>
    </row>
    <row r="9" spans="1:15" ht="20.6" x14ac:dyDescent="0.4">
      <c r="A9" s="37">
        <v>8</v>
      </c>
      <c r="B9" s="37" t="s">
        <v>2399</v>
      </c>
      <c r="C9" s="37" t="s">
        <v>2</v>
      </c>
      <c r="D9" s="37" t="s">
        <v>702</v>
      </c>
      <c r="E9" s="12" t="s">
        <v>1141</v>
      </c>
      <c r="F9" s="83">
        <v>43781.488194444442</v>
      </c>
      <c r="G9" s="83">
        <v>43781.511111111111</v>
      </c>
      <c r="H9" s="84">
        <f t="shared" si="0"/>
        <v>33.000000002793968</v>
      </c>
      <c r="I9" s="9" t="s">
        <v>2616</v>
      </c>
      <c r="J9" s="12" t="s">
        <v>2400</v>
      </c>
      <c r="K9" s="100" t="s">
        <v>2467</v>
      </c>
      <c r="L9" s="37" t="s">
        <v>713</v>
      </c>
      <c r="M9" s="37" t="s">
        <v>678</v>
      </c>
      <c r="N9" s="48"/>
      <c r="O9" s="38" t="str">
        <f t="shared" si="1"/>
        <v>ISLA</v>
      </c>
    </row>
    <row r="10" spans="1:15" x14ac:dyDescent="0.4">
      <c r="A10" s="37">
        <v>9</v>
      </c>
      <c r="B10" s="37" t="s">
        <v>2494</v>
      </c>
      <c r="C10" s="37" t="s">
        <v>2</v>
      </c>
      <c r="D10" s="37" t="s">
        <v>701</v>
      </c>
      <c r="E10" s="12" t="s">
        <v>522</v>
      </c>
      <c r="F10" s="83">
        <v>43781.560416666667</v>
      </c>
      <c r="G10" s="83">
        <v>43781.569444444445</v>
      </c>
      <c r="H10" s="84">
        <f t="shared" si="0"/>
        <v>13.000000000465661</v>
      </c>
      <c r="I10" s="12" t="s">
        <v>1857</v>
      </c>
      <c r="J10" s="12" t="s">
        <v>2496</v>
      </c>
      <c r="K10" s="12" t="s">
        <v>2495</v>
      </c>
      <c r="L10" s="37" t="s">
        <v>701</v>
      </c>
      <c r="M10" s="37" t="s">
        <v>678</v>
      </c>
      <c r="N10" s="48"/>
      <c r="O10" s="38" t="str">
        <f t="shared" si="1"/>
        <v>ISLA</v>
      </c>
    </row>
    <row r="11" spans="1:15" x14ac:dyDescent="0.4">
      <c r="A11" s="37">
        <v>10</v>
      </c>
      <c r="B11" s="37" t="s">
        <v>2401</v>
      </c>
      <c r="C11" s="37" t="s">
        <v>14</v>
      </c>
      <c r="D11" s="37" t="s">
        <v>713</v>
      </c>
      <c r="E11" s="12" t="s">
        <v>2402</v>
      </c>
      <c r="F11" s="83">
        <v>43782.468055555553</v>
      </c>
      <c r="G11" s="83">
        <v>43782.701388888891</v>
      </c>
      <c r="H11" s="84">
        <f t="shared" si="0"/>
        <v>336.00000000558794</v>
      </c>
      <c r="I11" s="12" t="s">
        <v>2403</v>
      </c>
      <c r="J11" s="12" t="s">
        <v>2502</v>
      </c>
      <c r="K11" s="12" t="s">
        <v>2501</v>
      </c>
      <c r="L11" s="37" t="s">
        <v>713</v>
      </c>
      <c r="M11" s="37" t="s">
        <v>678</v>
      </c>
      <c r="N11" s="48"/>
      <c r="O11" s="38" t="str">
        <f t="shared" si="1"/>
        <v>OSLA</v>
      </c>
    </row>
    <row r="12" spans="1:15" x14ac:dyDescent="0.4">
      <c r="A12" s="37">
        <v>11</v>
      </c>
      <c r="B12" s="37" t="s">
        <v>2404</v>
      </c>
      <c r="C12" s="37" t="s">
        <v>2</v>
      </c>
      <c r="D12" s="37" t="s">
        <v>701</v>
      </c>
      <c r="E12" s="12" t="s">
        <v>2405</v>
      </c>
      <c r="F12" s="83">
        <v>43782.611111111109</v>
      </c>
      <c r="G12" s="83">
        <v>43782.669444444444</v>
      </c>
      <c r="H12" s="84">
        <f t="shared" si="0"/>
        <v>84.000000001396984</v>
      </c>
      <c r="I12" s="12" t="s">
        <v>2406</v>
      </c>
      <c r="J12" s="12" t="s">
        <v>2407</v>
      </c>
      <c r="K12" s="12" t="s">
        <v>2408</v>
      </c>
      <c r="L12" s="37" t="s">
        <v>701</v>
      </c>
      <c r="M12" s="37" t="s">
        <v>678</v>
      </c>
      <c r="N12" s="48"/>
      <c r="O12" s="38" t="str">
        <f t="shared" si="1"/>
        <v>ISLA</v>
      </c>
    </row>
    <row r="13" spans="1:15" x14ac:dyDescent="0.4">
      <c r="A13" s="37">
        <v>12</v>
      </c>
      <c r="B13" s="37" t="s">
        <v>2409</v>
      </c>
      <c r="C13" s="37" t="s">
        <v>2</v>
      </c>
      <c r="D13" s="37" t="s">
        <v>701</v>
      </c>
      <c r="E13" s="12" t="s">
        <v>1828</v>
      </c>
      <c r="F13" s="83">
        <v>43783.083333333336</v>
      </c>
      <c r="G13" s="83">
        <v>43783.386111111111</v>
      </c>
      <c r="H13" s="84">
        <f t="shared" si="0"/>
        <v>435.99999999627471</v>
      </c>
      <c r="I13" s="12" t="s">
        <v>313</v>
      </c>
      <c r="J13" s="12" t="s">
        <v>2410</v>
      </c>
      <c r="K13" s="12" t="s">
        <v>2411</v>
      </c>
      <c r="L13" s="37" t="s">
        <v>701</v>
      </c>
      <c r="M13" s="37" t="s">
        <v>678</v>
      </c>
      <c r="N13" s="48"/>
      <c r="O13" s="38" t="str">
        <f t="shared" si="1"/>
        <v>OSLA</v>
      </c>
    </row>
    <row r="14" spans="1:15" x14ac:dyDescent="0.4">
      <c r="A14" s="37">
        <v>13</v>
      </c>
      <c r="B14" s="37" t="s">
        <v>2412</v>
      </c>
      <c r="C14" s="37" t="s">
        <v>2</v>
      </c>
      <c r="D14" s="37" t="s">
        <v>701</v>
      </c>
      <c r="E14" s="12" t="s">
        <v>522</v>
      </c>
      <c r="F14" s="83">
        <v>43783.75277777778</v>
      </c>
      <c r="G14" s="83">
        <v>43783.762499999997</v>
      </c>
      <c r="H14" s="84">
        <f t="shared" si="0"/>
        <v>13.999999993247911</v>
      </c>
      <c r="I14" s="12" t="s">
        <v>1857</v>
      </c>
      <c r="J14" s="12" t="s">
        <v>879</v>
      </c>
      <c r="K14" s="12" t="s">
        <v>209</v>
      </c>
      <c r="L14" s="37" t="s">
        <v>701</v>
      </c>
      <c r="M14" s="37" t="s">
        <v>678</v>
      </c>
      <c r="N14" s="48"/>
      <c r="O14" s="38" t="str">
        <f t="shared" si="1"/>
        <v>ISLA</v>
      </c>
    </row>
    <row r="15" spans="1:15" x14ac:dyDescent="0.4">
      <c r="A15" s="37">
        <v>14</v>
      </c>
      <c r="B15" s="37" t="s">
        <v>2415</v>
      </c>
      <c r="C15" s="37" t="s">
        <v>2</v>
      </c>
      <c r="D15" s="37" t="s">
        <v>702</v>
      </c>
      <c r="E15" s="12" t="s">
        <v>2416</v>
      </c>
      <c r="F15" s="83">
        <v>43784.375</v>
      </c>
      <c r="G15" s="83">
        <v>43784.534722222219</v>
      </c>
      <c r="H15" s="84">
        <f t="shared" si="0"/>
        <v>229.99999999534339</v>
      </c>
      <c r="I15" s="12" t="s">
        <v>2417</v>
      </c>
      <c r="J15" s="12" t="s">
        <v>2418</v>
      </c>
      <c r="K15" s="12" t="s">
        <v>2419</v>
      </c>
      <c r="L15" s="37" t="s">
        <v>889</v>
      </c>
      <c r="M15" s="37" t="s">
        <v>678</v>
      </c>
      <c r="N15" s="48"/>
      <c r="O15" s="38" t="str">
        <f t="shared" si="1"/>
        <v>OSLA</v>
      </c>
    </row>
    <row r="16" spans="1:15" x14ac:dyDescent="0.4">
      <c r="A16" s="37">
        <v>15</v>
      </c>
      <c r="B16" s="151" t="s">
        <v>2413</v>
      </c>
      <c r="C16" s="37" t="s">
        <v>2</v>
      </c>
      <c r="D16" s="37" t="s">
        <v>702</v>
      </c>
      <c r="E16" s="12" t="s">
        <v>2079</v>
      </c>
      <c r="F16" s="83">
        <v>43784.381944444445</v>
      </c>
      <c r="G16" s="83">
        <v>43784.440972222219</v>
      </c>
      <c r="H16" s="84">
        <f t="shared" si="0"/>
        <v>84.999999994179234</v>
      </c>
      <c r="I16" s="12" t="s">
        <v>1937</v>
      </c>
      <c r="J16" s="12" t="s">
        <v>2414</v>
      </c>
      <c r="K16" s="12" t="s">
        <v>2499</v>
      </c>
      <c r="L16" s="37" t="s">
        <v>2351</v>
      </c>
      <c r="M16" s="37" t="s">
        <v>678</v>
      </c>
      <c r="N16" s="48"/>
      <c r="O16" s="38" t="str">
        <f t="shared" si="1"/>
        <v>ISLA</v>
      </c>
    </row>
    <row r="17" spans="1:15" ht="20.6" x14ac:dyDescent="0.4">
      <c r="A17" s="37">
        <v>16</v>
      </c>
      <c r="B17" s="37" t="s">
        <v>2420</v>
      </c>
      <c r="C17" s="37" t="s">
        <v>2</v>
      </c>
      <c r="D17" s="37" t="s">
        <v>702</v>
      </c>
      <c r="E17" s="12" t="s">
        <v>1141</v>
      </c>
      <c r="F17" s="83">
        <v>43784.446527777778</v>
      </c>
      <c r="G17" s="83">
        <v>43784.470833333333</v>
      </c>
      <c r="H17" s="84">
        <f t="shared" si="0"/>
        <v>34.999999998835847</v>
      </c>
      <c r="I17" s="9" t="s">
        <v>2616</v>
      </c>
      <c r="J17" s="12" t="s">
        <v>2421</v>
      </c>
      <c r="K17" s="100" t="s">
        <v>2467</v>
      </c>
      <c r="L17" s="37" t="s">
        <v>713</v>
      </c>
      <c r="M17" s="37" t="s">
        <v>678</v>
      </c>
      <c r="N17" s="48"/>
      <c r="O17" s="38" t="str">
        <f t="shared" si="1"/>
        <v>ISLA</v>
      </c>
    </row>
    <row r="18" spans="1:15" x14ac:dyDescent="0.4">
      <c r="A18" s="37">
        <v>17</v>
      </c>
      <c r="B18" s="37" t="s">
        <v>2425</v>
      </c>
      <c r="C18" s="37" t="s">
        <v>2</v>
      </c>
      <c r="D18" s="37" t="s">
        <v>715</v>
      </c>
      <c r="E18" s="12" t="s">
        <v>1141</v>
      </c>
      <c r="F18" s="83">
        <v>43785.861111111109</v>
      </c>
      <c r="G18" s="83">
        <v>43785.916666666664</v>
      </c>
      <c r="H18" s="84">
        <f t="shared" si="0"/>
        <v>79.999999998835847</v>
      </c>
      <c r="I18" s="12" t="s">
        <v>2426</v>
      </c>
      <c r="J18" s="12" t="s">
        <v>2497</v>
      </c>
      <c r="K18" s="12" t="s">
        <v>105</v>
      </c>
      <c r="L18" s="37" t="s">
        <v>715</v>
      </c>
      <c r="M18" s="37" t="s">
        <v>678</v>
      </c>
      <c r="N18" s="48"/>
      <c r="O18" s="38" t="str">
        <f t="shared" si="1"/>
        <v>ISLA</v>
      </c>
    </row>
    <row r="19" spans="1:15" x14ac:dyDescent="0.4">
      <c r="A19" s="37">
        <v>18</v>
      </c>
      <c r="B19" s="37" t="s">
        <v>2422</v>
      </c>
      <c r="C19" s="37" t="s">
        <v>2</v>
      </c>
      <c r="D19" s="37" t="s">
        <v>701</v>
      </c>
      <c r="E19" s="12" t="s">
        <v>2050</v>
      </c>
      <c r="F19" s="83">
        <v>43785.9375</v>
      </c>
      <c r="G19" s="83">
        <v>43785.989583333336</v>
      </c>
      <c r="H19" s="84">
        <f t="shared" si="0"/>
        <v>75.00000000349246</v>
      </c>
      <c r="I19" s="12" t="s">
        <v>313</v>
      </c>
      <c r="J19" s="12" t="s">
        <v>879</v>
      </c>
      <c r="K19" s="12" t="s">
        <v>209</v>
      </c>
      <c r="L19" s="37" t="s">
        <v>701</v>
      </c>
      <c r="M19" s="37" t="s">
        <v>678</v>
      </c>
      <c r="N19" s="48"/>
      <c r="O19" s="38" t="str">
        <f t="shared" si="1"/>
        <v>ISLA</v>
      </c>
    </row>
    <row r="20" spans="1:15" x14ac:dyDescent="0.4">
      <c r="A20" s="37">
        <v>19</v>
      </c>
      <c r="B20" s="37" t="s">
        <v>2423</v>
      </c>
      <c r="C20" s="37" t="s">
        <v>2</v>
      </c>
      <c r="D20" s="37" t="s">
        <v>707</v>
      </c>
      <c r="E20" s="12" t="s">
        <v>147</v>
      </c>
      <c r="F20" s="83">
        <v>43786.479166666664</v>
      </c>
      <c r="G20" s="83">
        <v>43786.634722222225</v>
      </c>
      <c r="H20" s="84">
        <f t="shared" si="0"/>
        <v>224.00000000721775</v>
      </c>
      <c r="I20" s="12" t="s">
        <v>1533</v>
      </c>
      <c r="J20" s="12" t="s">
        <v>2428</v>
      </c>
      <c r="K20" s="12" t="s">
        <v>2427</v>
      </c>
      <c r="L20" s="37" t="s">
        <v>2424</v>
      </c>
      <c r="M20" s="37" t="s">
        <v>678</v>
      </c>
      <c r="N20" s="48"/>
      <c r="O20" s="38" t="str">
        <f t="shared" si="1"/>
        <v>OSLA</v>
      </c>
    </row>
    <row r="21" spans="1:15" x14ac:dyDescent="0.4">
      <c r="A21" s="37">
        <v>20</v>
      </c>
      <c r="B21" s="37" t="s">
        <v>2429</v>
      </c>
      <c r="C21" s="37" t="s">
        <v>2</v>
      </c>
      <c r="D21" s="37" t="s">
        <v>701</v>
      </c>
      <c r="E21" s="12" t="s">
        <v>2430</v>
      </c>
      <c r="F21" s="83">
        <v>43787.090277777781</v>
      </c>
      <c r="G21" s="83">
        <v>43789.069444444445</v>
      </c>
      <c r="H21" s="84">
        <f t="shared" si="0"/>
        <v>2849.9999999965075</v>
      </c>
      <c r="I21" s="12" t="s">
        <v>1344</v>
      </c>
      <c r="J21" s="12" t="s">
        <v>1997</v>
      </c>
      <c r="K21" s="100" t="s">
        <v>209</v>
      </c>
      <c r="L21" s="37" t="s">
        <v>701</v>
      </c>
      <c r="M21" s="37" t="s">
        <v>678</v>
      </c>
      <c r="N21" s="12"/>
      <c r="O21" s="38" t="str">
        <f t="shared" si="1"/>
        <v>OSLA</v>
      </c>
    </row>
    <row r="22" spans="1:15" x14ac:dyDescent="0.4">
      <c r="A22" s="37">
        <v>21</v>
      </c>
      <c r="B22" s="37" t="s">
        <v>2431</v>
      </c>
      <c r="C22" s="37" t="s">
        <v>2</v>
      </c>
      <c r="D22" s="37" t="s">
        <v>702</v>
      </c>
      <c r="E22" s="12" t="s">
        <v>228</v>
      </c>
      <c r="F22" s="83">
        <v>43787.461805555555</v>
      </c>
      <c r="G22" s="83">
        <v>43787.523611111108</v>
      </c>
      <c r="H22" s="84">
        <f t="shared" si="0"/>
        <v>88.999999996740371</v>
      </c>
      <c r="I22" s="12" t="s">
        <v>2432</v>
      </c>
      <c r="J22" s="12" t="s">
        <v>2433</v>
      </c>
      <c r="K22" s="12" t="s">
        <v>2434</v>
      </c>
      <c r="L22" s="37" t="s">
        <v>707</v>
      </c>
      <c r="M22" s="37" t="s">
        <v>678</v>
      </c>
      <c r="N22" s="12" t="s">
        <v>2435</v>
      </c>
      <c r="O22" s="38" t="str">
        <f t="shared" si="1"/>
        <v>ISLA</v>
      </c>
    </row>
    <row r="23" spans="1:15" x14ac:dyDescent="0.4">
      <c r="A23" s="37">
        <v>22</v>
      </c>
      <c r="B23" s="37" t="s">
        <v>2440</v>
      </c>
      <c r="C23" s="37" t="s">
        <v>14</v>
      </c>
      <c r="D23" s="37" t="s">
        <v>2441</v>
      </c>
      <c r="E23" s="12" t="s">
        <v>443</v>
      </c>
      <c r="F23" s="83">
        <v>43788.715277777781</v>
      </c>
      <c r="G23" s="83">
        <v>43789.373611111114</v>
      </c>
      <c r="H23" s="84">
        <f t="shared" si="0"/>
        <v>947.99999999930151</v>
      </c>
      <c r="I23" s="12" t="s">
        <v>2442</v>
      </c>
      <c r="J23" s="12" t="s">
        <v>2443</v>
      </c>
      <c r="K23" s="9" t="s">
        <v>2444</v>
      </c>
      <c r="L23" s="37" t="s">
        <v>2445</v>
      </c>
      <c r="M23" s="37" t="s">
        <v>678</v>
      </c>
      <c r="N23" s="12"/>
      <c r="O23" s="38" t="str">
        <f t="shared" si="1"/>
        <v>OSLA</v>
      </c>
    </row>
    <row r="24" spans="1:15" x14ac:dyDescent="0.4">
      <c r="A24" s="37">
        <v>23</v>
      </c>
      <c r="B24" s="37" t="s">
        <v>2436</v>
      </c>
      <c r="C24" s="37" t="s">
        <v>2</v>
      </c>
      <c r="D24" s="37" t="s">
        <v>702</v>
      </c>
      <c r="E24" s="12" t="s">
        <v>2437</v>
      </c>
      <c r="F24" s="83">
        <v>43788.979166666664</v>
      </c>
      <c r="G24" s="83">
        <v>43789.194444444445</v>
      </c>
      <c r="H24" s="84">
        <f t="shared" si="0"/>
        <v>310.00000000465661</v>
      </c>
      <c r="I24" s="12" t="s">
        <v>2426</v>
      </c>
      <c r="J24" s="12" t="s">
        <v>2497</v>
      </c>
      <c r="K24" s="12" t="s">
        <v>105</v>
      </c>
      <c r="L24" s="37" t="s">
        <v>704</v>
      </c>
      <c r="M24" s="37" t="s">
        <v>678</v>
      </c>
      <c r="N24" s="12" t="s">
        <v>2438</v>
      </c>
      <c r="O24" s="38" t="str">
        <f t="shared" si="1"/>
        <v>OSLA</v>
      </c>
    </row>
    <row r="25" spans="1:15" x14ac:dyDescent="0.4">
      <c r="A25" s="37">
        <v>24</v>
      </c>
      <c r="B25" s="37" t="s">
        <v>2413</v>
      </c>
      <c r="C25" s="37" t="s">
        <v>2</v>
      </c>
      <c r="D25" s="37" t="s">
        <v>702</v>
      </c>
      <c r="E25" s="12" t="s">
        <v>1633</v>
      </c>
      <c r="F25" s="83">
        <v>43789.214583333334</v>
      </c>
      <c r="G25" s="83">
        <v>43789.298611111109</v>
      </c>
      <c r="H25" s="84">
        <f t="shared" si="0"/>
        <v>120.99999999627471</v>
      </c>
      <c r="I25" s="12" t="s">
        <v>1586</v>
      </c>
      <c r="J25" s="12" t="s">
        <v>1469</v>
      </c>
      <c r="K25" s="12" t="s">
        <v>105</v>
      </c>
      <c r="L25" s="37" t="s">
        <v>701</v>
      </c>
      <c r="M25" s="37" t="s">
        <v>678</v>
      </c>
      <c r="N25" s="12"/>
      <c r="O25" s="38" t="str">
        <f t="shared" si="1"/>
        <v>OSLA</v>
      </c>
    </row>
    <row r="26" spans="1:15" x14ac:dyDescent="0.4">
      <c r="A26" s="37">
        <v>25</v>
      </c>
      <c r="B26" s="37" t="s">
        <v>2439</v>
      </c>
      <c r="C26" s="37" t="s">
        <v>2</v>
      </c>
      <c r="D26" s="37" t="s">
        <v>701</v>
      </c>
      <c r="E26" s="12" t="s">
        <v>2430</v>
      </c>
      <c r="F26" s="83">
        <v>43789.243750000001</v>
      </c>
      <c r="G26" s="83">
        <v>43790.645833333336</v>
      </c>
      <c r="H26" s="84">
        <f t="shared" si="0"/>
        <v>2019.000000001397</v>
      </c>
      <c r="I26" s="12" t="s">
        <v>1344</v>
      </c>
      <c r="J26" s="12" t="s">
        <v>1997</v>
      </c>
      <c r="K26" s="100" t="s">
        <v>209</v>
      </c>
      <c r="L26" s="37" t="s">
        <v>701</v>
      </c>
      <c r="M26" s="37" t="s">
        <v>678</v>
      </c>
      <c r="N26" s="12"/>
      <c r="O26" s="38" t="str">
        <f t="shared" si="1"/>
        <v>OSLA</v>
      </c>
    </row>
    <row r="27" spans="1:15" x14ac:dyDescent="0.4">
      <c r="A27" s="37">
        <v>26</v>
      </c>
      <c r="B27" s="37" t="s">
        <v>2446</v>
      </c>
      <c r="C27" s="37" t="s">
        <v>2</v>
      </c>
      <c r="D27" s="37" t="s">
        <v>702</v>
      </c>
      <c r="E27" s="12" t="s">
        <v>2447</v>
      </c>
      <c r="F27" s="83">
        <v>43790.364583333336</v>
      </c>
      <c r="G27" s="83">
        <v>43790.4375</v>
      </c>
      <c r="H27" s="84">
        <f t="shared" si="0"/>
        <v>104.99999999650754</v>
      </c>
      <c r="I27" s="12" t="s">
        <v>313</v>
      </c>
      <c r="J27" s="12" t="s">
        <v>1469</v>
      </c>
      <c r="K27" s="12" t="s">
        <v>105</v>
      </c>
      <c r="L27" s="37" t="s">
        <v>701</v>
      </c>
      <c r="M27" s="37" t="s">
        <v>678</v>
      </c>
      <c r="N27" s="12"/>
      <c r="O27" s="38" t="str">
        <f t="shared" si="1"/>
        <v>ISLA</v>
      </c>
    </row>
    <row r="28" spans="1:15" x14ac:dyDescent="0.4">
      <c r="A28" s="37">
        <v>27</v>
      </c>
      <c r="B28" s="37" t="s">
        <v>2448</v>
      </c>
      <c r="C28" s="37" t="s">
        <v>2</v>
      </c>
      <c r="D28" s="37" t="s">
        <v>701</v>
      </c>
      <c r="E28" s="12" t="s">
        <v>907</v>
      </c>
      <c r="F28" s="83">
        <v>43790.451388888891</v>
      </c>
      <c r="G28" s="83">
        <v>43790.489583333336</v>
      </c>
      <c r="H28" s="84">
        <f t="shared" si="0"/>
        <v>55.000000001164153</v>
      </c>
      <c r="I28" s="12" t="s">
        <v>2164</v>
      </c>
      <c r="J28" s="12" t="s">
        <v>1521</v>
      </c>
      <c r="K28" s="12" t="s">
        <v>209</v>
      </c>
      <c r="L28" s="37" t="s">
        <v>701</v>
      </c>
      <c r="M28" s="37" t="s">
        <v>678</v>
      </c>
      <c r="N28" s="12"/>
      <c r="O28" s="38" t="str">
        <f t="shared" si="1"/>
        <v>ISLA</v>
      </c>
    </row>
    <row r="29" spans="1:15" x14ac:dyDescent="0.4">
      <c r="A29" s="37">
        <v>28</v>
      </c>
      <c r="B29" s="37" t="s">
        <v>2449</v>
      </c>
      <c r="C29" s="37" t="s">
        <v>2</v>
      </c>
      <c r="D29" s="37" t="s">
        <v>701</v>
      </c>
      <c r="E29" s="12" t="s">
        <v>522</v>
      </c>
      <c r="F29" s="83">
        <v>43790.512499999997</v>
      </c>
      <c r="G29" s="83">
        <v>43790.53125</v>
      </c>
      <c r="H29" s="84">
        <f t="shared" si="0"/>
        <v>27.000000004190952</v>
      </c>
      <c r="I29" s="12" t="s">
        <v>2450</v>
      </c>
      <c r="J29" s="12" t="s">
        <v>2451</v>
      </c>
      <c r="K29" s="12" t="s">
        <v>20</v>
      </c>
      <c r="L29" s="37" t="s">
        <v>701</v>
      </c>
      <c r="M29" s="37" t="s">
        <v>678</v>
      </c>
      <c r="N29" s="12"/>
      <c r="O29" s="38" t="str">
        <f t="shared" si="1"/>
        <v>ISLA</v>
      </c>
    </row>
    <row r="30" spans="1:15" ht="20.6" x14ac:dyDescent="0.4">
      <c r="A30" s="37">
        <v>29</v>
      </c>
      <c r="B30" s="37" t="s">
        <v>2452</v>
      </c>
      <c r="C30" s="37" t="s">
        <v>2</v>
      </c>
      <c r="D30" s="37" t="s">
        <v>702</v>
      </c>
      <c r="E30" s="12" t="s">
        <v>1141</v>
      </c>
      <c r="F30" s="83">
        <v>43790.572916666664</v>
      </c>
      <c r="G30" s="83">
        <v>43790.613888888889</v>
      </c>
      <c r="H30" s="84">
        <f t="shared" si="0"/>
        <v>59.00000000372529</v>
      </c>
      <c r="I30" s="9" t="s">
        <v>2616</v>
      </c>
      <c r="J30" s="12" t="s">
        <v>2453</v>
      </c>
      <c r="K30" s="100" t="s">
        <v>2467</v>
      </c>
      <c r="L30" s="37" t="s">
        <v>713</v>
      </c>
      <c r="M30" s="37" t="s">
        <v>678</v>
      </c>
      <c r="N30" s="12"/>
      <c r="O30" s="38" t="str">
        <f t="shared" si="1"/>
        <v>ISLA</v>
      </c>
    </row>
    <row r="31" spans="1:15" x14ac:dyDescent="0.4">
      <c r="A31" s="37">
        <v>30</v>
      </c>
      <c r="B31" s="151" t="s">
        <v>2454</v>
      </c>
      <c r="C31" s="37" t="s">
        <v>2</v>
      </c>
      <c r="D31" s="37" t="s">
        <v>702</v>
      </c>
      <c r="E31" s="12" t="s">
        <v>2455</v>
      </c>
      <c r="F31" s="83">
        <v>43791.1875</v>
      </c>
      <c r="G31" s="83">
        <v>43791.461805555555</v>
      </c>
      <c r="H31" s="84">
        <f t="shared" si="0"/>
        <v>394.99999999883585</v>
      </c>
      <c r="I31" s="12" t="s">
        <v>1937</v>
      </c>
      <c r="J31" s="12" t="s">
        <v>2498</v>
      </c>
      <c r="K31" s="12" t="s">
        <v>2499</v>
      </c>
      <c r="L31" s="37" t="s">
        <v>2033</v>
      </c>
      <c r="M31" s="37" t="s">
        <v>678</v>
      </c>
      <c r="N31" s="12"/>
      <c r="O31" s="38" t="str">
        <f t="shared" si="1"/>
        <v>OSLA</v>
      </c>
    </row>
    <row r="32" spans="1:15" x14ac:dyDescent="0.4">
      <c r="A32" s="37">
        <v>31</v>
      </c>
      <c r="B32" s="37" t="s">
        <v>2457</v>
      </c>
      <c r="C32" s="37" t="s">
        <v>2</v>
      </c>
      <c r="D32" s="102" t="s">
        <v>847</v>
      </c>
      <c r="E32" s="20" t="s">
        <v>1828</v>
      </c>
      <c r="F32" s="83">
        <v>43792.395833333336</v>
      </c>
      <c r="G32" s="83">
        <v>43796.09097222222</v>
      </c>
      <c r="H32" s="84">
        <f t="shared" si="0"/>
        <v>5320.9999999939464</v>
      </c>
      <c r="I32" s="12" t="s">
        <v>313</v>
      </c>
      <c r="J32" s="12" t="s">
        <v>2458</v>
      </c>
      <c r="K32" s="12" t="s">
        <v>1654</v>
      </c>
      <c r="L32" s="37" t="s">
        <v>701</v>
      </c>
      <c r="M32" s="37" t="s">
        <v>678</v>
      </c>
      <c r="N32" s="12"/>
      <c r="O32" s="38" t="str">
        <f t="shared" si="1"/>
        <v>OSLA</v>
      </c>
    </row>
    <row r="33" spans="1:15" x14ac:dyDescent="0.4">
      <c r="A33" s="37">
        <v>32</v>
      </c>
      <c r="B33" s="37" t="s">
        <v>2456</v>
      </c>
      <c r="C33" s="37" t="s">
        <v>2</v>
      </c>
      <c r="D33" s="37" t="s">
        <v>701</v>
      </c>
      <c r="E33" s="12" t="s">
        <v>2050</v>
      </c>
      <c r="F33" s="83">
        <v>43792.629166666666</v>
      </c>
      <c r="G33" s="83">
        <v>43792.663888888892</v>
      </c>
      <c r="H33" s="84">
        <f t="shared" si="0"/>
        <v>50.000000005820766</v>
      </c>
      <c r="I33" s="12" t="s">
        <v>313</v>
      </c>
      <c r="J33" s="12" t="s">
        <v>879</v>
      </c>
      <c r="K33" s="100" t="s">
        <v>209</v>
      </c>
      <c r="L33" s="37" t="s">
        <v>701</v>
      </c>
      <c r="M33" s="37" t="s">
        <v>678</v>
      </c>
      <c r="N33" s="12"/>
      <c r="O33" s="38" t="str">
        <f t="shared" si="1"/>
        <v>ISLA</v>
      </c>
    </row>
    <row r="34" spans="1:15" s="73" customFormat="1" ht="20.6" x14ac:dyDescent="0.4">
      <c r="A34" s="37">
        <v>33</v>
      </c>
      <c r="B34" s="37" t="s">
        <v>2459</v>
      </c>
      <c r="C34" s="37" t="s">
        <v>2</v>
      </c>
      <c r="D34" s="37" t="s">
        <v>701</v>
      </c>
      <c r="E34" s="12" t="s">
        <v>2460</v>
      </c>
      <c r="F34" s="83">
        <v>43794.364583333336</v>
      </c>
      <c r="G34" s="83">
        <v>43794.677083333336</v>
      </c>
      <c r="H34" s="84">
        <f t="shared" si="0"/>
        <v>450</v>
      </c>
      <c r="I34" s="12" t="s">
        <v>2491</v>
      </c>
      <c r="J34" s="12" t="s">
        <v>2492</v>
      </c>
      <c r="K34" s="9" t="s">
        <v>2493</v>
      </c>
      <c r="L34" s="37" t="s">
        <v>701</v>
      </c>
      <c r="M34" s="37" t="s">
        <v>678</v>
      </c>
      <c r="N34" s="142"/>
      <c r="O34" s="38" t="str">
        <f t="shared" si="1"/>
        <v>OSLA</v>
      </c>
    </row>
    <row r="35" spans="1:15" s="73" customFormat="1" x14ac:dyDescent="0.4">
      <c r="A35" s="37">
        <v>34</v>
      </c>
      <c r="B35" s="37" t="s">
        <v>2461</v>
      </c>
      <c r="C35" s="37" t="s">
        <v>2</v>
      </c>
      <c r="D35" s="37" t="s">
        <v>702</v>
      </c>
      <c r="E35" s="12" t="s">
        <v>2462</v>
      </c>
      <c r="F35" s="83">
        <v>43794.635416666664</v>
      </c>
      <c r="G35" s="83">
        <v>43794.930555555555</v>
      </c>
      <c r="H35" s="84">
        <f t="shared" si="0"/>
        <v>425.00000000232831</v>
      </c>
      <c r="I35" s="12" t="s">
        <v>2463</v>
      </c>
      <c r="J35" s="12" t="s">
        <v>2464</v>
      </c>
      <c r="K35" s="12" t="s">
        <v>2465</v>
      </c>
      <c r="L35" s="37" t="s">
        <v>889</v>
      </c>
      <c r="M35" s="37" t="s">
        <v>678</v>
      </c>
      <c r="N35" s="142"/>
      <c r="O35" s="38" t="str">
        <f t="shared" si="1"/>
        <v>OSLA</v>
      </c>
    </row>
    <row r="36" spans="1:15" s="73" customFormat="1" ht="20.6" x14ac:dyDescent="0.4">
      <c r="A36" s="37">
        <v>35</v>
      </c>
      <c r="B36" s="37" t="s">
        <v>2466</v>
      </c>
      <c r="C36" s="37" t="s">
        <v>2</v>
      </c>
      <c r="D36" s="37" t="s">
        <v>702</v>
      </c>
      <c r="E36" s="12" t="s">
        <v>1141</v>
      </c>
      <c r="F36" s="83">
        <v>43794.646527777775</v>
      </c>
      <c r="G36" s="83">
        <v>43794.660416666666</v>
      </c>
      <c r="H36" s="84">
        <f t="shared" si="0"/>
        <v>20.000000002328306</v>
      </c>
      <c r="I36" s="9" t="s">
        <v>2616</v>
      </c>
      <c r="J36" s="12" t="s">
        <v>2453</v>
      </c>
      <c r="K36" s="100" t="s">
        <v>2467</v>
      </c>
      <c r="L36" s="37" t="s">
        <v>713</v>
      </c>
      <c r="M36" s="37" t="s">
        <v>678</v>
      </c>
      <c r="N36" s="142"/>
      <c r="O36" s="38" t="str">
        <f t="shared" si="1"/>
        <v>ISLA</v>
      </c>
    </row>
    <row r="37" spans="1:15" s="73" customFormat="1" x14ac:dyDescent="0.4">
      <c r="A37" s="37">
        <v>36</v>
      </c>
      <c r="B37" s="37" t="s">
        <v>2468</v>
      </c>
      <c r="C37" s="37" t="s">
        <v>2</v>
      </c>
      <c r="D37" s="37" t="s">
        <v>2469</v>
      </c>
      <c r="E37" s="12" t="s">
        <v>2470</v>
      </c>
      <c r="F37" s="83">
        <v>43795.006944444445</v>
      </c>
      <c r="G37" s="83">
        <v>43795.038194444445</v>
      </c>
      <c r="H37" s="84">
        <f t="shared" si="0"/>
        <v>45</v>
      </c>
      <c r="I37" s="12" t="s">
        <v>2471</v>
      </c>
      <c r="J37" s="12" t="s">
        <v>2472</v>
      </c>
      <c r="K37" s="12" t="s">
        <v>2473</v>
      </c>
      <c r="L37" s="37" t="s">
        <v>701</v>
      </c>
      <c r="M37" s="37" t="s">
        <v>678</v>
      </c>
      <c r="N37" s="48"/>
      <c r="O37" s="38" t="str">
        <f t="shared" si="1"/>
        <v>ISLA</v>
      </c>
    </row>
    <row r="38" spans="1:15" s="73" customFormat="1" x14ac:dyDescent="0.4">
      <c r="A38" s="37">
        <v>37</v>
      </c>
      <c r="B38" s="37" t="s">
        <v>2474</v>
      </c>
      <c r="C38" s="37" t="s">
        <v>2</v>
      </c>
      <c r="D38" s="37" t="s">
        <v>701</v>
      </c>
      <c r="E38" s="12" t="s">
        <v>2475</v>
      </c>
      <c r="F38" s="83">
        <v>43796.392361111109</v>
      </c>
      <c r="G38" s="83">
        <v>43796.400694444441</v>
      </c>
      <c r="H38" s="84">
        <f t="shared" si="0"/>
        <v>11.999999997206032</v>
      </c>
      <c r="I38" s="12" t="s">
        <v>2476</v>
      </c>
      <c r="J38" s="12" t="s">
        <v>2477</v>
      </c>
      <c r="K38" s="100" t="s">
        <v>1688</v>
      </c>
      <c r="L38" s="37" t="s">
        <v>701</v>
      </c>
      <c r="M38" s="37" t="s">
        <v>678</v>
      </c>
      <c r="N38" s="12"/>
      <c r="O38" s="38" t="str">
        <f t="shared" si="1"/>
        <v>ISLA</v>
      </c>
    </row>
    <row r="39" spans="1:15" s="73" customFormat="1" x14ac:dyDescent="0.4">
      <c r="A39" s="37">
        <v>38</v>
      </c>
      <c r="B39" s="37" t="s">
        <v>2393</v>
      </c>
      <c r="C39" s="37" t="s">
        <v>2</v>
      </c>
      <c r="D39" s="37" t="s">
        <v>702</v>
      </c>
      <c r="E39" s="12" t="s">
        <v>1684</v>
      </c>
      <c r="F39" s="83">
        <v>43797.013888888891</v>
      </c>
      <c r="G39" s="83">
        <v>43797.357638888891</v>
      </c>
      <c r="H39" s="84">
        <f t="shared" si="0"/>
        <v>495</v>
      </c>
      <c r="I39" s="12" t="s">
        <v>2478</v>
      </c>
      <c r="J39" s="12" t="s">
        <v>2479</v>
      </c>
      <c r="K39" s="100" t="s">
        <v>2480</v>
      </c>
      <c r="L39" s="37" t="s">
        <v>703</v>
      </c>
      <c r="M39" s="37" t="s">
        <v>678</v>
      </c>
      <c r="N39" s="48"/>
      <c r="O39" s="38" t="str">
        <f t="shared" si="1"/>
        <v>OSLA</v>
      </c>
    </row>
    <row r="40" spans="1:15" s="73" customFormat="1" ht="20.6" x14ac:dyDescent="0.4">
      <c r="A40" s="37">
        <v>39</v>
      </c>
      <c r="B40" s="37" t="s">
        <v>2481</v>
      </c>
      <c r="C40" s="37" t="s">
        <v>2</v>
      </c>
      <c r="D40" s="37" t="s">
        <v>702</v>
      </c>
      <c r="E40" s="12" t="s">
        <v>40</v>
      </c>
      <c r="F40" s="102">
        <v>43797.104166666664</v>
      </c>
      <c r="G40" s="83">
        <v>43797.53125</v>
      </c>
      <c r="H40" s="84">
        <f t="shared" si="0"/>
        <v>615.00000000349246</v>
      </c>
      <c r="I40" s="12" t="s">
        <v>2482</v>
      </c>
      <c r="J40" s="12" t="s">
        <v>2483</v>
      </c>
      <c r="K40" s="9" t="s">
        <v>2484</v>
      </c>
      <c r="L40" s="37" t="s">
        <v>2485</v>
      </c>
      <c r="M40" s="37" t="s">
        <v>678</v>
      </c>
      <c r="N40" s="48"/>
      <c r="O40" s="38" t="str">
        <f t="shared" si="1"/>
        <v>OSLA</v>
      </c>
    </row>
    <row r="41" spans="1:15" s="73" customFormat="1" ht="20.6" x14ac:dyDescent="0.4">
      <c r="A41" s="37">
        <v>40</v>
      </c>
      <c r="B41" s="37" t="s">
        <v>2393</v>
      </c>
      <c r="C41" s="37" t="s">
        <v>2</v>
      </c>
      <c r="D41" s="37" t="s">
        <v>702</v>
      </c>
      <c r="E41" s="12" t="s">
        <v>2486</v>
      </c>
      <c r="F41" s="83">
        <v>43797.854166666664</v>
      </c>
      <c r="G41" s="83">
        <v>43797.875</v>
      </c>
      <c r="H41" s="84">
        <f t="shared" si="0"/>
        <v>30.00000000349246</v>
      </c>
      <c r="I41" s="12" t="s">
        <v>2487</v>
      </c>
      <c r="J41" s="12" t="s">
        <v>2488</v>
      </c>
      <c r="K41" s="9" t="s">
        <v>2619</v>
      </c>
      <c r="L41" s="37" t="s">
        <v>703</v>
      </c>
      <c r="M41" s="37" t="s">
        <v>678</v>
      </c>
      <c r="N41" s="48"/>
      <c r="O41" s="38" t="str">
        <f t="shared" si="1"/>
        <v>ISLA</v>
      </c>
    </row>
    <row r="42" spans="1:15" s="73" customFormat="1" x14ac:dyDescent="0.4">
      <c r="A42" s="37">
        <v>41</v>
      </c>
      <c r="B42" s="37" t="s">
        <v>2393</v>
      </c>
      <c r="C42" s="37" t="s">
        <v>2</v>
      </c>
      <c r="D42" s="37" t="s">
        <v>702</v>
      </c>
      <c r="E42" s="12" t="s">
        <v>1633</v>
      </c>
      <c r="F42" s="83">
        <v>43799.494444444441</v>
      </c>
      <c r="G42" s="83">
        <v>43799.570833333331</v>
      </c>
      <c r="H42" s="84">
        <f t="shared" si="0"/>
        <v>110.00000000232831</v>
      </c>
      <c r="I42" s="12" t="s">
        <v>1586</v>
      </c>
      <c r="J42" s="12" t="s">
        <v>2489</v>
      </c>
      <c r="K42" s="12" t="s">
        <v>2490</v>
      </c>
      <c r="L42" s="37" t="s">
        <v>1590</v>
      </c>
      <c r="M42" s="37" t="s">
        <v>678</v>
      </c>
      <c r="N42" s="12"/>
      <c r="O42" s="38" t="str">
        <f t="shared" si="1"/>
        <v>ISLA</v>
      </c>
    </row>
    <row r="43" spans="1:15" s="73" customFormat="1" x14ac:dyDescent="0.4">
      <c r="A43" s="128"/>
      <c r="B43" s="128"/>
      <c r="C43" s="128"/>
      <c r="D43" s="128"/>
      <c r="J43"/>
      <c r="K43" s="99"/>
    </row>
    <row r="44" spans="1:15" s="73" customFormat="1" x14ac:dyDescent="0.4">
      <c r="A44" s="128"/>
      <c r="B44" s="128"/>
      <c r="C44" s="128"/>
      <c r="D44" s="128"/>
      <c r="J44"/>
    </row>
    <row r="45" spans="1:15" s="73" customFormat="1" x14ac:dyDescent="0.4">
      <c r="A45" s="128"/>
      <c r="B45" s="128"/>
      <c r="C45" s="128"/>
      <c r="D45" s="128"/>
      <c r="J45"/>
    </row>
    <row r="46" spans="1:15" s="73" customFormat="1" x14ac:dyDescent="0.4">
      <c r="A46" s="128"/>
      <c r="B46" s="128"/>
      <c r="C46" s="128"/>
      <c r="D46" s="128"/>
    </row>
    <row r="47" spans="1:15" s="73" customFormat="1" x14ac:dyDescent="0.4">
      <c r="A47" s="128"/>
      <c r="B47" s="73" t="s">
        <v>2</v>
      </c>
      <c r="C47" s="73" t="s">
        <v>776</v>
      </c>
      <c r="D47" s="73">
        <v>120</v>
      </c>
      <c r="F47"/>
      <c r="G47"/>
      <c r="H47"/>
      <c r="I47"/>
      <c r="J47"/>
      <c r="K47"/>
      <c r="L47"/>
      <c r="M47"/>
      <c r="N47"/>
      <c r="O47"/>
    </row>
    <row r="48" spans="1:15" s="73" customFormat="1" x14ac:dyDescent="0.4">
      <c r="A48" s="128"/>
      <c r="B48" s="73" t="s">
        <v>14</v>
      </c>
      <c r="C48" s="73" t="s">
        <v>777</v>
      </c>
      <c r="D48" s="73">
        <v>240</v>
      </c>
      <c r="F48"/>
      <c r="G48"/>
      <c r="H48"/>
      <c r="I48"/>
      <c r="J48"/>
      <c r="K48"/>
      <c r="L48"/>
      <c r="M48"/>
      <c r="N48"/>
      <c r="O48"/>
    </row>
    <row r="49" spans="1:15" s="73" customFormat="1" x14ac:dyDescent="0.4">
      <c r="A49" s="128"/>
      <c r="B49" s="73" t="s">
        <v>158</v>
      </c>
      <c r="C49" s="73" t="s">
        <v>778</v>
      </c>
      <c r="D49" s="73">
        <v>2880</v>
      </c>
      <c r="F49"/>
      <c r="G49"/>
      <c r="H49"/>
      <c r="I49"/>
      <c r="J49"/>
      <c r="K49"/>
      <c r="L49"/>
      <c r="M49"/>
      <c r="N49"/>
      <c r="O49"/>
    </row>
    <row r="50" spans="1:15" x14ac:dyDescent="0.4">
      <c r="A50" s="73"/>
      <c r="B50" s="128"/>
      <c r="C50" s="128"/>
      <c r="D50" s="128"/>
      <c r="E50" s="73"/>
    </row>
    <row r="51" spans="1:15" x14ac:dyDescent="0.4">
      <c r="B51" s="128"/>
      <c r="C51" s="128"/>
      <c r="D51" s="128"/>
    </row>
    <row r="52" spans="1:15" x14ac:dyDescent="0.4">
      <c r="B52" s="128"/>
      <c r="C52" s="128"/>
      <c r="D52" s="128"/>
    </row>
  </sheetData>
  <autoFilter ref="A1:O43" xr:uid="{00000000-0009-0000-0000-00001A000000}">
    <sortState xmlns:xlrd2="http://schemas.microsoft.com/office/spreadsheetml/2017/richdata2" ref="A2:O43">
      <sortCondition ref="F1:F43"/>
    </sortState>
  </autoFilter>
  <conditionalFormatting sqref="D33:E33">
    <cfRule type="cellIs" dxfId="41" priority="12" operator="equal">
      <formula>"NOK"</formula>
    </cfRule>
  </conditionalFormatting>
  <conditionalFormatting sqref="F2:H42">
    <cfRule type="cellIs" dxfId="40" priority="1" operator="equal">
      <formula>"NOK"</formula>
    </cfRule>
  </conditionalFormatting>
  <conditionalFormatting sqref="L2:L3">
    <cfRule type="cellIs" dxfId="39" priority="196" operator="equal">
      <formula>"NOK"</formula>
    </cfRule>
  </conditionalFormatting>
  <conditionalFormatting sqref="L5">
    <cfRule type="cellIs" dxfId="38" priority="189" operator="equal">
      <formula>"NOK"</formula>
    </cfRule>
  </conditionalFormatting>
  <dataValidations disablePrompts="1" count="1">
    <dataValidation type="list" allowBlank="1" showInputMessage="1" showErrorMessage="1" promptTitle="Priorité" prompt="La Priorité de l'Incident" sqref="C34:C37 C6 C15 C10:C11 C30:C32" xr:uid="{00000000-0002-0000-1A00-000000000000}">
      <formula1>prio</formula1>
    </dataValidation>
  </dataValidations>
  <pageMargins left="0.7" right="0.7" top="0.75" bottom="0.75" header="0.3" footer="0.3"/>
  <pageSetup paperSize="9" orientation="portrait" horizontalDpi="4294967295" verticalDpi="4294967295"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9"/>
  <dimension ref="A1:Q52"/>
  <sheetViews>
    <sheetView topLeftCell="K1" workbookViewId="0">
      <selection activeCell="I37" sqref="I37"/>
    </sheetView>
  </sheetViews>
  <sheetFormatPr baseColWidth="10" defaultRowHeight="14.6" x14ac:dyDescent="0.4"/>
  <cols>
    <col min="1" max="1" width="5.84375" customWidth="1"/>
    <col min="2" max="2" width="9.84375" bestFit="1" customWidth="1"/>
    <col min="3" max="3" width="6.84375" bestFit="1" customWidth="1"/>
    <col min="4" max="4" width="9.07421875" bestFit="1" customWidth="1"/>
    <col min="5" max="5" width="34.3046875" bestFit="1" customWidth="1"/>
    <col min="6" max="6" width="19.69140625" customWidth="1"/>
    <col min="7" max="7" width="17" customWidth="1"/>
    <col min="8" max="8" width="10.07421875" customWidth="1"/>
    <col min="9" max="9" width="61.07421875" bestFit="1" customWidth="1"/>
    <col min="10" max="10" width="64.4609375" bestFit="1" customWidth="1"/>
    <col min="11" max="11" width="37.4609375" customWidth="1"/>
    <col min="12" max="12" width="9.4609375" bestFit="1" customWidth="1"/>
    <col min="13" max="13" width="7.07421875" bestFit="1" customWidth="1"/>
    <col min="14" max="14" width="11.4609375" customWidth="1"/>
    <col min="15" max="15" width="5.07421875" bestFit="1" customWidth="1"/>
  </cols>
  <sheetData>
    <row r="1" spans="1:17" x14ac:dyDescent="0.4">
      <c r="A1" s="6" t="s">
        <v>0</v>
      </c>
      <c r="B1" s="6" t="s">
        <v>679</v>
      </c>
      <c r="C1" s="6" t="s">
        <v>680</v>
      </c>
      <c r="D1" s="7" t="s">
        <v>700</v>
      </c>
      <c r="E1" s="7" t="s">
        <v>1883</v>
      </c>
      <c r="F1" s="6" t="s">
        <v>695</v>
      </c>
      <c r="G1" s="6" t="s">
        <v>694</v>
      </c>
      <c r="H1" s="6" t="s">
        <v>681</v>
      </c>
      <c r="I1" s="7" t="s">
        <v>395</v>
      </c>
      <c r="J1" s="6" t="s">
        <v>682</v>
      </c>
      <c r="K1" s="6" t="s">
        <v>683</v>
      </c>
      <c r="L1" s="7" t="s">
        <v>699</v>
      </c>
      <c r="M1" s="6" t="s">
        <v>684</v>
      </c>
      <c r="N1" s="7" t="s">
        <v>659</v>
      </c>
      <c r="O1" s="6" t="s">
        <v>888</v>
      </c>
      <c r="Q1" s="129"/>
    </row>
    <row r="2" spans="1:17" x14ac:dyDescent="0.4">
      <c r="A2" s="37">
        <v>1</v>
      </c>
      <c r="B2" s="12" t="s">
        <v>2413</v>
      </c>
      <c r="C2" s="37" t="s">
        <v>2</v>
      </c>
      <c r="D2" s="37" t="s">
        <v>702</v>
      </c>
      <c r="E2" s="12" t="s">
        <v>2186</v>
      </c>
      <c r="F2" s="83">
        <v>43801.347916666666</v>
      </c>
      <c r="G2" s="83">
        <v>43802.447222222225</v>
      </c>
      <c r="H2" s="84">
        <f>(G2-F2)*1440</f>
        <v>1583.0000000051223</v>
      </c>
      <c r="I2" s="12" t="s">
        <v>2505</v>
      </c>
      <c r="J2" s="12" t="s">
        <v>1469</v>
      </c>
      <c r="K2" s="12" t="s">
        <v>2506</v>
      </c>
      <c r="L2" s="83" t="s">
        <v>889</v>
      </c>
      <c r="M2" s="37" t="s">
        <v>678</v>
      </c>
      <c r="N2" s="48"/>
      <c r="O2" s="38" t="str">
        <f t="shared" ref="O2:O41" si="0">IF(AND(C2=$B$47,H2&lt;=$D$47),"ISLA",IF((AND(C2=$B$48,H2&lt;=$D$48)),"ISLA",IF((AND(C2=$B$49,H2&lt;=$D$49)),"ISLA","OSLA")))</f>
        <v>OSLA</v>
      </c>
    </row>
    <row r="3" spans="1:17" x14ac:dyDescent="0.4">
      <c r="A3" s="37">
        <v>2</v>
      </c>
      <c r="B3" s="12" t="s">
        <v>2507</v>
      </c>
      <c r="C3" s="37" t="s">
        <v>2</v>
      </c>
      <c r="D3" s="37" t="s">
        <v>701</v>
      </c>
      <c r="E3" s="12" t="s">
        <v>2475</v>
      </c>
      <c r="F3" s="83">
        <v>43802.308333333334</v>
      </c>
      <c r="G3" s="83">
        <v>43802.34375</v>
      </c>
      <c r="H3" s="84">
        <f t="shared" ref="H3:H22" si="1">(G3-F3)*1440</f>
        <v>50.999999998603016</v>
      </c>
      <c r="I3" s="12" t="s">
        <v>2476</v>
      </c>
      <c r="J3" s="12" t="s">
        <v>2610</v>
      </c>
      <c r="K3" s="12" t="s">
        <v>959</v>
      </c>
      <c r="L3" s="83" t="s">
        <v>701</v>
      </c>
      <c r="M3" s="37" t="s">
        <v>678</v>
      </c>
      <c r="N3" s="12"/>
      <c r="O3" s="38" t="str">
        <f t="shared" si="0"/>
        <v>ISLA</v>
      </c>
    </row>
    <row r="4" spans="1:17" ht="30.9" x14ac:dyDescent="0.4">
      <c r="A4" s="37">
        <v>3</v>
      </c>
      <c r="B4" s="12" t="s">
        <v>2508</v>
      </c>
      <c r="C4" s="37" t="s">
        <v>2</v>
      </c>
      <c r="D4" s="37" t="s">
        <v>2509</v>
      </c>
      <c r="E4" s="12" t="s">
        <v>605</v>
      </c>
      <c r="F4" s="83">
        <v>43802.430555555555</v>
      </c>
      <c r="G4" s="83">
        <v>43802.456250000003</v>
      </c>
      <c r="H4" s="84">
        <f t="shared" si="1"/>
        <v>37.000000005355105</v>
      </c>
      <c r="I4" s="12" t="s">
        <v>2510</v>
      </c>
      <c r="J4" s="9" t="s">
        <v>2613</v>
      </c>
      <c r="K4" s="12" t="s">
        <v>2612</v>
      </c>
      <c r="L4" s="37" t="s">
        <v>713</v>
      </c>
      <c r="M4" s="37" t="s">
        <v>678</v>
      </c>
      <c r="N4" s="12"/>
      <c r="O4" s="38" t="str">
        <f t="shared" si="0"/>
        <v>ISLA</v>
      </c>
    </row>
    <row r="5" spans="1:17" x14ac:dyDescent="0.4">
      <c r="A5" s="37">
        <v>4</v>
      </c>
      <c r="B5" s="12" t="s">
        <v>2511</v>
      </c>
      <c r="C5" s="37" t="s">
        <v>2</v>
      </c>
      <c r="D5" s="37" t="s">
        <v>702</v>
      </c>
      <c r="E5" s="12" t="s">
        <v>2512</v>
      </c>
      <c r="F5" s="83">
        <v>43802.685416666667</v>
      </c>
      <c r="G5" s="83">
        <v>43802.720138888886</v>
      </c>
      <c r="H5" s="84">
        <f t="shared" si="1"/>
        <v>49.999999995343387</v>
      </c>
      <c r="I5" s="12" t="s">
        <v>2513</v>
      </c>
      <c r="J5" s="9" t="s">
        <v>2514</v>
      </c>
      <c r="K5" s="9" t="s">
        <v>2506</v>
      </c>
      <c r="L5" s="83" t="s">
        <v>707</v>
      </c>
      <c r="M5" s="37" t="s">
        <v>678</v>
      </c>
      <c r="N5" s="48"/>
      <c r="O5" s="38" t="str">
        <f t="shared" si="0"/>
        <v>ISLA</v>
      </c>
    </row>
    <row r="6" spans="1:17" x14ac:dyDescent="0.4">
      <c r="A6" s="37">
        <v>5</v>
      </c>
      <c r="B6" s="37" t="s">
        <v>2515</v>
      </c>
      <c r="C6" s="37" t="s">
        <v>2</v>
      </c>
      <c r="D6" s="37" t="s">
        <v>702</v>
      </c>
      <c r="E6" s="12" t="s">
        <v>2536</v>
      </c>
      <c r="F6" s="83">
        <v>43803.4375</v>
      </c>
      <c r="G6" s="83">
        <v>43803.451388888891</v>
      </c>
      <c r="H6" s="84">
        <f t="shared" si="1"/>
        <v>20.000000002328306</v>
      </c>
      <c r="I6" s="12" t="s">
        <v>1937</v>
      </c>
      <c r="J6" s="9" t="s">
        <v>2618</v>
      </c>
      <c r="K6" s="12" t="s">
        <v>2506</v>
      </c>
      <c r="L6" s="37" t="s">
        <v>2100</v>
      </c>
      <c r="M6" s="37" t="s">
        <v>678</v>
      </c>
      <c r="N6" s="12"/>
      <c r="O6" s="38" t="str">
        <f t="shared" si="0"/>
        <v>ISLA</v>
      </c>
    </row>
    <row r="7" spans="1:17" x14ac:dyDescent="0.4">
      <c r="A7" s="37">
        <v>6</v>
      </c>
      <c r="B7" s="37" t="s">
        <v>2516</v>
      </c>
      <c r="C7" s="37" t="s">
        <v>2</v>
      </c>
      <c r="D7" s="37" t="s">
        <v>701</v>
      </c>
      <c r="E7" s="12" t="s">
        <v>2611</v>
      </c>
      <c r="F7" s="83">
        <v>43804.661111111112</v>
      </c>
      <c r="G7" s="83">
        <v>43804.690972222219</v>
      </c>
      <c r="H7" s="84">
        <f t="shared" si="1"/>
        <v>42.999999993480742</v>
      </c>
      <c r="I7" s="12" t="s">
        <v>2517</v>
      </c>
      <c r="J7" s="12" t="s">
        <v>2518</v>
      </c>
      <c r="K7" s="12" t="s">
        <v>2519</v>
      </c>
      <c r="L7" s="37" t="s">
        <v>2543</v>
      </c>
      <c r="M7" s="37" t="s">
        <v>678</v>
      </c>
      <c r="N7" s="12"/>
      <c r="O7" s="38" t="str">
        <f t="shared" si="0"/>
        <v>ISLA</v>
      </c>
    </row>
    <row r="8" spans="1:17" x14ac:dyDescent="0.4">
      <c r="A8" s="37">
        <v>7</v>
      </c>
      <c r="B8" s="37" t="s">
        <v>2520</v>
      </c>
      <c r="C8" s="37" t="s">
        <v>2</v>
      </c>
      <c r="D8" s="37" t="s">
        <v>701</v>
      </c>
      <c r="E8" s="12" t="s">
        <v>1828</v>
      </c>
      <c r="F8" s="83">
        <v>43805.381944444445</v>
      </c>
      <c r="G8" s="83">
        <v>43806.538194444445</v>
      </c>
      <c r="H8" s="84">
        <f t="shared" si="1"/>
        <v>1665</v>
      </c>
      <c r="I8" s="12" t="s">
        <v>313</v>
      </c>
      <c r="J8" s="12" t="s">
        <v>879</v>
      </c>
      <c r="K8" s="12" t="s">
        <v>2360</v>
      </c>
      <c r="L8" s="37" t="s">
        <v>701</v>
      </c>
      <c r="M8" s="37" t="s">
        <v>678</v>
      </c>
      <c r="N8" s="12"/>
      <c r="O8" s="38" t="str">
        <f t="shared" si="0"/>
        <v>OSLA</v>
      </c>
    </row>
    <row r="9" spans="1:17" x14ac:dyDescent="0.4">
      <c r="A9" s="37">
        <v>8</v>
      </c>
      <c r="B9" s="37" t="s">
        <v>2521</v>
      </c>
      <c r="C9" s="37" t="s">
        <v>2</v>
      </c>
      <c r="D9" s="37" t="s">
        <v>702</v>
      </c>
      <c r="E9" s="12" t="s">
        <v>2512</v>
      </c>
      <c r="F9" s="83">
        <v>43805.678472222222</v>
      </c>
      <c r="G9" s="83">
        <v>43805.708333333336</v>
      </c>
      <c r="H9" s="84">
        <f t="shared" si="1"/>
        <v>43.000000003958121</v>
      </c>
      <c r="I9" s="12" t="s">
        <v>2513</v>
      </c>
      <c r="J9" s="12" t="s">
        <v>2570</v>
      </c>
      <c r="K9" s="12" t="s">
        <v>2571</v>
      </c>
      <c r="L9" s="37" t="s">
        <v>707</v>
      </c>
      <c r="M9" s="37" t="s">
        <v>678</v>
      </c>
      <c r="N9" s="48"/>
      <c r="O9" s="38" t="str">
        <f t="shared" si="0"/>
        <v>ISLA</v>
      </c>
    </row>
    <row r="10" spans="1:17" x14ac:dyDescent="0.4">
      <c r="A10" s="37">
        <v>9</v>
      </c>
      <c r="B10" s="37" t="s">
        <v>2544</v>
      </c>
      <c r="C10" s="37" t="s">
        <v>2</v>
      </c>
      <c r="D10" s="37" t="s">
        <v>707</v>
      </c>
      <c r="E10" s="12" t="s">
        <v>2545</v>
      </c>
      <c r="F10" s="83">
        <v>43807.752083333333</v>
      </c>
      <c r="G10" s="83">
        <v>43808.543055555558</v>
      </c>
      <c r="H10" s="84">
        <v>1139.0000000037253</v>
      </c>
      <c r="I10" s="12" t="s">
        <v>2546</v>
      </c>
      <c r="J10" s="12" t="s">
        <v>2547</v>
      </c>
      <c r="K10" s="12" t="s">
        <v>2548</v>
      </c>
      <c r="L10" s="37" t="s">
        <v>2549</v>
      </c>
      <c r="M10" s="37" t="s">
        <v>678</v>
      </c>
      <c r="N10" s="48"/>
      <c r="O10" s="38" t="str">
        <f t="shared" si="0"/>
        <v>OSLA</v>
      </c>
    </row>
    <row r="11" spans="1:17" x14ac:dyDescent="0.4">
      <c r="A11" s="37">
        <v>10</v>
      </c>
      <c r="B11" s="37" t="s">
        <v>2522</v>
      </c>
      <c r="C11" s="37" t="s">
        <v>2</v>
      </c>
      <c r="D11" s="37" t="s">
        <v>701</v>
      </c>
      <c r="E11" s="12" t="s">
        <v>2523</v>
      </c>
      <c r="F11" s="83">
        <v>43809.02847222222</v>
      </c>
      <c r="G11" s="83">
        <v>43809.043055555558</v>
      </c>
      <c r="H11" s="84">
        <f t="shared" si="1"/>
        <v>21.000000005587935</v>
      </c>
      <c r="I11" s="12" t="s">
        <v>1986</v>
      </c>
      <c r="J11" s="9" t="s">
        <v>2538</v>
      </c>
      <c r="K11" s="9" t="s">
        <v>1535</v>
      </c>
      <c r="L11" s="37" t="s">
        <v>1517</v>
      </c>
      <c r="M11" s="37" t="s">
        <v>678</v>
      </c>
      <c r="N11" s="48"/>
      <c r="O11" s="38" t="str">
        <f t="shared" si="0"/>
        <v>ISLA</v>
      </c>
    </row>
    <row r="12" spans="1:17" x14ac:dyDescent="0.4">
      <c r="A12" s="37">
        <v>11</v>
      </c>
      <c r="B12" s="37" t="s">
        <v>2524</v>
      </c>
      <c r="C12" s="37" t="s">
        <v>2</v>
      </c>
      <c r="D12" s="37" t="s">
        <v>701</v>
      </c>
      <c r="E12" s="12" t="s">
        <v>2475</v>
      </c>
      <c r="F12" s="83">
        <v>43809.268055555556</v>
      </c>
      <c r="G12" s="83">
        <v>43809.350694444445</v>
      </c>
      <c r="H12" s="84">
        <f t="shared" si="1"/>
        <v>119.00000000023283</v>
      </c>
      <c r="I12" s="12" t="s">
        <v>2533</v>
      </c>
      <c r="J12" s="9" t="s">
        <v>2539</v>
      </c>
      <c r="K12" s="12" t="s">
        <v>2597</v>
      </c>
      <c r="L12" s="83" t="s">
        <v>701</v>
      </c>
      <c r="M12" s="37" t="s">
        <v>678</v>
      </c>
      <c r="N12" s="48"/>
      <c r="O12" s="38" t="str">
        <f t="shared" si="0"/>
        <v>ISLA</v>
      </c>
    </row>
    <row r="13" spans="1:17" x14ac:dyDescent="0.4">
      <c r="A13" s="37">
        <v>12</v>
      </c>
      <c r="B13" s="37" t="s">
        <v>2525</v>
      </c>
      <c r="C13" s="37" t="s">
        <v>2</v>
      </c>
      <c r="D13" s="37" t="s">
        <v>701</v>
      </c>
      <c r="E13" s="12" t="s">
        <v>2523</v>
      </c>
      <c r="F13" s="83">
        <v>43809.461111111108</v>
      </c>
      <c r="G13" s="83">
        <v>43809.489583333336</v>
      </c>
      <c r="H13" s="84">
        <f t="shared" si="1"/>
        <v>41.000000007916242</v>
      </c>
      <c r="I13" s="12" t="s">
        <v>2534</v>
      </c>
      <c r="J13" s="9" t="s">
        <v>2538</v>
      </c>
      <c r="K13" s="9" t="s">
        <v>1535</v>
      </c>
      <c r="L13" s="37" t="s">
        <v>1517</v>
      </c>
      <c r="M13" s="37" t="s">
        <v>678</v>
      </c>
      <c r="N13" s="48"/>
      <c r="O13" s="38" t="str">
        <f t="shared" si="0"/>
        <v>ISLA</v>
      </c>
    </row>
    <row r="14" spans="1:17" x14ac:dyDescent="0.4">
      <c r="A14" s="37">
        <v>13</v>
      </c>
      <c r="B14" s="37" t="s">
        <v>2526</v>
      </c>
      <c r="C14" s="37" t="s">
        <v>2</v>
      </c>
      <c r="D14" s="37" t="s">
        <v>701</v>
      </c>
      <c r="E14" s="12" t="s">
        <v>2537</v>
      </c>
      <c r="F14" s="83">
        <v>43809.461805555555</v>
      </c>
      <c r="G14" s="83">
        <v>43809.489583333336</v>
      </c>
      <c r="H14" s="84">
        <f t="shared" si="1"/>
        <v>40.000000004656613</v>
      </c>
      <c r="I14" s="12" t="s">
        <v>313</v>
      </c>
      <c r="J14" s="9" t="s">
        <v>879</v>
      </c>
      <c r="K14" s="9" t="s">
        <v>88</v>
      </c>
      <c r="L14" s="83" t="s">
        <v>701</v>
      </c>
      <c r="M14" s="37" t="s">
        <v>678</v>
      </c>
      <c r="N14" s="48"/>
      <c r="O14" s="38" t="str">
        <f t="shared" si="0"/>
        <v>ISLA</v>
      </c>
    </row>
    <row r="15" spans="1:17" x14ac:dyDescent="0.4">
      <c r="A15" s="37">
        <v>14</v>
      </c>
      <c r="B15" s="37" t="s">
        <v>2527</v>
      </c>
      <c r="C15" s="37" t="s">
        <v>2</v>
      </c>
      <c r="D15" s="37" t="s">
        <v>702</v>
      </c>
      <c r="E15" s="12" t="s">
        <v>2536</v>
      </c>
      <c r="F15" s="83">
        <v>43809.475694444445</v>
      </c>
      <c r="G15" s="83">
        <v>43809.664583333331</v>
      </c>
      <c r="H15" s="84">
        <f t="shared" si="1"/>
        <v>271.99999999604188</v>
      </c>
      <c r="I15" s="12" t="s">
        <v>1937</v>
      </c>
      <c r="J15" s="9" t="s">
        <v>2618</v>
      </c>
      <c r="K15" s="9" t="s">
        <v>2540</v>
      </c>
      <c r="L15" s="37" t="s">
        <v>2100</v>
      </c>
      <c r="M15" s="37" t="s">
        <v>678</v>
      </c>
      <c r="N15" s="48"/>
      <c r="O15" s="38" t="str">
        <f t="shared" si="0"/>
        <v>OSLA</v>
      </c>
    </row>
    <row r="16" spans="1:17" x14ac:dyDescent="0.4">
      <c r="A16" s="37">
        <v>15</v>
      </c>
      <c r="B16" s="37" t="s">
        <v>2528</v>
      </c>
      <c r="C16" s="37" t="s">
        <v>2</v>
      </c>
      <c r="D16" s="37" t="s">
        <v>701</v>
      </c>
      <c r="E16" s="12" t="s">
        <v>522</v>
      </c>
      <c r="F16" s="83">
        <v>43809.620138888888</v>
      </c>
      <c r="G16" s="83">
        <v>43809.629166666666</v>
      </c>
      <c r="H16" s="84">
        <f t="shared" si="1"/>
        <v>13.000000000465661</v>
      </c>
      <c r="I16" s="12" t="s">
        <v>2476</v>
      </c>
      <c r="J16" s="9" t="s">
        <v>2598</v>
      </c>
      <c r="K16" s="9" t="s">
        <v>105</v>
      </c>
      <c r="L16" s="83" t="s">
        <v>701</v>
      </c>
      <c r="M16" s="37" t="s">
        <v>678</v>
      </c>
      <c r="N16" s="48"/>
      <c r="O16" s="38" t="str">
        <f t="shared" si="0"/>
        <v>ISLA</v>
      </c>
    </row>
    <row r="17" spans="1:15" x14ac:dyDescent="0.4">
      <c r="A17" s="37">
        <v>16</v>
      </c>
      <c r="B17" s="37" t="s">
        <v>2529</v>
      </c>
      <c r="C17" s="37" t="s">
        <v>2</v>
      </c>
      <c r="D17" s="37" t="s">
        <v>702</v>
      </c>
      <c r="E17" s="12" t="s">
        <v>2536</v>
      </c>
      <c r="F17" s="83">
        <v>43811.365972222222</v>
      </c>
      <c r="G17" s="83">
        <v>43811.527777777781</v>
      </c>
      <c r="H17" s="84">
        <f t="shared" si="1"/>
        <v>233.00000000512227</v>
      </c>
      <c r="I17" s="12" t="s">
        <v>1937</v>
      </c>
      <c r="J17" s="9" t="s">
        <v>2618</v>
      </c>
      <c r="K17" s="9" t="s">
        <v>2540</v>
      </c>
      <c r="L17" s="37" t="s">
        <v>2100</v>
      </c>
      <c r="M17" s="37" t="s">
        <v>678</v>
      </c>
      <c r="N17" s="48"/>
      <c r="O17" s="38" t="str">
        <f t="shared" si="0"/>
        <v>OSLA</v>
      </c>
    </row>
    <row r="18" spans="1:15" x14ac:dyDescent="0.4">
      <c r="A18" s="37">
        <v>17</v>
      </c>
      <c r="B18" s="37" t="s">
        <v>2530</v>
      </c>
      <c r="C18" s="37" t="s">
        <v>2</v>
      </c>
      <c r="D18" s="37" t="s">
        <v>701</v>
      </c>
      <c r="E18" s="12" t="s">
        <v>2523</v>
      </c>
      <c r="F18" s="83">
        <v>43811.368750000001</v>
      </c>
      <c r="G18" s="83">
        <v>43811.423611111109</v>
      </c>
      <c r="H18" s="84">
        <f t="shared" si="1"/>
        <v>78.999999995576218</v>
      </c>
      <c r="I18" s="12" t="s">
        <v>2534</v>
      </c>
      <c r="J18" s="9" t="s">
        <v>2538</v>
      </c>
      <c r="K18" s="9" t="s">
        <v>1535</v>
      </c>
      <c r="L18" s="37" t="s">
        <v>1517</v>
      </c>
      <c r="M18" s="37" t="s">
        <v>678</v>
      </c>
      <c r="N18" s="48"/>
      <c r="O18" s="38" t="str">
        <f t="shared" si="0"/>
        <v>ISLA</v>
      </c>
    </row>
    <row r="19" spans="1:15" x14ac:dyDescent="0.4">
      <c r="A19" s="37">
        <v>18</v>
      </c>
      <c r="B19" s="37" t="s">
        <v>2531</v>
      </c>
      <c r="C19" s="37" t="s">
        <v>2</v>
      </c>
      <c r="D19" s="37" t="s">
        <v>701</v>
      </c>
      <c r="E19" s="12" t="s">
        <v>2611</v>
      </c>
      <c r="F19" s="83">
        <v>43812.361111111109</v>
      </c>
      <c r="G19" s="83">
        <v>43812.381944444445</v>
      </c>
      <c r="H19" s="84">
        <f t="shared" si="1"/>
        <v>30.00000000349246</v>
      </c>
      <c r="I19" s="12" t="s">
        <v>2535</v>
      </c>
      <c r="J19" s="9" t="s">
        <v>2541</v>
      </c>
      <c r="K19" s="9" t="s">
        <v>2542</v>
      </c>
      <c r="L19" s="37" t="s">
        <v>1875</v>
      </c>
      <c r="M19" s="37" t="s">
        <v>678</v>
      </c>
      <c r="N19" s="48"/>
      <c r="O19" s="38" t="str">
        <f t="shared" si="0"/>
        <v>ISLA</v>
      </c>
    </row>
    <row r="20" spans="1:15" x14ac:dyDescent="0.4">
      <c r="A20" s="37">
        <v>19</v>
      </c>
      <c r="B20" s="37" t="s">
        <v>2532</v>
      </c>
      <c r="C20" s="37" t="s">
        <v>2</v>
      </c>
      <c r="D20" s="37" t="s">
        <v>701</v>
      </c>
      <c r="E20" s="12" t="s">
        <v>2475</v>
      </c>
      <c r="F20" s="83">
        <v>43812.533333333333</v>
      </c>
      <c r="G20" s="83">
        <v>43812.548611111109</v>
      </c>
      <c r="H20" s="84">
        <f t="shared" si="1"/>
        <v>21.999999998370185</v>
      </c>
      <c r="I20" s="12" t="s">
        <v>2476</v>
      </c>
      <c r="J20" s="9" t="s">
        <v>879</v>
      </c>
      <c r="K20" s="9" t="s">
        <v>88</v>
      </c>
      <c r="L20" s="83" t="s">
        <v>701</v>
      </c>
      <c r="M20" s="37" t="s">
        <v>678</v>
      </c>
      <c r="N20" s="48"/>
      <c r="O20" s="38" t="str">
        <f t="shared" si="0"/>
        <v>ISLA</v>
      </c>
    </row>
    <row r="21" spans="1:15" x14ac:dyDescent="0.4">
      <c r="A21" s="37">
        <v>20</v>
      </c>
      <c r="B21" s="37" t="s">
        <v>2551</v>
      </c>
      <c r="C21" s="37" t="s">
        <v>2</v>
      </c>
      <c r="D21" s="37" t="s">
        <v>701</v>
      </c>
      <c r="E21" s="12" t="s">
        <v>2550</v>
      </c>
      <c r="F21" s="83">
        <v>43816.697916666664</v>
      </c>
      <c r="G21" s="83">
        <v>43816.723611111112</v>
      </c>
      <c r="H21" s="84">
        <f t="shared" si="1"/>
        <v>37.000000005355105</v>
      </c>
      <c r="I21" s="12" t="s">
        <v>2552</v>
      </c>
      <c r="J21" s="12" t="s">
        <v>2567</v>
      </c>
      <c r="K21" s="12" t="s">
        <v>2553</v>
      </c>
      <c r="L21" s="83" t="s">
        <v>701</v>
      </c>
      <c r="M21" s="37" t="s">
        <v>678</v>
      </c>
      <c r="N21" s="48"/>
      <c r="O21" s="38" t="str">
        <f t="shared" si="0"/>
        <v>ISLA</v>
      </c>
    </row>
    <row r="22" spans="1:15" x14ac:dyDescent="0.4">
      <c r="A22" s="37">
        <v>21</v>
      </c>
      <c r="B22" s="37" t="s">
        <v>2551</v>
      </c>
      <c r="C22" s="37" t="s">
        <v>2</v>
      </c>
      <c r="D22" s="37" t="s">
        <v>701</v>
      </c>
      <c r="E22" s="12" t="s">
        <v>2550</v>
      </c>
      <c r="F22" s="83">
        <v>43816.753472222219</v>
      </c>
      <c r="G22" s="83">
        <v>43816.777777777781</v>
      </c>
      <c r="H22" s="84">
        <f t="shared" si="1"/>
        <v>35.000000009313226</v>
      </c>
      <c r="I22" s="12" t="s">
        <v>2552</v>
      </c>
      <c r="J22" s="12" t="s">
        <v>2568</v>
      </c>
      <c r="K22" s="100" t="s">
        <v>2569</v>
      </c>
      <c r="L22" s="83" t="s">
        <v>701</v>
      </c>
      <c r="M22" s="37" t="s">
        <v>678</v>
      </c>
      <c r="N22" s="12"/>
      <c r="O22" s="38" t="str">
        <f t="shared" si="0"/>
        <v>ISLA</v>
      </c>
    </row>
    <row r="23" spans="1:15" ht="20.6" x14ac:dyDescent="0.4">
      <c r="A23" s="37">
        <v>22</v>
      </c>
      <c r="B23" s="37" t="s">
        <v>2554</v>
      </c>
      <c r="C23" s="37" t="s">
        <v>2</v>
      </c>
      <c r="D23" s="37" t="s">
        <v>702</v>
      </c>
      <c r="E23" s="12" t="s">
        <v>1141</v>
      </c>
      <c r="F23" s="83">
        <v>43816.712500000001</v>
      </c>
      <c r="G23" s="83">
        <v>43817.795138888891</v>
      </c>
      <c r="H23" s="84">
        <v>1559.0000000002328</v>
      </c>
      <c r="I23" s="9" t="s">
        <v>2616</v>
      </c>
      <c r="J23" s="12" t="s">
        <v>2555</v>
      </c>
      <c r="K23" s="12" t="s">
        <v>2556</v>
      </c>
      <c r="L23" s="37" t="s">
        <v>713</v>
      </c>
      <c r="M23" s="37" t="s">
        <v>678</v>
      </c>
      <c r="N23" s="12"/>
      <c r="O23" s="38" t="str">
        <f t="shared" si="0"/>
        <v>OSLA</v>
      </c>
    </row>
    <row r="24" spans="1:15" x14ac:dyDescent="0.4">
      <c r="A24" s="37">
        <v>23</v>
      </c>
      <c r="B24" s="37" t="s">
        <v>2557</v>
      </c>
      <c r="C24" s="37" t="s">
        <v>2</v>
      </c>
      <c r="D24" s="37" t="s">
        <v>701</v>
      </c>
      <c r="E24" s="12" t="s">
        <v>33</v>
      </c>
      <c r="F24" s="83">
        <v>43817.315972222219</v>
      </c>
      <c r="G24" s="83">
        <v>43817.34375</v>
      </c>
      <c r="H24" s="84">
        <v>40.000000004656613</v>
      </c>
      <c r="I24" s="12" t="s">
        <v>2558</v>
      </c>
      <c r="J24" s="12" t="s">
        <v>2559</v>
      </c>
      <c r="K24" s="12" t="s">
        <v>105</v>
      </c>
      <c r="L24" s="83" t="s">
        <v>701</v>
      </c>
      <c r="M24" s="37" t="s">
        <v>678</v>
      </c>
      <c r="N24" s="12"/>
      <c r="O24" s="38" t="str">
        <f t="shared" si="0"/>
        <v>ISLA</v>
      </c>
    </row>
    <row r="25" spans="1:15" x14ac:dyDescent="0.4">
      <c r="A25" s="37">
        <v>24</v>
      </c>
      <c r="B25" s="37" t="s">
        <v>2560</v>
      </c>
      <c r="C25" s="37" t="s">
        <v>2</v>
      </c>
      <c r="D25" s="37" t="s">
        <v>702</v>
      </c>
      <c r="E25" s="12" t="s">
        <v>44</v>
      </c>
      <c r="F25" s="83">
        <v>43818.555555555555</v>
      </c>
      <c r="G25" s="83">
        <v>43818.607638888891</v>
      </c>
      <c r="H25" s="84">
        <v>75.00000000349246</v>
      </c>
      <c r="I25" s="12" t="s">
        <v>2561</v>
      </c>
      <c r="J25" s="12" t="s">
        <v>2562</v>
      </c>
      <c r="K25" s="12" t="s">
        <v>2563</v>
      </c>
      <c r="L25" s="37" t="s">
        <v>707</v>
      </c>
      <c r="M25" s="37" t="s">
        <v>678</v>
      </c>
      <c r="N25" s="12"/>
      <c r="O25" s="38" t="str">
        <f t="shared" si="0"/>
        <v>ISLA</v>
      </c>
    </row>
    <row r="26" spans="1:15" x14ac:dyDescent="0.4">
      <c r="A26" s="37">
        <v>25</v>
      </c>
      <c r="B26" s="37" t="s">
        <v>2564</v>
      </c>
      <c r="C26" s="37" t="s">
        <v>2</v>
      </c>
      <c r="D26" s="37" t="s">
        <v>702</v>
      </c>
      <c r="E26" s="12" t="s">
        <v>1633</v>
      </c>
      <c r="F26" s="83">
        <v>43819.938888888886</v>
      </c>
      <c r="G26" s="83">
        <v>43820.402777777781</v>
      </c>
      <c r="H26" s="84">
        <v>668.00000000861473</v>
      </c>
      <c r="I26" s="12" t="s">
        <v>1586</v>
      </c>
      <c r="J26" s="12" t="s">
        <v>2565</v>
      </c>
      <c r="K26" s="100" t="s">
        <v>2566</v>
      </c>
      <c r="L26" s="83" t="s">
        <v>1590</v>
      </c>
      <c r="M26" s="37" t="s">
        <v>678</v>
      </c>
      <c r="N26" s="12"/>
      <c r="O26" s="38" t="str">
        <f t="shared" si="0"/>
        <v>OSLA</v>
      </c>
    </row>
    <row r="27" spans="1:15" x14ac:dyDescent="0.4">
      <c r="A27" s="37">
        <v>26</v>
      </c>
      <c r="B27" s="37" t="s">
        <v>2572</v>
      </c>
      <c r="C27" s="37" t="s">
        <v>2</v>
      </c>
      <c r="D27" s="37" t="s">
        <v>702</v>
      </c>
      <c r="E27" s="12" t="s">
        <v>2079</v>
      </c>
      <c r="F27" s="83">
        <v>43822.3125</v>
      </c>
      <c r="G27" s="83">
        <v>43822.370833333334</v>
      </c>
      <c r="H27" s="84">
        <v>84.000000001396984</v>
      </c>
      <c r="I27" s="12" t="s">
        <v>1937</v>
      </c>
      <c r="J27" s="12" t="s">
        <v>2573</v>
      </c>
      <c r="K27" s="9" t="s">
        <v>2574</v>
      </c>
      <c r="L27" s="37" t="s">
        <v>2100</v>
      </c>
      <c r="M27" s="37" t="s">
        <v>678</v>
      </c>
      <c r="N27" s="12"/>
      <c r="O27" s="38" t="str">
        <f t="shared" si="0"/>
        <v>ISLA</v>
      </c>
    </row>
    <row r="28" spans="1:15" x14ac:dyDescent="0.4">
      <c r="A28" s="37">
        <v>27</v>
      </c>
      <c r="B28" s="37" t="s">
        <v>2575</v>
      </c>
      <c r="C28" s="37" t="s">
        <v>2</v>
      </c>
      <c r="D28" s="37" t="s">
        <v>702</v>
      </c>
      <c r="E28" s="12" t="s">
        <v>2368</v>
      </c>
      <c r="F28" s="83">
        <v>43822.444444444445</v>
      </c>
      <c r="G28" s="83">
        <v>43822.909722222219</v>
      </c>
      <c r="H28" s="84">
        <v>669.99999999417923</v>
      </c>
      <c r="I28" s="12" t="s">
        <v>2576</v>
      </c>
      <c r="J28" s="12" t="s">
        <v>2577</v>
      </c>
      <c r="K28" s="12" t="s">
        <v>2599</v>
      </c>
      <c r="L28" s="37" t="s">
        <v>701</v>
      </c>
      <c r="M28" s="37" t="s">
        <v>678</v>
      </c>
      <c r="N28" s="12"/>
      <c r="O28" s="38" t="str">
        <f t="shared" si="0"/>
        <v>OSLA</v>
      </c>
    </row>
    <row r="29" spans="1:15" x14ac:dyDescent="0.4">
      <c r="A29" s="37">
        <v>28</v>
      </c>
      <c r="B29" s="37" t="s">
        <v>2578</v>
      </c>
      <c r="C29" s="37" t="s">
        <v>14</v>
      </c>
      <c r="D29" s="37" t="s">
        <v>701</v>
      </c>
      <c r="E29" s="12" t="s">
        <v>2368</v>
      </c>
      <c r="F29" s="83">
        <v>43823.326388888891</v>
      </c>
      <c r="G29" s="83">
        <v>43823.645833333336</v>
      </c>
      <c r="H29" s="84">
        <v>460.00000000116415</v>
      </c>
      <c r="I29" s="12" t="s">
        <v>2579</v>
      </c>
      <c r="J29" s="12" t="s">
        <v>2577</v>
      </c>
      <c r="K29" s="12" t="s">
        <v>2599</v>
      </c>
      <c r="L29" s="37" t="s">
        <v>701</v>
      </c>
      <c r="M29" s="37" t="s">
        <v>678</v>
      </c>
      <c r="N29" s="12"/>
      <c r="O29" s="38" t="str">
        <f t="shared" si="0"/>
        <v>OSLA</v>
      </c>
    </row>
    <row r="30" spans="1:15" ht="20.6" x14ac:dyDescent="0.4">
      <c r="A30" s="37">
        <v>29</v>
      </c>
      <c r="B30" s="37" t="s">
        <v>2580</v>
      </c>
      <c r="C30" s="37" t="s">
        <v>14</v>
      </c>
      <c r="D30" s="37" t="s">
        <v>702</v>
      </c>
      <c r="E30" s="12" t="s">
        <v>1141</v>
      </c>
      <c r="F30" s="83">
        <v>43823.82708333333</v>
      </c>
      <c r="G30" s="83">
        <v>43823.847222222219</v>
      </c>
      <c r="H30" s="84">
        <v>29.000000000232831</v>
      </c>
      <c r="I30" s="9" t="s">
        <v>2616</v>
      </c>
      <c r="J30" s="12" t="s">
        <v>2581</v>
      </c>
      <c r="K30" s="12" t="s">
        <v>2582</v>
      </c>
      <c r="L30" s="37" t="s">
        <v>713</v>
      </c>
      <c r="M30" s="37" t="s">
        <v>678</v>
      </c>
      <c r="N30" s="12"/>
      <c r="O30" s="38" t="str">
        <f t="shared" si="0"/>
        <v>ISLA</v>
      </c>
    </row>
    <row r="31" spans="1:15" x14ac:dyDescent="0.4">
      <c r="A31" s="37">
        <v>30</v>
      </c>
      <c r="B31" s="37" t="s">
        <v>2583</v>
      </c>
      <c r="C31" s="37" t="s">
        <v>2</v>
      </c>
      <c r="D31" s="37" t="s">
        <v>701</v>
      </c>
      <c r="E31" s="12" t="s">
        <v>33</v>
      </c>
      <c r="F31" s="83">
        <v>43824.03125</v>
      </c>
      <c r="G31" s="83">
        <v>43824.052083333336</v>
      </c>
      <c r="H31" s="84">
        <v>30.00000000349246</v>
      </c>
      <c r="I31" s="12" t="s">
        <v>2584</v>
      </c>
      <c r="J31" s="12" t="s">
        <v>2585</v>
      </c>
      <c r="K31" s="12" t="s">
        <v>105</v>
      </c>
      <c r="L31" s="37" t="s">
        <v>707</v>
      </c>
      <c r="M31" s="37" t="s">
        <v>678</v>
      </c>
      <c r="N31" s="12" t="s">
        <v>2586</v>
      </c>
      <c r="O31" s="38" t="str">
        <f t="shared" si="0"/>
        <v>ISLA</v>
      </c>
    </row>
    <row r="32" spans="1:15" x14ac:dyDescent="0.4">
      <c r="A32" s="37">
        <v>31</v>
      </c>
      <c r="B32" s="37" t="s">
        <v>2587</v>
      </c>
      <c r="C32" s="37" t="s">
        <v>2</v>
      </c>
      <c r="D32" s="37" t="s">
        <v>701</v>
      </c>
      <c r="E32" s="12" t="s">
        <v>2302</v>
      </c>
      <c r="F32" s="83">
        <v>43825.131944444445</v>
      </c>
      <c r="G32" s="83">
        <v>43825.263888888891</v>
      </c>
      <c r="H32" s="84">
        <v>190.00000000116415</v>
      </c>
      <c r="I32" s="12" t="s">
        <v>313</v>
      </c>
      <c r="J32" s="12" t="s">
        <v>879</v>
      </c>
      <c r="K32" s="12" t="s">
        <v>88</v>
      </c>
      <c r="L32" s="37" t="s">
        <v>701</v>
      </c>
      <c r="M32" s="37" t="s">
        <v>678</v>
      </c>
      <c r="N32" s="12"/>
      <c r="O32" s="38" t="str">
        <f t="shared" si="0"/>
        <v>OSLA</v>
      </c>
    </row>
    <row r="33" spans="1:15" x14ac:dyDescent="0.4">
      <c r="A33" s="37">
        <v>32</v>
      </c>
      <c r="B33" s="37" t="s">
        <v>2588</v>
      </c>
      <c r="C33" s="37" t="s">
        <v>2</v>
      </c>
      <c r="D33" s="37" t="s">
        <v>702</v>
      </c>
      <c r="E33" s="12" t="s">
        <v>40</v>
      </c>
      <c r="F33" s="83">
        <v>43826.025000000001</v>
      </c>
      <c r="G33" s="83">
        <v>43826.056250000001</v>
      </c>
      <c r="H33" s="84">
        <v>45</v>
      </c>
      <c r="I33" s="12" t="s">
        <v>2589</v>
      </c>
      <c r="J33" s="12" t="s">
        <v>2590</v>
      </c>
      <c r="K33" s="100" t="s">
        <v>2591</v>
      </c>
      <c r="L33" s="37" t="s">
        <v>701</v>
      </c>
      <c r="M33" s="37" t="s">
        <v>678</v>
      </c>
      <c r="N33" s="12"/>
      <c r="O33" s="38" t="str">
        <f t="shared" si="0"/>
        <v>ISLA</v>
      </c>
    </row>
    <row r="34" spans="1:15" x14ac:dyDescent="0.4">
      <c r="A34" s="37">
        <v>33</v>
      </c>
      <c r="B34" s="37" t="s">
        <v>2592</v>
      </c>
      <c r="C34" s="37" t="s">
        <v>2</v>
      </c>
      <c r="D34" s="102" t="s">
        <v>701</v>
      </c>
      <c r="E34" s="20" t="s">
        <v>522</v>
      </c>
      <c r="F34" s="83">
        <v>43826.649305555555</v>
      </c>
      <c r="G34" s="83">
        <v>43826.673611111109</v>
      </c>
      <c r="H34" s="84">
        <f>(G34-F34)*1440</f>
        <v>34.999999998835847</v>
      </c>
      <c r="I34" s="12" t="s">
        <v>2476</v>
      </c>
      <c r="J34" s="12" t="s">
        <v>879</v>
      </c>
      <c r="K34" s="12" t="s">
        <v>88</v>
      </c>
      <c r="L34" s="37" t="s">
        <v>701</v>
      </c>
      <c r="M34" s="37" t="s">
        <v>678</v>
      </c>
      <c r="N34" s="12"/>
      <c r="O34" s="38" t="str">
        <f t="shared" si="0"/>
        <v>ISLA</v>
      </c>
    </row>
    <row r="35" spans="1:15" s="73" customFormat="1" x14ac:dyDescent="0.4">
      <c r="A35" s="37">
        <v>34</v>
      </c>
      <c r="B35" s="37" t="s">
        <v>2593</v>
      </c>
      <c r="C35" s="37" t="s">
        <v>2</v>
      </c>
      <c r="D35" s="37" t="s">
        <v>701</v>
      </c>
      <c r="E35" s="12" t="s">
        <v>33</v>
      </c>
      <c r="F35" s="83">
        <v>43827.052083333336</v>
      </c>
      <c r="G35" s="83">
        <v>43827.059027777781</v>
      </c>
      <c r="H35" s="84">
        <f t="shared" ref="H35:H40" si="2">(G35-F35)*1440</f>
        <v>10.000000001164153</v>
      </c>
      <c r="I35" s="12" t="s">
        <v>2558</v>
      </c>
      <c r="J35" s="12" t="s">
        <v>2585</v>
      </c>
      <c r="K35" s="9" t="s">
        <v>105</v>
      </c>
      <c r="L35" s="37" t="s">
        <v>701</v>
      </c>
      <c r="M35" s="37" t="s">
        <v>678</v>
      </c>
      <c r="N35" s="12" t="s">
        <v>2617</v>
      </c>
      <c r="O35" s="38" t="str">
        <f t="shared" si="0"/>
        <v>ISLA</v>
      </c>
    </row>
    <row r="36" spans="1:15" s="73" customFormat="1" x14ac:dyDescent="0.4">
      <c r="A36" s="37">
        <v>35</v>
      </c>
      <c r="B36" s="37" t="s">
        <v>2594</v>
      </c>
      <c r="C36" s="37" t="s">
        <v>2</v>
      </c>
      <c r="D36" s="37" t="s">
        <v>701</v>
      </c>
      <c r="E36" s="12" t="s">
        <v>33</v>
      </c>
      <c r="F36" s="83">
        <v>43827.229861111111</v>
      </c>
      <c r="G36" s="83">
        <v>43827.272222222222</v>
      </c>
      <c r="H36" s="84">
        <f t="shared" si="2"/>
        <v>60.999999999767169</v>
      </c>
      <c r="I36" s="12" t="s">
        <v>2558</v>
      </c>
      <c r="J36" s="12" t="s">
        <v>2601</v>
      </c>
      <c r="K36" s="12" t="s">
        <v>2600</v>
      </c>
      <c r="L36" s="37" t="s">
        <v>707</v>
      </c>
      <c r="M36" s="37" t="s">
        <v>678</v>
      </c>
      <c r="N36" s="142"/>
      <c r="O36" s="38" t="str">
        <f t="shared" si="0"/>
        <v>ISLA</v>
      </c>
    </row>
    <row r="37" spans="1:15" s="73" customFormat="1" x14ac:dyDescent="0.4">
      <c r="A37" s="37">
        <v>36</v>
      </c>
      <c r="B37" s="37" t="s">
        <v>2413</v>
      </c>
      <c r="C37" s="37" t="s">
        <v>2</v>
      </c>
      <c r="D37" s="37" t="s">
        <v>702</v>
      </c>
      <c r="E37" s="12" t="s">
        <v>1633</v>
      </c>
      <c r="F37" s="83">
        <v>43827.770833333336</v>
      </c>
      <c r="G37" s="83">
        <v>43827.822916666664</v>
      </c>
      <c r="H37" s="84">
        <f t="shared" si="2"/>
        <v>74.999999993015081</v>
      </c>
      <c r="I37" s="12" t="s">
        <v>1586</v>
      </c>
      <c r="J37" s="12" t="s">
        <v>2602</v>
      </c>
      <c r="K37" s="100" t="s">
        <v>2603</v>
      </c>
      <c r="L37" s="37" t="s">
        <v>703</v>
      </c>
      <c r="M37" s="37" t="s">
        <v>678</v>
      </c>
      <c r="N37" s="142"/>
      <c r="O37" s="38" t="str">
        <f t="shared" si="0"/>
        <v>ISLA</v>
      </c>
    </row>
    <row r="38" spans="1:15" s="73" customFormat="1" x14ac:dyDescent="0.4">
      <c r="A38" s="37">
        <v>37</v>
      </c>
      <c r="B38" s="37" t="s">
        <v>2595</v>
      </c>
      <c r="C38" s="37" t="s">
        <v>2</v>
      </c>
      <c r="D38" s="37" t="s">
        <v>701</v>
      </c>
      <c r="E38" s="12" t="s">
        <v>33</v>
      </c>
      <c r="F38" s="83">
        <v>43828.031944444447</v>
      </c>
      <c r="G38" s="83">
        <v>43828.043055555558</v>
      </c>
      <c r="H38" s="84">
        <f t="shared" si="2"/>
        <v>15.999999999767169</v>
      </c>
      <c r="I38" s="12" t="s">
        <v>2558</v>
      </c>
      <c r="J38" s="12" t="s">
        <v>2585</v>
      </c>
      <c r="K38" s="12" t="s">
        <v>105</v>
      </c>
      <c r="L38" s="37" t="s">
        <v>707</v>
      </c>
      <c r="M38" s="37" t="s">
        <v>678</v>
      </c>
      <c r="N38" s="12" t="s">
        <v>2617</v>
      </c>
      <c r="O38" s="38" t="str">
        <f t="shared" si="0"/>
        <v>ISLA</v>
      </c>
    </row>
    <row r="39" spans="1:15" s="73" customFormat="1" x14ac:dyDescent="0.4">
      <c r="A39" s="37">
        <v>38</v>
      </c>
      <c r="B39" s="37" t="s">
        <v>2596</v>
      </c>
      <c r="C39" s="37" t="s">
        <v>2</v>
      </c>
      <c r="D39" s="37" t="s">
        <v>701</v>
      </c>
      <c r="E39" s="12" t="s">
        <v>33</v>
      </c>
      <c r="F39" s="83">
        <v>43828.175000000003</v>
      </c>
      <c r="G39" s="83">
        <v>43828.230555555558</v>
      </c>
      <c r="H39" s="84">
        <f t="shared" si="2"/>
        <v>79.999999998835847</v>
      </c>
      <c r="I39" s="12" t="s">
        <v>2558</v>
      </c>
      <c r="J39" s="12" t="s">
        <v>2585</v>
      </c>
      <c r="K39" s="12" t="s">
        <v>105</v>
      </c>
      <c r="L39" s="37" t="s">
        <v>707</v>
      </c>
      <c r="M39" s="37" t="s">
        <v>678</v>
      </c>
      <c r="N39" s="12" t="s">
        <v>2617</v>
      </c>
      <c r="O39" s="38" t="str">
        <f t="shared" si="0"/>
        <v>ISLA</v>
      </c>
    </row>
    <row r="40" spans="1:15" s="73" customFormat="1" x14ac:dyDescent="0.4">
      <c r="A40" s="37">
        <v>39</v>
      </c>
      <c r="B40" s="152" t="s">
        <v>2606</v>
      </c>
      <c r="C40" s="37" t="s">
        <v>2</v>
      </c>
      <c r="D40" s="37" t="s">
        <v>703</v>
      </c>
      <c r="E40" s="12" t="s">
        <v>2604</v>
      </c>
      <c r="F40" s="83">
        <v>43828.614583333336</v>
      </c>
      <c r="G40" s="83">
        <v>43830.473611111112</v>
      </c>
      <c r="H40" s="84">
        <f t="shared" si="2"/>
        <v>2676.9999999983702</v>
      </c>
      <c r="I40" s="12" t="s">
        <v>2605</v>
      </c>
      <c r="J40" s="12" t="s">
        <v>2074</v>
      </c>
      <c r="K40" s="12" t="s">
        <v>2074</v>
      </c>
      <c r="L40" s="37" t="s">
        <v>713</v>
      </c>
      <c r="M40" s="37" t="s">
        <v>678</v>
      </c>
      <c r="N40" s="48"/>
      <c r="O40" s="38" t="str">
        <f t="shared" si="0"/>
        <v>OSLA</v>
      </c>
    </row>
    <row r="41" spans="1:15" s="73" customFormat="1" x14ac:dyDescent="0.4">
      <c r="A41" s="37">
        <v>40</v>
      </c>
      <c r="B41" s="37" t="s">
        <v>2607</v>
      </c>
      <c r="C41" s="37" t="s">
        <v>2</v>
      </c>
      <c r="D41" s="37" t="s">
        <v>701</v>
      </c>
      <c r="E41" s="12" t="s">
        <v>2608</v>
      </c>
      <c r="F41" s="102">
        <v>43830.140972222223</v>
      </c>
      <c r="G41" s="102">
        <v>43830.220833333333</v>
      </c>
      <c r="H41" s="84">
        <f>(G41-F41)*1440</f>
        <v>114.99999999767169</v>
      </c>
      <c r="I41" s="12" t="s">
        <v>2552</v>
      </c>
      <c r="J41" s="12" t="s">
        <v>2614</v>
      </c>
      <c r="K41" s="9" t="s">
        <v>2609</v>
      </c>
      <c r="L41" s="37" t="s">
        <v>701</v>
      </c>
      <c r="M41" s="37" t="s">
        <v>678</v>
      </c>
      <c r="N41" s="48"/>
      <c r="O41" s="38" t="str">
        <f t="shared" si="0"/>
        <v>ISLA</v>
      </c>
    </row>
    <row r="42" spans="1:15" s="73" customFormat="1" x14ac:dyDescent="0.4">
      <c r="A42" s="37">
        <v>41</v>
      </c>
      <c r="B42" s="37"/>
      <c r="C42" s="37"/>
      <c r="D42" s="37"/>
      <c r="E42" s="12"/>
      <c r="F42" s="83"/>
      <c r="G42" s="83"/>
      <c r="H42" s="84"/>
      <c r="I42" s="12"/>
      <c r="J42" s="12"/>
      <c r="K42" s="9"/>
      <c r="L42" s="37"/>
      <c r="M42" s="37"/>
      <c r="N42" s="48"/>
      <c r="O42" s="38"/>
    </row>
    <row r="43" spans="1:15" s="73" customFormat="1" x14ac:dyDescent="0.4">
      <c r="A43" s="128"/>
      <c r="B43" s="128"/>
      <c r="C43" s="128"/>
      <c r="D43" s="128"/>
      <c r="J43"/>
      <c r="K43" s="99"/>
    </row>
    <row r="44" spans="1:15" s="73" customFormat="1" x14ac:dyDescent="0.4">
      <c r="A44" s="128"/>
      <c r="B44" s="128"/>
      <c r="C44" s="128"/>
      <c r="D44" s="128"/>
      <c r="J44"/>
    </row>
    <row r="45" spans="1:15" s="73" customFormat="1" x14ac:dyDescent="0.4">
      <c r="A45" s="128"/>
      <c r="B45" s="128"/>
      <c r="C45" s="128"/>
      <c r="D45" s="128"/>
      <c r="J45"/>
    </row>
    <row r="46" spans="1:15" s="73" customFormat="1" x14ac:dyDescent="0.4">
      <c r="A46" s="128"/>
      <c r="B46" s="128"/>
      <c r="C46" s="128"/>
      <c r="D46" s="128"/>
    </row>
    <row r="47" spans="1:15" s="73" customFormat="1" x14ac:dyDescent="0.4">
      <c r="A47" s="128"/>
      <c r="B47" s="73" t="s">
        <v>2</v>
      </c>
      <c r="C47" s="73" t="s">
        <v>776</v>
      </c>
      <c r="D47" s="73">
        <v>120</v>
      </c>
      <c r="F47"/>
      <c r="G47"/>
      <c r="H47"/>
      <c r="I47"/>
      <c r="J47"/>
      <c r="K47"/>
      <c r="L47"/>
      <c r="M47"/>
      <c r="N47"/>
      <c r="O47"/>
    </row>
    <row r="48" spans="1:15" s="73" customFormat="1" x14ac:dyDescent="0.4">
      <c r="A48" s="128"/>
      <c r="B48" s="73" t="s">
        <v>14</v>
      </c>
      <c r="C48" s="73" t="s">
        <v>777</v>
      </c>
      <c r="D48" s="73">
        <v>240</v>
      </c>
      <c r="F48"/>
      <c r="G48"/>
      <c r="H48"/>
      <c r="I48"/>
      <c r="J48"/>
      <c r="K48"/>
      <c r="L48"/>
      <c r="M48"/>
      <c r="N48"/>
      <c r="O48"/>
    </row>
    <row r="49" spans="1:15" s="73" customFormat="1" x14ac:dyDescent="0.4">
      <c r="A49" s="128"/>
      <c r="B49" s="73" t="s">
        <v>158</v>
      </c>
      <c r="C49" s="73" t="s">
        <v>778</v>
      </c>
      <c r="D49" s="73">
        <v>2880</v>
      </c>
      <c r="F49"/>
      <c r="G49"/>
      <c r="H49"/>
      <c r="I49"/>
      <c r="J49"/>
      <c r="K49"/>
      <c r="L49"/>
      <c r="M49"/>
      <c r="N49"/>
      <c r="O49"/>
    </row>
    <row r="50" spans="1:15" x14ac:dyDescent="0.4">
      <c r="A50" s="73"/>
      <c r="B50" s="128"/>
      <c r="C50" s="128"/>
      <c r="D50" s="128"/>
      <c r="E50" s="73"/>
    </row>
    <row r="51" spans="1:15" x14ac:dyDescent="0.4">
      <c r="B51" s="128"/>
      <c r="C51" s="128"/>
      <c r="D51" s="128"/>
    </row>
    <row r="52" spans="1:15" x14ac:dyDescent="0.4">
      <c r="B52" s="128"/>
      <c r="C52" s="128"/>
      <c r="D52" s="128"/>
    </row>
  </sheetData>
  <autoFilter ref="A1:O43" xr:uid="{00000000-0009-0000-0000-00001B000000}"/>
  <conditionalFormatting sqref="D34:E34">
    <cfRule type="cellIs" dxfId="37" priority="31" operator="equal">
      <formula>"NOK"</formula>
    </cfRule>
  </conditionalFormatting>
  <conditionalFormatting sqref="F2:H42">
    <cfRule type="cellIs" dxfId="36" priority="1" operator="equal">
      <formula>"NOK"</formula>
    </cfRule>
  </conditionalFormatting>
  <conditionalFormatting sqref="L2:L3">
    <cfRule type="cellIs" dxfId="35" priority="141" operator="equal">
      <formula>"NOK"</formula>
    </cfRule>
  </conditionalFormatting>
  <conditionalFormatting sqref="L5">
    <cfRule type="cellIs" dxfId="34" priority="134" operator="equal">
      <formula>"NOK"</formula>
    </cfRule>
  </conditionalFormatting>
  <conditionalFormatting sqref="L12">
    <cfRule type="cellIs" dxfId="33" priority="18" operator="equal">
      <formula>"NOK"</formula>
    </cfRule>
  </conditionalFormatting>
  <conditionalFormatting sqref="L14">
    <cfRule type="cellIs" dxfId="32" priority="16" operator="equal">
      <formula>"NOK"</formula>
    </cfRule>
  </conditionalFormatting>
  <conditionalFormatting sqref="L16">
    <cfRule type="cellIs" dxfId="31" priority="14" operator="equal">
      <formula>"NOK"</formula>
    </cfRule>
  </conditionalFormatting>
  <conditionalFormatting sqref="L20:L22">
    <cfRule type="cellIs" dxfId="30" priority="12" operator="equal">
      <formula>"NOK"</formula>
    </cfRule>
  </conditionalFormatting>
  <conditionalFormatting sqref="L24">
    <cfRule type="cellIs" dxfId="29" priority="10" operator="equal">
      <formula>"NOK"</formula>
    </cfRule>
  </conditionalFormatting>
  <conditionalFormatting sqref="L26">
    <cfRule type="cellIs" dxfId="28" priority="8" operator="equal">
      <formula>"NOK"</formula>
    </cfRule>
  </conditionalFormatting>
  <dataValidations disablePrompts="1" count="1">
    <dataValidation type="list" allowBlank="1" showInputMessage="1" showErrorMessage="1" promptTitle="Priorité" prompt="La Priorité de l'Incident" sqref="C35:C38 C6 C16 C11:C12 C31:C33" xr:uid="{00000000-0002-0000-1B00-000000000000}">
      <formula1>prio</formula1>
    </dataValidation>
  </dataValidations>
  <pageMargins left="0.7" right="0.7" top="0.75" bottom="0.75" header="0.3" footer="0.3"/>
  <pageSetup paperSize="9" orientation="portrait" horizontalDpi="4294967295" verticalDpi="4294967295"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31"/>
  <dimension ref="A1:V120"/>
  <sheetViews>
    <sheetView zoomScaleNormal="100" workbookViewId="0">
      <selection activeCell="E1" sqref="E1"/>
    </sheetView>
  </sheetViews>
  <sheetFormatPr baseColWidth="10" defaultRowHeight="14.6" x14ac:dyDescent="0.4"/>
  <cols>
    <col min="1" max="1" width="5.84375" customWidth="1"/>
    <col min="2" max="2" width="10.3046875" customWidth="1"/>
    <col min="3" max="3" width="6.84375" bestFit="1" customWidth="1"/>
    <col min="4" max="4" width="9.07421875" bestFit="1" customWidth="1"/>
    <col min="5" max="5" width="37.4609375" customWidth="1"/>
    <col min="6" max="6" width="13" bestFit="1" customWidth="1"/>
    <col min="7" max="9" width="17" customWidth="1"/>
    <col min="10" max="12" width="10.07421875" customWidth="1"/>
    <col min="13" max="13" width="56" customWidth="1"/>
    <col min="14" max="14" width="50.84375" customWidth="1"/>
    <col min="15" max="15" width="48" customWidth="1"/>
    <col min="16" max="16" width="12" bestFit="1" customWidth="1"/>
    <col min="17" max="17" width="7.07421875" customWidth="1"/>
    <col min="18" max="18" width="10.53515625" bestFit="1" customWidth="1"/>
    <col min="19" max="19" width="5.07421875" bestFit="1" customWidth="1"/>
    <col min="20" max="20" width="7.69140625" bestFit="1" customWidth="1"/>
    <col min="21" max="21" width="7.4609375" bestFit="1" customWidth="1"/>
  </cols>
  <sheetData>
    <row r="1" spans="1:22" x14ac:dyDescent="0.4">
      <c r="A1" s="6" t="s">
        <v>0</v>
      </c>
      <c r="B1" s="6"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6" t="s">
        <v>684</v>
      </c>
      <c r="R1" s="7" t="s">
        <v>659</v>
      </c>
      <c r="S1" s="6" t="s">
        <v>888</v>
      </c>
      <c r="T1" s="156" t="s">
        <v>2627</v>
      </c>
      <c r="U1" s="156" t="s">
        <v>2630</v>
      </c>
      <c r="V1" s="129"/>
    </row>
    <row r="2" spans="1:22" x14ac:dyDescent="0.4">
      <c r="A2" s="37">
        <v>1</v>
      </c>
      <c r="B2" s="101" t="s">
        <v>2991</v>
      </c>
      <c r="C2" s="37" t="s">
        <v>2</v>
      </c>
      <c r="D2" s="37" t="s">
        <v>702</v>
      </c>
      <c r="E2" s="9" t="s">
        <v>2717</v>
      </c>
      <c r="F2" s="102">
        <v>46052.958333333336</v>
      </c>
      <c r="G2" s="102">
        <v>46056.354166666664</v>
      </c>
      <c r="H2" s="102">
        <v>46056.354166666664</v>
      </c>
      <c r="I2" s="153">
        <f t="shared" ref="I2:I33" si="0">G2-F2</f>
        <v>3.3958333333284827</v>
      </c>
      <c r="J2" s="103">
        <f t="shared" ref="J2:J33" si="1">I2*1440</f>
        <v>4889.9999999930151</v>
      </c>
      <c r="K2" s="153">
        <f t="shared" ref="K2:K33" si="2">H2-F2</f>
        <v>3.3958333333284827</v>
      </c>
      <c r="L2" s="103">
        <f t="shared" ref="L2:L33" si="3">K2*1440</f>
        <v>4889.9999999930151</v>
      </c>
      <c r="M2" s="139" t="s">
        <v>3156</v>
      </c>
      <c r="N2" s="139" t="s">
        <v>2992</v>
      </c>
      <c r="O2" s="100" t="s">
        <v>2993</v>
      </c>
      <c r="P2" s="37" t="s">
        <v>701</v>
      </c>
      <c r="Q2" s="37" t="s">
        <v>678</v>
      </c>
      <c r="R2" s="12"/>
      <c r="S2" s="38" t="str">
        <f t="shared" ref="S2:S33" si="4">IF(AND(C2="P1",J2&lt;=240),"ISLA",IF((AND(C2="P2",J2&lt;=480)),"ISLA",IF((AND(C2="P3",J2&lt;=2880)),"ISLA","OSLA")))</f>
        <v>OSLA</v>
      </c>
      <c r="T2" s="37" t="str">
        <f t="shared" ref="T2:T33" si="5">IF((AND(MID(P2,1,2)="IT",S2="OSLA")),"OUI","NON")</f>
        <v>NON</v>
      </c>
      <c r="U2" s="37" t="s">
        <v>2735</v>
      </c>
    </row>
    <row r="3" spans="1:22" x14ac:dyDescent="0.4">
      <c r="A3" s="37">
        <v>2</v>
      </c>
      <c r="B3" s="101" t="s">
        <v>3010</v>
      </c>
      <c r="C3" s="37" t="s">
        <v>2</v>
      </c>
      <c r="D3" s="37" t="s">
        <v>702</v>
      </c>
      <c r="E3" s="9" t="s">
        <v>3011</v>
      </c>
      <c r="F3" s="102">
        <v>46053.290277777778</v>
      </c>
      <c r="G3" s="102">
        <v>46055.409722222219</v>
      </c>
      <c r="H3" s="102">
        <v>46055.409722222219</v>
      </c>
      <c r="I3" s="153">
        <f t="shared" si="0"/>
        <v>2.1194444444408873</v>
      </c>
      <c r="J3" s="103">
        <f t="shared" si="1"/>
        <v>3051.9999999948777</v>
      </c>
      <c r="K3" s="153">
        <f t="shared" si="2"/>
        <v>2.1194444444408873</v>
      </c>
      <c r="L3" s="103">
        <f t="shared" si="3"/>
        <v>3051.9999999948777</v>
      </c>
      <c r="M3" s="139" t="s">
        <v>2878</v>
      </c>
      <c r="N3" s="139" t="s">
        <v>20</v>
      </c>
      <c r="O3" s="100" t="s">
        <v>20</v>
      </c>
      <c r="P3" s="37" t="s">
        <v>3154</v>
      </c>
      <c r="Q3" s="37" t="s">
        <v>678</v>
      </c>
      <c r="R3" s="9"/>
      <c r="S3" s="38" t="str">
        <f t="shared" si="4"/>
        <v>OSLA</v>
      </c>
      <c r="T3" s="37" t="str">
        <f t="shared" si="5"/>
        <v>OUI</v>
      </c>
      <c r="U3" s="37" t="s">
        <v>3240</v>
      </c>
    </row>
    <row r="4" spans="1:22" ht="20.6" x14ac:dyDescent="0.4">
      <c r="A4" s="37">
        <v>3</v>
      </c>
      <c r="B4" s="101" t="s">
        <v>2706</v>
      </c>
      <c r="C4" s="37" t="s">
        <v>2</v>
      </c>
      <c r="D4" s="37" t="s">
        <v>702</v>
      </c>
      <c r="E4" s="9" t="s">
        <v>3002</v>
      </c>
      <c r="F4" s="102">
        <v>46054.041666666664</v>
      </c>
      <c r="G4" s="102">
        <v>46054.229166666664</v>
      </c>
      <c r="H4" s="102">
        <v>46054.229166666664</v>
      </c>
      <c r="I4" s="153">
        <f t="shared" si="0"/>
        <v>0.1875</v>
      </c>
      <c r="J4" s="103">
        <f t="shared" si="1"/>
        <v>270</v>
      </c>
      <c r="K4" s="153">
        <f t="shared" si="2"/>
        <v>0.1875</v>
      </c>
      <c r="L4" s="103">
        <f t="shared" si="3"/>
        <v>270</v>
      </c>
      <c r="M4" s="139" t="s">
        <v>2753</v>
      </c>
      <c r="N4" s="139" t="s">
        <v>20</v>
      </c>
      <c r="O4" s="100" t="s">
        <v>20</v>
      </c>
      <c r="P4" s="37" t="s">
        <v>2628</v>
      </c>
      <c r="Q4" s="37" t="s">
        <v>678</v>
      </c>
      <c r="R4" s="12" t="s">
        <v>3239</v>
      </c>
      <c r="S4" s="38" t="str">
        <f t="shared" si="4"/>
        <v>OSLA</v>
      </c>
      <c r="T4" s="37" t="str">
        <f t="shared" si="5"/>
        <v>NON</v>
      </c>
      <c r="U4" s="37" t="s">
        <v>2675</v>
      </c>
    </row>
    <row r="5" spans="1:22" x14ac:dyDescent="0.4">
      <c r="A5" s="37">
        <v>4</v>
      </c>
      <c r="B5" s="37" t="s">
        <v>3003</v>
      </c>
      <c r="C5" s="37" t="s">
        <v>2</v>
      </c>
      <c r="D5" s="37" t="s">
        <v>702</v>
      </c>
      <c r="E5" s="9" t="s">
        <v>299</v>
      </c>
      <c r="F5" s="83">
        <v>46054.076388888891</v>
      </c>
      <c r="G5" s="83">
        <v>46054.309027777781</v>
      </c>
      <c r="H5" s="83">
        <v>46054.309027777781</v>
      </c>
      <c r="I5" s="153">
        <f t="shared" si="0"/>
        <v>0.23263888889050577</v>
      </c>
      <c r="J5" s="103">
        <f t="shared" si="1"/>
        <v>335.00000000232831</v>
      </c>
      <c r="K5" s="153">
        <f t="shared" si="2"/>
        <v>0.23263888889050577</v>
      </c>
      <c r="L5" s="103">
        <f t="shared" si="3"/>
        <v>335.00000000232831</v>
      </c>
      <c r="M5" s="190" t="s">
        <v>3149</v>
      </c>
      <c r="N5" s="9" t="s">
        <v>20</v>
      </c>
      <c r="O5" s="100" t="s">
        <v>20</v>
      </c>
      <c r="P5" s="83" t="s">
        <v>2628</v>
      </c>
      <c r="Q5" s="37" t="s">
        <v>678</v>
      </c>
      <c r="R5" s="9"/>
      <c r="S5" s="38" t="str">
        <f t="shared" si="4"/>
        <v>OSLA</v>
      </c>
      <c r="T5" s="37" t="str">
        <f t="shared" si="5"/>
        <v>NON</v>
      </c>
      <c r="U5" s="37" t="s">
        <v>2675</v>
      </c>
    </row>
    <row r="6" spans="1:22" ht="20.6" x14ac:dyDescent="0.4">
      <c r="A6" s="37">
        <v>5</v>
      </c>
      <c r="B6" s="37" t="s">
        <v>3004</v>
      </c>
      <c r="C6" s="37" t="s">
        <v>2</v>
      </c>
      <c r="D6" s="37" t="s">
        <v>702</v>
      </c>
      <c r="E6" s="9" t="s">
        <v>3243</v>
      </c>
      <c r="F6" s="83">
        <v>46054.201388888891</v>
      </c>
      <c r="G6" s="83">
        <v>46054.427083333336</v>
      </c>
      <c r="H6" s="83">
        <v>46054.427083333336</v>
      </c>
      <c r="I6" s="153">
        <f t="shared" si="0"/>
        <v>0.22569444444525288</v>
      </c>
      <c r="J6" s="103">
        <f t="shared" si="1"/>
        <v>325.00000000116415</v>
      </c>
      <c r="K6" s="153">
        <f t="shared" si="2"/>
        <v>0.22569444444525288</v>
      </c>
      <c r="L6" s="103">
        <f t="shared" si="3"/>
        <v>325.00000000116415</v>
      </c>
      <c r="M6" s="163" t="s">
        <v>3150</v>
      </c>
      <c r="N6" s="9" t="s">
        <v>20</v>
      </c>
      <c r="O6" s="9" t="s">
        <v>20</v>
      </c>
      <c r="P6" s="83" t="s">
        <v>3151</v>
      </c>
      <c r="Q6" s="37" t="s">
        <v>678</v>
      </c>
      <c r="R6" s="12"/>
      <c r="S6" s="38" t="str">
        <f t="shared" si="4"/>
        <v>OSLA</v>
      </c>
      <c r="T6" s="37" t="str">
        <f t="shared" si="5"/>
        <v>NON</v>
      </c>
      <c r="U6" s="37" t="s">
        <v>2675</v>
      </c>
    </row>
    <row r="7" spans="1:22" ht="20.6" x14ac:dyDescent="0.4">
      <c r="A7" s="37">
        <v>6</v>
      </c>
      <c r="B7" s="37" t="s">
        <v>3005</v>
      </c>
      <c r="C7" s="37" t="s">
        <v>2</v>
      </c>
      <c r="D7" s="37" t="s">
        <v>702</v>
      </c>
      <c r="E7" s="9" t="s">
        <v>3006</v>
      </c>
      <c r="F7" s="83">
        <v>46054.482638888891</v>
      </c>
      <c r="G7" s="83">
        <v>46054.680555555555</v>
      </c>
      <c r="H7" s="83">
        <v>46054.680555555555</v>
      </c>
      <c r="I7" s="153">
        <f t="shared" si="0"/>
        <v>0.19791666666424135</v>
      </c>
      <c r="J7" s="103">
        <f t="shared" si="1"/>
        <v>284.99999999650754</v>
      </c>
      <c r="K7" s="153">
        <f t="shared" si="2"/>
        <v>0.19791666666424135</v>
      </c>
      <c r="L7" s="103">
        <f t="shared" si="3"/>
        <v>284.99999999650754</v>
      </c>
      <c r="M7" s="139" t="s">
        <v>3152</v>
      </c>
      <c r="N7" s="139" t="s">
        <v>20</v>
      </c>
      <c r="O7" s="139" t="s">
        <v>20</v>
      </c>
      <c r="P7" s="37" t="s">
        <v>2628</v>
      </c>
      <c r="Q7" s="37" t="s">
        <v>678</v>
      </c>
      <c r="R7" s="48"/>
      <c r="S7" s="38" t="str">
        <f t="shared" si="4"/>
        <v>OSLA</v>
      </c>
      <c r="T7" s="37" t="str">
        <f t="shared" si="5"/>
        <v>NON</v>
      </c>
      <c r="U7" s="37" t="s">
        <v>2675</v>
      </c>
    </row>
    <row r="8" spans="1:22" x14ac:dyDescent="0.4">
      <c r="A8" s="37">
        <v>7</v>
      </c>
      <c r="B8" s="101" t="s">
        <v>3007</v>
      </c>
      <c r="C8" s="37" t="s">
        <v>14</v>
      </c>
      <c r="D8" s="37" t="s">
        <v>702</v>
      </c>
      <c r="E8" s="9" t="s">
        <v>2673</v>
      </c>
      <c r="F8" s="102">
        <v>46054.65625</v>
      </c>
      <c r="G8" s="102">
        <v>46055.05972222222</v>
      </c>
      <c r="H8" s="102">
        <v>46055.05972222222</v>
      </c>
      <c r="I8" s="153">
        <f t="shared" si="0"/>
        <v>0.40347222222044365</v>
      </c>
      <c r="J8" s="103">
        <f t="shared" si="1"/>
        <v>580.99999999743886</v>
      </c>
      <c r="K8" s="153">
        <f t="shared" si="2"/>
        <v>0.40347222222044365</v>
      </c>
      <c r="L8" s="103">
        <f t="shared" si="3"/>
        <v>580.99999999743886</v>
      </c>
      <c r="M8" s="139" t="s">
        <v>2674</v>
      </c>
      <c r="N8" s="9" t="s">
        <v>20</v>
      </c>
      <c r="O8" s="9" t="s">
        <v>20</v>
      </c>
      <c r="P8" s="37" t="s">
        <v>2815</v>
      </c>
      <c r="Q8" s="37" t="s">
        <v>678</v>
      </c>
      <c r="R8" s="12"/>
      <c r="S8" s="38" t="str">
        <f t="shared" si="4"/>
        <v>OSLA</v>
      </c>
      <c r="T8" s="37" t="str">
        <f t="shared" si="5"/>
        <v>OUI</v>
      </c>
      <c r="U8" s="37" t="s">
        <v>3240</v>
      </c>
    </row>
    <row r="9" spans="1:22" x14ac:dyDescent="0.4">
      <c r="A9" s="37">
        <v>8</v>
      </c>
      <c r="B9" s="37" t="s">
        <v>3008</v>
      </c>
      <c r="C9" s="37" t="s">
        <v>2</v>
      </c>
      <c r="D9" s="37" t="s">
        <v>702</v>
      </c>
      <c r="E9" s="9" t="s">
        <v>150</v>
      </c>
      <c r="F9" s="83">
        <v>46055.177083333336</v>
      </c>
      <c r="G9" s="83">
        <v>46055.340277777781</v>
      </c>
      <c r="H9" s="83">
        <v>46055.340277777781</v>
      </c>
      <c r="I9" s="153">
        <f t="shared" si="0"/>
        <v>0.16319444444525288</v>
      </c>
      <c r="J9" s="103">
        <f t="shared" si="1"/>
        <v>235.00000000116415</v>
      </c>
      <c r="K9" s="153">
        <f t="shared" si="2"/>
        <v>0.16319444444525288</v>
      </c>
      <c r="L9" s="103">
        <f t="shared" si="3"/>
        <v>235.00000000116415</v>
      </c>
      <c r="M9" s="139" t="s">
        <v>3153</v>
      </c>
      <c r="N9" s="139" t="s">
        <v>20</v>
      </c>
      <c r="O9" s="139" t="s">
        <v>20</v>
      </c>
      <c r="P9" s="37" t="s">
        <v>704</v>
      </c>
      <c r="Q9" s="37" t="s">
        <v>678</v>
      </c>
      <c r="R9" s="12"/>
      <c r="S9" s="38" t="str">
        <f t="shared" si="4"/>
        <v>ISLA</v>
      </c>
      <c r="T9" s="37" t="str">
        <f t="shared" si="5"/>
        <v>NON</v>
      </c>
      <c r="U9" s="37" t="s">
        <v>2675</v>
      </c>
    </row>
    <row r="10" spans="1:22" x14ac:dyDescent="0.4">
      <c r="A10" s="37">
        <v>9</v>
      </c>
      <c r="B10" s="101" t="s">
        <v>3009</v>
      </c>
      <c r="C10" s="37" t="s">
        <v>2</v>
      </c>
      <c r="D10" s="37" t="s">
        <v>702</v>
      </c>
      <c r="E10" s="9" t="s">
        <v>2894</v>
      </c>
      <c r="F10" s="102">
        <v>46055.211111111108</v>
      </c>
      <c r="G10" s="102">
        <v>46055.23333333333</v>
      </c>
      <c r="H10" s="102">
        <v>46055.23333333333</v>
      </c>
      <c r="I10" s="153">
        <f t="shared" si="0"/>
        <v>2.2222222221898846E-2</v>
      </c>
      <c r="J10" s="103">
        <f t="shared" si="1"/>
        <v>31.999999999534339</v>
      </c>
      <c r="K10" s="153">
        <f t="shared" si="2"/>
        <v>2.2222222221898846E-2</v>
      </c>
      <c r="L10" s="103">
        <f t="shared" si="3"/>
        <v>31.999999999534339</v>
      </c>
      <c r="M10" s="139" t="s">
        <v>2895</v>
      </c>
      <c r="N10" s="139" t="s">
        <v>20</v>
      </c>
      <c r="O10" s="100" t="s">
        <v>20</v>
      </c>
      <c r="P10" s="37" t="s">
        <v>707</v>
      </c>
      <c r="Q10" s="37" t="s">
        <v>678</v>
      </c>
      <c r="R10" s="12"/>
      <c r="S10" s="38" t="str">
        <f t="shared" si="4"/>
        <v>ISLA</v>
      </c>
      <c r="T10" s="37" t="str">
        <f t="shared" si="5"/>
        <v>NON</v>
      </c>
      <c r="U10" s="37" t="s">
        <v>2675</v>
      </c>
    </row>
    <row r="11" spans="1:22" x14ac:dyDescent="0.4">
      <c r="A11" s="37">
        <v>10</v>
      </c>
      <c r="B11" s="101" t="s">
        <v>3012</v>
      </c>
      <c r="C11" s="37" t="s">
        <v>2</v>
      </c>
      <c r="D11" s="37" t="s">
        <v>702</v>
      </c>
      <c r="E11" s="9" t="s">
        <v>2808</v>
      </c>
      <c r="F11" s="102">
        <v>46055.298611111109</v>
      </c>
      <c r="G11" s="102">
        <v>46055.503472222219</v>
      </c>
      <c r="H11" s="102">
        <v>46055.503472222219</v>
      </c>
      <c r="I11" s="153">
        <f t="shared" si="0"/>
        <v>0.20486111110949423</v>
      </c>
      <c r="J11" s="103">
        <f t="shared" si="1"/>
        <v>294.99999999767169</v>
      </c>
      <c r="K11" s="153">
        <f t="shared" si="2"/>
        <v>0.20486111110949423</v>
      </c>
      <c r="L11" s="103">
        <f t="shared" si="3"/>
        <v>294.99999999767169</v>
      </c>
      <c r="M11" s="139" t="s">
        <v>2809</v>
      </c>
      <c r="N11" s="139" t="s">
        <v>20</v>
      </c>
      <c r="O11" s="100" t="s">
        <v>20</v>
      </c>
      <c r="P11" s="37" t="s">
        <v>2813</v>
      </c>
      <c r="Q11" s="37" t="s">
        <v>678</v>
      </c>
      <c r="R11" s="12"/>
      <c r="S11" s="38" t="str">
        <f t="shared" si="4"/>
        <v>OSLA</v>
      </c>
      <c r="T11" s="37" t="str">
        <f t="shared" si="5"/>
        <v>OUI</v>
      </c>
      <c r="U11" s="37" t="s">
        <v>2675</v>
      </c>
    </row>
    <row r="12" spans="1:22" x14ac:dyDescent="0.4">
      <c r="A12" s="37">
        <v>11</v>
      </c>
      <c r="B12" s="101" t="s">
        <v>3013</v>
      </c>
      <c r="C12" s="37" t="s">
        <v>14</v>
      </c>
      <c r="D12" s="37" t="s">
        <v>702</v>
      </c>
      <c r="E12" s="9" t="s">
        <v>2673</v>
      </c>
      <c r="F12" s="102">
        <v>46055.510416666664</v>
      </c>
      <c r="G12" s="102">
        <v>46055.552083333336</v>
      </c>
      <c r="H12" s="102">
        <v>46055.552083333336</v>
      </c>
      <c r="I12" s="153">
        <f t="shared" si="0"/>
        <v>4.1666666671517305E-2</v>
      </c>
      <c r="J12" s="103">
        <f t="shared" si="1"/>
        <v>60.000000006984919</v>
      </c>
      <c r="K12" s="153">
        <f t="shared" si="2"/>
        <v>4.1666666671517305E-2</v>
      </c>
      <c r="L12" s="103">
        <f t="shared" si="3"/>
        <v>60.000000006984919</v>
      </c>
      <c r="M12" s="139" t="s">
        <v>2674</v>
      </c>
      <c r="N12" s="139" t="s">
        <v>20</v>
      </c>
      <c r="O12" s="100" t="s">
        <v>20</v>
      </c>
      <c r="P12" s="37" t="s">
        <v>2815</v>
      </c>
      <c r="Q12" s="37" t="s">
        <v>678</v>
      </c>
      <c r="R12" s="12"/>
      <c r="S12" s="38" t="str">
        <f t="shared" si="4"/>
        <v>ISLA</v>
      </c>
      <c r="T12" s="37" t="str">
        <f t="shared" si="5"/>
        <v>NON</v>
      </c>
      <c r="U12" s="37" t="s">
        <v>3240</v>
      </c>
    </row>
    <row r="13" spans="1:22" ht="20.6" x14ac:dyDescent="0.4">
      <c r="A13" s="37">
        <v>12</v>
      </c>
      <c r="B13" s="101" t="s">
        <v>2706</v>
      </c>
      <c r="C13" s="37" t="s">
        <v>2</v>
      </c>
      <c r="D13" s="37" t="s">
        <v>702</v>
      </c>
      <c r="E13" s="9" t="s">
        <v>3002</v>
      </c>
      <c r="F13" s="102">
        <v>46055.520833333336</v>
      </c>
      <c r="G13" s="102">
        <v>46055.625</v>
      </c>
      <c r="H13" s="102">
        <v>46055.625</v>
      </c>
      <c r="I13" s="153">
        <f t="shared" si="0"/>
        <v>0.10416666666424135</v>
      </c>
      <c r="J13" s="103">
        <f t="shared" si="1"/>
        <v>149.99999999650754</v>
      </c>
      <c r="K13" s="153">
        <f t="shared" si="2"/>
        <v>0.10416666666424135</v>
      </c>
      <c r="L13" s="103">
        <f t="shared" si="3"/>
        <v>149.99999999650754</v>
      </c>
      <c r="M13" s="139" t="s">
        <v>2753</v>
      </c>
      <c r="N13" s="139" t="s">
        <v>20</v>
      </c>
      <c r="O13" s="100" t="s">
        <v>20</v>
      </c>
      <c r="P13" s="37" t="s">
        <v>2628</v>
      </c>
      <c r="Q13" s="37" t="s">
        <v>678</v>
      </c>
      <c r="R13" s="12" t="s">
        <v>3239</v>
      </c>
      <c r="S13" s="38" t="str">
        <f t="shared" si="4"/>
        <v>ISLA</v>
      </c>
      <c r="T13" s="37" t="str">
        <f t="shared" si="5"/>
        <v>NON</v>
      </c>
      <c r="U13" s="37" t="s">
        <v>2675</v>
      </c>
    </row>
    <row r="14" spans="1:22" x14ac:dyDescent="0.4">
      <c r="A14" s="37">
        <v>13</v>
      </c>
      <c r="B14" s="101" t="s">
        <v>3014</v>
      </c>
      <c r="C14" s="37" t="s">
        <v>14</v>
      </c>
      <c r="D14" s="37" t="s">
        <v>702</v>
      </c>
      <c r="E14" s="9" t="s">
        <v>2673</v>
      </c>
      <c r="F14" s="102">
        <v>46055.715277777781</v>
      </c>
      <c r="G14" s="102">
        <v>46055.784722222219</v>
      </c>
      <c r="H14" s="102">
        <v>46055.784722222219</v>
      </c>
      <c r="I14" s="153">
        <f t="shared" si="0"/>
        <v>6.9444444437976927E-2</v>
      </c>
      <c r="J14" s="103">
        <f t="shared" si="1"/>
        <v>99.999999990686774</v>
      </c>
      <c r="K14" s="153">
        <f t="shared" si="2"/>
        <v>6.9444444437976927E-2</v>
      </c>
      <c r="L14" s="103">
        <f t="shared" si="3"/>
        <v>99.999999990686774</v>
      </c>
      <c r="M14" s="139" t="s">
        <v>2674</v>
      </c>
      <c r="N14" s="139" t="s">
        <v>20</v>
      </c>
      <c r="O14" s="139" t="s">
        <v>20</v>
      </c>
      <c r="P14" s="37" t="s">
        <v>2628</v>
      </c>
      <c r="Q14" s="37" t="s">
        <v>678</v>
      </c>
      <c r="R14" s="12"/>
      <c r="S14" s="38" t="str">
        <f t="shared" si="4"/>
        <v>ISLA</v>
      </c>
      <c r="T14" s="37" t="str">
        <f t="shared" si="5"/>
        <v>NON</v>
      </c>
      <c r="U14" s="37" t="s">
        <v>3240</v>
      </c>
    </row>
    <row r="15" spans="1:22" x14ac:dyDescent="0.4">
      <c r="A15" s="37">
        <v>14</v>
      </c>
      <c r="B15" s="101" t="s">
        <v>3015</v>
      </c>
      <c r="C15" s="37" t="s">
        <v>2</v>
      </c>
      <c r="D15" s="37" t="s">
        <v>702</v>
      </c>
      <c r="E15" s="9" t="s">
        <v>2686</v>
      </c>
      <c r="F15" s="102">
        <v>46056.336805555555</v>
      </c>
      <c r="G15" s="102">
        <v>46056.354166666664</v>
      </c>
      <c r="H15" s="102">
        <v>46056.354166666664</v>
      </c>
      <c r="I15" s="153">
        <f t="shared" si="0"/>
        <v>1.7361111109494232E-2</v>
      </c>
      <c r="J15" s="103">
        <f t="shared" si="1"/>
        <v>24.999999997671694</v>
      </c>
      <c r="K15" s="153">
        <f t="shared" si="2"/>
        <v>1.7361111109494232E-2</v>
      </c>
      <c r="L15" s="103">
        <f t="shared" si="3"/>
        <v>24.999999997671694</v>
      </c>
      <c r="M15" s="139" t="s">
        <v>3155</v>
      </c>
      <c r="N15" s="139" t="s">
        <v>20</v>
      </c>
      <c r="O15" s="100" t="s">
        <v>20</v>
      </c>
      <c r="P15" s="37" t="s">
        <v>2688</v>
      </c>
      <c r="Q15" s="37" t="s">
        <v>678</v>
      </c>
      <c r="R15" s="12"/>
      <c r="S15" s="38" t="str">
        <f t="shared" si="4"/>
        <v>ISLA</v>
      </c>
      <c r="T15" s="37" t="str">
        <f t="shared" si="5"/>
        <v>NON</v>
      </c>
      <c r="U15" s="37" t="s">
        <v>3240</v>
      </c>
    </row>
    <row r="16" spans="1:22" x14ac:dyDescent="0.4">
      <c r="A16" s="37">
        <v>15</v>
      </c>
      <c r="B16" s="101" t="s">
        <v>3016</v>
      </c>
      <c r="C16" s="37" t="s">
        <v>14</v>
      </c>
      <c r="D16" s="37" t="s">
        <v>702</v>
      </c>
      <c r="E16" s="9" t="s">
        <v>2673</v>
      </c>
      <c r="F16" s="102">
        <v>46056.392361111109</v>
      </c>
      <c r="G16" s="102">
        <v>46056.729166666664</v>
      </c>
      <c r="H16" s="102">
        <v>46056.729166666664</v>
      </c>
      <c r="I16" s="153">
        <f t="shared" si="0"/>
        <v>0.33680555555474712</v>
      </c>
      <c r="J16" s="103">
        <f t="shared" si="1"/>
        <v>484.99999999883585</v>
      </c>
      <c r="K16" s="153">
        <f t="shared" si="2"/>
        <v>0.33680555555474712</v>
      </c>
      <c r="L16" s="103">
        <f t="shared" si="3"/>
        <v>484.99999999883585</v>
      </c>
      <c r="M16" s="139" t="s">
        <v>2674</v>
      </c>
      <c r="N16" s="9" t="s">
        <v>20</v>
      </c>
      <c r="O16" s="9" t="s">
        <v>20</v>
      </c>
      <c r="P16" s="37" t="s">
        <v>2628</v>
      </c>
      <c r="Q16" s="37" t="s">
        <v>678</v>
      </c>
      <c r="R16" s="12"/>
      <c r="S16" s="38" t="str">
        <f t="shared" si="4"/>
        <v>OSLA</v>
      </c>
      <c r="T16" s="37" t="str">
        <f t="shared" si="5"/>
        <v>NON</v>
      </c>
      <c r="U16" s="37" t="s">
        <v>3240</v>
      </c>
    </row>
    <row r="17" spans="1:21" x14ac:dyDescent="0.4">
      <c r="A17" s="37">
        <v>16</v>
      </c>
      <c r="B17" s="101" t="s">
        <v>3017</v>
      </c>
      <c r="C17" s="37" t="s">
        <v>2</v>
      </c>
      <c r="D17" s="37" t="s">
        <v>702</v>
      </c>
      <c r="E17" s="9" t="s">
        <v>3018</v>
      </c>
      <c r="F17" s="102">
        <v>46056.506249999999</v>
      </c>
      <c r="G17" s="102">
        <v>46058.625</v>
      </c>
      <c r="H17" s="102">
        <v>46058.625</v>
      </c>
      <c r="I17" s="153">
        <f t="shared" si="0"/>
        <v>2.1187500000014552</v>
      </c>
      <c r="J17" s="103">
        <f t="shared" si="1"/>
        <v>3051.0000000020955</v>
      </c>
      <c r="K17" s="153">
        <f t="shared" si="2"/>
        <v>2.1187500000014552</v>
      </c>
      <c r="L17" s="103">
        <f t="shared" si="3"/>
        <v>3051.0000000020955</v>
      </c>
      <c r="M17" s="139" t="s">
        <v>3157</v>
      </c>
      <c r="N17" s="139" t="s">
        <v>3158</v>
      </c>
      <c r="O17" s="100" t="s">
        <v>3159</v>
      </c>
      <c r="P17" s="37" t="s">
        <v>2628</v>
      </c>
      <c r="Q17" s="37" t="s">
        <v>678</v>
      </c>
      <c r="R17" s="12"/>
      <c r="S17" s="38" t="str">
        <f t="shared" si="4"/>
        <v>OSLA</v>
      </c>
      <c r="T17" s="37" t="str">
        <f t="shared" si="5"/>
        <v>NON</v>
      </c>
      <c r="U17" s="37" t="s">
        <v>2675</v>
      </c>
    </row>
    <row r="18" spans="1:21" x14ac:dyDescent="0.4">
      <c r="A18" s="37">
        <v>17</v>
      </c>
      <c r="B18" s="101" t="s">
        <v>3019</v>
      </c>
      <c r="C18" s="37" t="s">
        <v>2</v>
      </c>
      <c r="D18" s="37" t="s">
        <v>702</v>
      </c>
      <c r="E18" s="9" t="s">
        <v>2885</v>
      </c>
      <c r="F18" s="102">
        <v>46056.565972222219</v>
      </c>
      <c r="G18" s="102">
        <v>46057.486111111109</v>
      </c>
      <c r="H18" s="102">
        <v>46057.486111111109</v>
      </c>
      <c r="I18" s="153">
        <f t="shared" si="0"/>
        <v>0.92013888889050577</v>
      </c>
      <c r="J18" s="103">
        <f t="shared" si="1"/>
        <v>1325.0000000023283</v>
      </c>
      <c r="K18" s="153">
        <f t="shared" si="2"/>
        <v>0.92013888889050577</v>
      </c>
      <c r="L18" s="103">
        <f t="shared" si="3"/>
        <v>1325.0000000023283</v>
      </c>
      <c r="M18" s="139" t="s">
        <v>2988</v>
      </c>
      <c r="N18" s="139" t="s">
        <v>20</v>
      </c>
      <c r="O18" s="100" t="s">
        <v>20</v>
      </c>
      <c r="P18" s="37" t="s">
        <v>2684</v>
      </c>
      <c r="Q18" s="37" t="s">
        <v>678</v>
      </c>
      <c r="R18" s="12"/>
      <c r="S18" s="38" t="str">
        <f t="shared" si="4"/>
        <v>OSLA</v>
      </c>
      <c r="T18" s="37" t="str">
        <f t="shared" si="5"/>
        <v>OUI</v>
      </c>
      <c r="U18" s="37" t="s">
        <v>3240</v>
      </c>
    </row>
    <row r="19" spans="1:21" x14ac:dyDescent="0.4">
      <c r="A19" s="37">
        <v>18</v>
      </c>
      <c r="B19" s="101" t="s">
        <v>3020</v>
      </c>
      <c r="C19" s="37" t="s">
        <v>2</v>
      </c>
      <c r="D19" s="37" t="s">
        <v>702</v>
      </c>
      <c r="E19" s="9" t="s">
        <v>3021</v>
      </c>
      <c r="F19" s="102">
        <v>46056.673611111109</v>
      </c>
      <c r="G19" s="102">
        <v>46056.746527777781</v>
      </c>
      <c r="H19" s="102">
        <v>46056.746527777781</v>
      </c>
      <c r="I19" s="153">
        <f t="shared" si="0"/>
        <v>7.2916666671517305E-2</v>
      </c>
      <c r="J19" s="103">
        <f t="shared" si="1"/>
        <v>105.00000000698492</v>
      </c>
      <c r="K19" s="153">
        <f t="shared" si="2"/>
        <v>7.2916666671517305E-2</v>
      </c>
      <c r="L19" s="103">
        <f t="shared" si="3"/>
        <v>105.00000000698492</v>
      </c>
      <c r="M19" s="139" t="s">
        <v>3160</v>
      </c>
      <c r="N19" s="139" t="s">
        <v>20</v>
      </c>
      <c r="O19" s="100" t="s">
        <v>20</v>
      </c>
      <c r="P19" s="37" t="s">
        <v>2628</v>
      </c>
      <c r="Q19" s="37" t="s">
        <v>678</v>
      </c>
      <c r="R19" s="12"/>
      <c r="S19" s="38" t="str">
        <f t="shared" si="4"/>
        <v>ISLA</v>
      </c>
      <c r="T19" s="37" t="str">
        <f t="shared" si="5"/>
        <v>NON</v>
      </c>
      <c r="U19" s="37" t="s">
        <v>2675</v>
      </c>
    </row>
    <row r="20" spans="1:21" x14ac:dyDescent="0.4">
      <c r="A20" s="37">
        <v>19</v>
      </c>
      <c r="B20" s="101" t="s">
        <v>3022</v>
      </c>
      <c r="C20" s="37" t="s">
        <v>2</v>
      </c>
      <c r="D20" s="37" t="s">
        <v>702</v>
      </c>
      <c r="E20" s="9" t="s">
        <v>3023</v>
      </c>
      <c r="F20" s="102">
        <v>46057.142361111109</v>
      </c>
      <c r="G20" s="102">
        <v>46057.260416666664</v>
      </c>
      <c r="H20" s="102">
        <v>46057.260416666664</v>
      </c>
      <c r="I20" s="153">
        <f t="shared" si="0"/>
        <v>0.11805555555474712</v>
      </c>
      <c r="J20" s="103">
        <f t="shared" si="1"/>
        <v>169.99999999883585</v>
      </c>
      <c r="K20" s="153">
        <f t="shared" si="2"/>
        <v>0.11805555555474712</v>
      </c>
      <c r="L20" s="103">
        <f t="shared" si="3"/>
        <v>169.99999999883585</v>
      </c>
      <c r="M20" s="139" t="s">
        <v>3161</v>
      </c>
      <c r="N20" s="139" t="s">
        <v>20</v>
      </c>
      <c r="O20" s="100" t="s">
        <v>20</v>
      </c>
      <c r="P20" s="37" t="s">
        <v>701</v>
      </c>
      <c r="Q20" s="37" t="s">
        <v>678</v>
      </c>
      <c r="R20" s="12"/>
      <c r="S20" s="38" t="str">
        <f t="shared" si="4"/>
        <v>ISLA</v>
      </c>
      <c r="T20" s="37" t="str">
        <f t="shared" si="5"/>
        <v>NON</v>
      </c>
      <c r="U20" s="37" t="s">
        <v>2735</v>
      </c>
    </row>
    <row r="21" spans="1:21" x14ac:dyDescent="0.4">
      <c r="A21" s="37">
        <v>20</v>
      </c>
      <c r="B21" s="101" t="s">
        <v>3024</v>
      </c>
      <c r="C21" s="37" t="s">
        <v>2</v>
      </c>
      <c r="D21" s="37" t="s">
        <v>702</v>
      </c>
      <c r="E21" s="9" t="s">
        <v>3025</v>
      </c>
      <c r="F21" s="102">
        <v>46057.350694444445</v>
      </c>
      <c r="G21" s="102">
        <v>46058.440972222219</v>
      </c>
      <c r="H21" s="102">
        <v>46058.440972222219</v>
      </c>
      <c r="I21" s="153">
        <f t="shared" si="0"/>
        <v>1.0902777777737356</v>
      </c>
      <c r="J21" s="103">
        <f t="shared" si="1"/>
        <v>1569.9999999941792</v>
      </c>
      <c r="K21" s="153">
        <f t="shared" si="2"/>
        <v>1.0902777777737356</v>
      </c>
      <c r="L21" s="103">
        <f t="shared" si="3"/>
        <v>1569.9999999941792</v>
      </c>
      <c r="M21" s="139" t="s">
        <v>3162</v>
      </c>
      <c r="N21" s="139" t="s">
        <v>3246</v>
      </c>
      <c r="O21" s="100" t="s">
        <v>105</v>
      </c>
      <c r="P21" s="37" t="s">
        <v>701</v>
      </c>
      <c r="Q21" s="37" t="s">
        <v>678</v>
      </c>
      <c r="R21" s="12"/>
      <c r="S21" s="38" t="str">
        <f t="shared" si="4"/>
        <v>OSLA</v>
      </c>
      <c r="T21" s="37" t="str">
        <f t="shared" si="5"/>
        <v>NON</v>
      </c>
      <c r="U21" s="37" t="s">
        <v>2675</v>
      </c>
    </row>
    <row r="22" spans="1:21" x14ac:dyDescent="0.4">
      <c r="A22" s="37">
        <v>21</v>
      </c>
      <c r="B22" s="101" t="s">
        <v>3026</v>
      </c>
      <c r="C22" s="37" t="s">
        <v>2</v>
      </c>
      <c r="D22" s="37" t="s">
        <v>702</v>
      </c>
      <c r="E22" s="12" t="s">
        <v>3247</v>
      </c>
      <c r="F22" s="102">
        <v>46057.819444444445</v>
      </c>
      <c r="G22" s="102">
        <v>46057.979166666664</v>
      </c>
      <c r="H22" s="102">
        <v>46057.979166666664</v>
      </c>
      <c r="I22" s="153">
        <f t="shared" si="0"/>
        <v>0.15972222221898846</v>
      </c>
      <c r="J22" s="103">
        <f t="shared" si="1"/>
        <v>229.99999999534339</v>
      </c>
      <c r="K22" s="153">
        <f t="shared" si="2"/>
        <v>0.15972222221898846</v>
      </c>
      <c r="L22" s="103">
        <f t="shared" si="3"/>
        <v>229.99999999534339</v>
      </c>
      <c r="M22" s="139" t="s">
        <v>3163</v>
      </c>
      <c r="N22" s="139" t="s">
        <v>20</v>
      </c>
      <c r="O22" s="100" t="s">
        <v>20</v>
      </c>
      <c r="P22" s="37" t="s">
        <v>2734</v>
      </c>
      <c r="Q22" s="37" t="s">
        <v>678</v>
      </c>
      <c r="R22" s="12"/>
      <c r="S22" s="38" t="str">
        <f t="shared" si="4"/>
        <v>ISLA</v>
      </c>
      <c r="T22" s="37" t="str">
        <f t="shared" si="5"/>
        <v>NON</v>
      </c>
      <c r="U22" s="37" t="s">
        <v>2675</v>
      </c>
    </row>
    <row r="23" spans="1:21" x14ac:dyDescent="0.4">
      <c r="A23" s="37">
        <v>22</v>
      </c>
      <c r="B23" s="101" t="s">
        <v>3027</v>
      </c>
      <c r="C23" s="37" t="s">
        <v>14</v>
      </c>
      <c r="D23" s="37" t="s">
        <v>702</v>
      </c>
      <c r="E23" s="9" t="s">
        <v>150</v>
      </c>
      <c r="F23" s="102">
        <v>46058.201388888891</v>
      </c>
      <c r="G23" s="102">
        <v>46058.246527777781</v>
      </c>
      <c r="H23" s="102">
        <v>46058.246527777781</v>
      </c>
      <c r="I23" s="153">
        <f t="shared" si="0"/>
        <v>4.5138888890505768E-2</v>
      </c>
      <c r="J23" s="103">
        <f t="shared" si="1"/>
        <v>65.000000002328306</v>
      </c>
      <c r="K23" s="153">
        <f t="shared" si="2"/>
        <v>4.5138888890505768E-2</v>
      </c>
      <c r="L23" s="103">
        <f t="shared" si="3"/>
        <v>65.000000002328306</v>
      </c>
      <c r="M23" s="139" t="s">
        <v>3153</v>
      </c>
      <c r="N23" s="139" t="s">
        <v>20</v>
      </c>
      <c r="O23" s="100" t="s">
        <v>20</v>
      </c>
      <c r="P23" s="37" t="s">
        <v>704</v>
      </c>
      <c r="Q23" s="37" t="s">
        <v>678</v>
      </c>
      <c r="R23" s="12"/>
      <c r="S23" s="38" t="str">
        <f t="shared" si="4"/>
        <v>ISLA</v>
      </c>
      <c r="T23" s="37" t="str">
        <f t="shared" si="5"/>
        <v>NON</v>
      </c>
      <c r="U23" s="37" t="s">
        <v>3240</v>
      </c>
    </row>
    <row r="24" spans="1:21" x14ac:dyDescent="0.4">
      <c r="A24" s="37">
        <v>23</v>
      </c>
      <c r="B24" s="101" t="s">
        <v>3028</v>
      </c>
      <c r="C24" s="37" t="s">
        <v>2</v>
      </c>
      <c r="D24" s="37" t="s">
        <v>702</v>
      </c>
      <c r="E24" s="9" t="s">
        <v>3011</v>
      </c>
      <c r="F24" s="102">
        <v>46058.28402777778</v>
      </c>
      <c r="G24" s="102">
        <v>46058.361805555556</v>
      </c>
      <c r="H24" s="102">
        <v>46058.361805555556</v>
      </c>
      <c r="I24" s="153">
        <f t="shared" si="0"/>
        <v>7.7777777776645962E-2</v>
      </c>
      <c r="J24" s="103">
        <f t="shared" si="1"/>
        <v>111.99999999837019</v>
      </c>
      <c r="K24" s="153">
        <f t="shared" si="2"/>
        <v>7.7777777776645962E-2</v>
      </c>
      <c r="L24" s="103">
        <f t="shared" si="3"/>
        <v>111.99999999837019</v>
      </c>
      <c r="M24" s="139" t="s">
        <v>2878</v>
      </c>
      <c r="N24" s="139" t="s">
        <v>20</v>
      </c>
      <c r="O24" s="100" t="s">
        <v>20</v>
      </c>
      <c r="P24" s="37" t="s">
        <v>3154</v>
      </c>
      <c r="Q24" s="37" t="s">
        <v>678</v>
      </c>
      <c r="R24" s="12"/>
      <c r="S24" s="38" t="str">
        <f t="shared" si="4"/>
        <v>ISLA</v>
      </c>
      <c r="T24" s="37" t="str">
        <f t="shared" si="5"/>
        <v>NON</v>
      </c>
      <c r="U24" s="37" t="s">
        <v>3240</v>
      </c>
    </row>
    <row r="25" spans="1:21" x14ac:dyDescent="0.4">
      <c r="A25" s="37">
        <v>24</v>
      </c>
      <c r="B25" s="101" t="s">
        <v>2991</v>
      </c>
      <c r="C25" s="37" t="s">
        <v>2</v>
      </c>
      <c r="D25" s="37" t="s">
        <v>702</v>
      </c>
      <c r="E25" s="9" t="s">
        <v>2717</v>
      </c>
      <c r="F25" s="102">
        <v>46058.411805555559</v>
      </c>
      <c r="G25" s="102">
        <v>46058.875</v>
      </c>
      <c r="H25" s="102">
        <v>46058.875</v>
      </c>
      <c r="I25" s="153">
        <f t="shared" si="0"/>
        <v>0.46319444444088731</v>
      </c>
      <c r="J25" s="103">
        <f t="shared" si="1"/>
        <v>666.99999999487773</v>
      </c>
      <c r="K25" s="153">
        <f t="shared" si="2"/>
        <v>0.46319444444088731</v>
      </c>
      <c r="L25" s="103">
        <f t="shared" si="3"/>
        <v>666.99999999487773</v>
      </c>
      <c r="M25" s="139" t="s">
        <v>3156</v>
      </c>
      <c r="N25" s="139" t="s">
        <v>20</v>
      </c>
      <c r="O25" s="100" t="s">
        <v>20</v>
      </c>
      <c r="P25" s="37" t="s">
        <v>3169</v>
      </c>
      <c r="Q25" s="37" t="s">
        <v>678</v>
      </c>
      <c r="R25" s="12"/>
      <c r="S25" s="38" t="str">
        <f t="shared" si="4"/>
        <v>OSLA</v>
      </c>
      <c r="T25" s="37" t="str">
        <f t="shared" si="5"/>
        <v>OUI</v>
      </c>
      <c r="U25" s="37" t="s">
        <v>2735</v>
      </c>
    </row>
    <row r="26" spans="1:21" x14ac:dyDescent="0.4">
      <c r="A26" s="37">
        <v>25</v>
      </c>
      <c r="B26" s="101" t="s">
        <v>3029</v>
      </c>
      <c r="C26" s="37" t="s">
        <v>2</v>
      </c>
      <c r="D26" s="37" t="s">
        <v>702</v>
      </c>
      <c r="E26" s="9" t="s">
        <v>3030</v>
      </c>
      <c r="F26" s="102">
        <v>46058.503472222219</v>
      </c>
      <c r="G26" s="102">
        <v>46059.378472222219</v>
      </c>
      <c r="H26" s="102">
        <v>46059.378472222219</v>
      </c>
      <c r="I26" s="153">
        <f t="shared" si="0"/>
        <v>0.875</v>
      </c>
      <c r="J26" s="103">
        <f t="shared" si="1"/>
        <v>1260</v>
      </c>
      <c r="K26" s="153">
        <f t="shared" si="2"/>
        <v>0.875</v>
      </c>
      <c r="L26" s="103">
        <f t="shared" si="3"/>
        <v>1260</v>
      </c>
      <c r="M26" s="139" t="s">
        <v>3164</v>
      </c>
      <c r="N26" s="9" t="s">
        <v>3165</v>
      </c>
      <c r="O26" s="9" t="s">
        <v>2955</v>
      </c>
      <c r="P26" s="37" t="s">
        <v>2628</v>
      </c>
      <c r="Q26" s="37" t="s">
        <v>678</v>
      </c>
      <c r="R26" s="12"/>
      <c r="S26" s="38" t="str">
        <f t="shared" si="4"/>
        <v>OSLA</v>
      </c>
      <c r="T26" s="37" t="str">
        <f t="shared" si="5"/>
        <v>NON</v>
      </c>
      <c r="U26" s="37" t="s">
        <v>2675</v>
      </c>
    </row>
    <row r="27" spans="1:21" x14ac:dyDescent="0.4">
      <c r="A27" s="37">
        <v>26</v>
      </c>
      <c r="B27" s="101" t="s">
        <v>3031</v>
      </c>
      <c r="C27" s="37" t="s">
        <v>2</v>
      </c>
      <c r="D27" s="37" t="s">
        <v>702</v>
      </c>
      <c r="E27" s="9" t="s">
        <v>2827</v>
      </c>
      <c r="F27" s="102">
        <v>46058.542361111111</v>
      </c>
      <c r="G27" s="102">
        <v>46058.593055555553</v>
      </c>
      <c r="H27" s="102">
        <v>46058.593055555553</v>
      </c>
      <c r="I27" s="153">
        <f t="shared" si="0"/>
        <v>5.0694444442342501E-2</v>
      </c>
      <c r="J27" s="103">
        <f t="shared" si="1"/>
        <v>72.999999996973202</v>
      </c>
      <c r="K27" s="153">
        <f t="shared" si="2"/>
        <v>5.0694444442342501E-2</v>
      </c>
      <c r="L27" s="103">
        <f t="shared" si="3"/>
        <v>72.999999996973202</v>
      </c>
      <c r="M27" s="139" t="s">
        <v>2828</v>
      </c>
      <c r="N27" s="139" t="s">
        <v>3166</v>
      </c>
      <c r="O27" s="100" t="s">
        <v>2910</v>
      </c>
      <c r="P27" s="37" t="s">
        <v>3167</v>
      </c>
      <c r="Q27" s="37" t="s">
        <v>678</v>
      </c>
      <c r="R27" s="12"/>
      <c r="S27" s="38" t="str">
        <f t="shared" si="4"/>
        <v>ISLA</v>
      </c>
      <c r="T27" s="37" t="str">
        <f t="shared" si="5"/>
        <v>NON</v>
      </c>
      <c r="U27" s="37" t="s">
        <v>3240</v>
      </c>
    </row>
    <row r="28" spans="1:21" ht="20.6" x14ac:dyDescent="0.4">
      <c r="A28" s="37">
        <v>27</v>
      </c>
      <c r="B28" s="101" t="s">
        <v>3032</v>
      </c>
      <c r="C28" s="37" t="s">
        <v>2</v>
      </c>
      <c r="D28" s="37" t="s">
        <v>702</v>
      </c>
      <c r="E28" s="9" t="s">
        <v>3033</v>
      </c>
      <c r="F28" s="102">
        <v>46058.794444444444</v>
      </c>
      <c r="G28" s="102">
        <v>46058.930555555555</v>
      </c>
      <c r="H28" s="102">
        <v>46058.930555555555</v>
      </c>
      <c r="I28" s="153">
        <f t="shared" si="0"/>
        <v>0.13611111111094942</v>
      </c>
      <c r="J28" s="103">
        <f t="shared" si="1"/>
        <v>195.99999999976717</v>
      </c>
      <c r="K28" s="153">
        <f t="shared" si="2"/>
        <v>0.13611111111094942</v>
      </c>
      <c r="L28" s="103">
        <f t="shared" si="3"/>
        <v>195.99999999976717</v>
      </c>
      <c r="M28" s="139" t="s">
        <v>3168</v>
      </c>
      <c r="N28" s="139" t="s">
        <v>20</v>
      </c>
      <c r="O28" s="100" t="s">
        <v>20</v>
      </c>
      <c r="P28" s="37" t="s">
        <v>2628</v>
      </c>
      <c r="Q28" s="37" t="s">
        <v>678</v>
      </c>
      <c r="R28" s="12"/>
      <c r="S28" s="38" t="str">
        <f t="shared" si="4"/>
        <v>ISLA</v>
      </c>
      <c r="T28" s="37" t="str">
        <f t="shared" si="5"/>
        <v>NON</v>
      </c>
      <c r="U28" s="37" t="s">
        <v>2675</v>
      </c>
    </row>
    <row r="29" spans="1:21" x14ac:dyDescent="0.4">
      <c r="A29" s="37">
        <v>28</v>
      </c>
      <c r="B29" s="101" t="s">
        <v>3034</v>
      </c>
      <c r="C29" s="37" t="s">
        <v>2</v>
      </c>
      <c r="D29" s="37" t="s">
        <v>701</v>
      </c>
      <c r="E29" s="9" t="s">
        <v>3011</v>
      </c>
      <c r="F29" s="102">
        <v>46059.342361111114</v>
      </c>
      <c r="G29" s="102">
        <v>46059.513888888891</v>
      </c>
      <c r="H29" s="102">
        <v>46059.513888888891</v>
      </c>
      <c r="I29" s="153">
        <f t="shared" si="0"/>
        <v>0.17152777777664596</v>
      </c>
      <c r="J29" s="103">
        <f t="shared" si="1"/>
        <v>246.99999999837019</v>
      </c>
      <c r="K29" s="153">
        <f t="shared" si="2"/>
        <v>0.17152777777664596</v>
      </c>
      <c r="L29" s="103">
        <f t="shared" si="3"/>
        <v>246.99999999837019</v>
      </c>
      <c r="M29" s="139" t="s">
        <v>2878</v>
      </c>
      <c r="N29" s="139" t="s">
        <v>3170</v>
      </c>
      <c r="O29" s="100" t="s">
        <v>3171</v>
      </c>
      <c r="P29" s="37" t="s">
        <v>3154</v>
      </c>
      <c r="Q29" s="37" t="s">
        <v>678</v>
      </c>
      <c r="R29" s="12"/>
      <c r="S29" s="38" t="str">
        <f t="shared" si="4"/>
        <v>OSLA</v>
      </c>
      <c r="T29" s="37" t="str">
        <f t="shared" si="5"/>
        <v>OUI</v>
      </c>
      <c r="U29" s="37" t="s">
        <v>3240</v>
      </c>
    </row>
    <row r="30" spans="1:21" x14ac:dyDescent="0.4">
      <c r="A30" s="37">
        <v>29</v>
      </c>
      <c r="B30" s="101" t="s">
        <v>3035</v>
      </c>
      <c r="C30" s="37" t="s">
        <v>2</v>
      </c>
      <c r="D30" s="37" t="s">
        <v>702</v>
      </c>
      <c r="E30" s="9" t="s">
        <v>2885</v>
      </c>
      <c r="F30" s="102">
        <v>46059.364583333336</v>
      </c>
      <c r="G30" s="102">
        <v>46059.430555555555</v>
      </c>
      <c r="H30" s="102">
        <v>46059.430555555555</v>
      </c>
      <c r="I30" s="153">
        <f t="shared" si="0"/>
        <v>6.5972222218988463E-2</v>
      </c>
      <c r="J30" s="103">
        <f t="shared" si="1"/>
        <v>94.999999995343387</v>
      </c>
      <c r="K30" s="153">
        <f t="shared" si="2"/>
        <v>6.5972222218988463E-2</v>
      </c>
      <c r="L30" s="103">
        <f t="shared" si="3"/>
        <v>94.999999995343387</v>
      </c>
      <c r="M30" s="139" t="s">
        <v>2988</v>
      </c>
      <c r="N30" s="139" t="s">
        <v>20</v>
      </c>
      <c r="O30" s="100" t="s">
        <v>20</v>
      </c>
      <c r="P30" s="37" t="s">
        <v>2684</v>
      </c>
      <c r="Q30" s="37" t="s">
        <v>678</v>
      </c>
      <c r="R30" s="12"/>
      <c r="S30" s="38" t="str">
        <f t="shared" si="4"/>
        <v>ISLA</v>
      </c>
      <c r="T30" s="37" t="str">
        <f t="shared" si="5"/>
        <v>NON</v>
      </c>
      <c r="U30" s="37" t="s">
        <v>3240</v>
      </c>
    </row>
    <row r="31" spans="1:21" x14ac:dyDescent="0.4">
      <c r="A31" s="37">
        <v>30</v>
      </c>
      <c r="B31" s="101" t="s">
        <v>3036</v>
      </c>
      <c r="C31" s="37" t="s">
        <v>2</v>
      </c>
      <c r="D31" s="37" t="s">
        <v>702</v>
      </c>
      <c r="E31" s="9" t="s">
        <v>2717</v>
      </c>
      <c r="F31" s="102">
        <v>46059.421527777777</v>
      </c>
      <c r="G31" s="102">
        <v>46059.524305555555</v>
      </c>
      <c r="H31" s="102">
        <v>46059.524305555555</v>
      </c>
      <c r="I31" s="153">
        <f t="shared" si="0"/>
        <v>0.10277777777810115</v>
      </c>
      <c r="J31" s="103">
        <f t="shared" si="1"/>
        <v>148.00000000046566</v>
      </c>
      <c r="K31" s="153">
        <f t="shared" si="2"/>
        <v>0.10277777777810115</v>
      </c>
      <c r="L31" s="103">
        <f t="shared" si="3"/>
        <v>148.00000000046566</v>
      </c>
      <c r="M31" s="139" t="s">
        <v>2718</v>
      </c>
      <c r="N31" s="9" t="s">
        <v>20</v>
      </c>
      <c r="O31" s="9" t="s">
        <v>20</v>
      </c>
      <c r="P31" s="37" t="s">
        <v>3169</v>
      </c>
      <c r="Q31" s="37" t="s">
        <v>678</v>
      </c>
      <c r="R31" s="12"/>
      <c r="S31" s="38" t="str">
        <f t="shared" si="4"/>
        <v>ISLA</v>
      </c>
      <c r="T31" s="37" t="str">
        <f t="shared" si="5"/>
        <v>NON</v>
      </c>
      <c r="U31" s="37" t="s">
        <v>3240</v>
      </c>
    </row>
    <row r="32" spans="1:21" ht="66" customHeight="1" x14ac:dyDescent="0.4">
      <c r="A32" s="37">
        <v>31</v>
      </c>
      <c r="B32" s="101" t="s">
        <v>3037</v>
      </c>
      <c r="C32" s="37" t="s">
        <v>2</v>
      </c>
      <c r="D32" s="37" t="s">
        <v>702</v>
      </c>
      <c r="E32" s="9" t="s">
        <v>2808</v>
      </c>
      <c r="F32" s="102">
        <v>46059.583333333336</v>
      </c>
      <c r="G32" s="102">
        <v>46059.607638888891</v>
      </c>
      <c r="H32" s="102">
        <v>46059.607638888891</v>
      </c>
      <c r="I32" s="153">
        <f t="shared" si="0"/>
        <v>2.4305555554747116E-2</v>
      </c>
      <c r="J32" s="103">
        <f t="shared" si="1"/>
        <v>34.999999998835847</v>
      </c>
      <c r="K32" s="153">
        <f t="shared" si="2"/>
        <v>2.4305555554747116E-2</v>
      </c>
      <c r="L32" s="103">
        <f t="shared" si="3"/>
        <v>34.999999998835847</v>
      </c>
      <c r="M32" s="139" t="s">
        <v>2809</v>
      </c>
      <c r="N32" s="139" t="s">
        <v>20</v>
      </c>
      <c r="O32" s="100" t="s">
        <v>20</v>
      </c>
      <c r="P32" s="37" t="s">
        <v>2813</v>
      </c>
      <c r="Q32" s="37" t="s">
        <v>678</v>
      </c>
      <c r="R32" s="12"/>
      <c r="S32" s="38" t="str">
        <f t="shared" si="4"/>
        <v>ISLA</v>
      </c>
      <c r="T32" s="37" t="str">
        <f t="shared" si="5"/>
        <v>NON</v>
      </c>
      <c r="U32" s="37" t="s">
        <v>3240</v>
      </c>
    </row>
    <row r="33" spans="1:21" ht="20.6" x14ac:dyDescent="0.4">
      <c r="A33" s="37">
        <v>32</v>
      </c>
      <c r="B33" s="101" t="s">
        <v>3038</v>
      </c>
      <c r="C33" s="37" t="s">
        <v>2</v>
      </c>
      <c r="D33" s="37" t="s">
        <v>702</v>
      </c>
      <c r="E33" s="9" t="s">
        <v>3039</v>
      </c>
      <c r="F33" s="102">
        <v>46059.607638888891</v>
      </c>
      <c r="G33" s="102">
        <v>46059.734722222223</v>
      </c>
      <c r="H33" s="102">
        <v>46059.734722222223</v>
      </c>
      <c r="I33" s="153">
        <f t="shared" si="0"/>
        <v>0.12708333333284827</v>
      </c>
      <c r="J33" s="103">
        <f t="shared" si="1"/>
        <v>182.99999999930151</v>
      </c>
      <c r="K33" s="153">
        <f t="shared" si="2"/>
        <v>0.12708333333284827</v>
      </c>
      <c r="L33" s="103">
        <f t="shared" si="3"/>
        <v>182.99999999930151</v>
      </c>
      <c r="M33" s="139" t="s">
        <v>3172</v>
      </c>
      <c r="N33" s="9" t="s">
        <v>3173</v>
      </c>
      <c r="O33" s="9" t="s">
        <v>3174</v>
      </c>
      <c r="P33" s="37" t="s">
        <v>2628</v>
      </c>
      <c r="Q33" s="37" t="s">
        <v>678</v>
      </c>
      <c r="R33" s="12"/>
      <c r="S33" s="38" t="str">
        <f t="shared" si="4"/>
        <v>ISLA</v>
      </c>
      <c r="T33" s="37" t="str">
        <f t="shared" si="5"/>
        <v>NON</v>
      </c>
      <c r="U33" s="37" t="s">
        <v>2675</v>
      </c>
    </row>
    <row r="34" spans="1:21" x14ac:dyDescent="0.4">
      <c r="A34" s="37">
        <v>33</v>
      </c>
      <c r="B34" s="101" t="s">
        <v>3040</v>
      </c>
      <c r="C34" s="37" t="s">
        <v>2</v>
      </c>
      <c r="D34" s="37" t="s">
        <v>702</v>
      </c>
      <c r="E34" s="9" t="s">
        <v>2717</v>
      </c>
      <c r="F34" s="102">
        <v>46059.613888888889</v>
      </c>
      <c r="G34" s="102">
        <v>46059.635416666664</v>
      </c>
      <c r="H34" s="102">
        <v>46059.635416666664</v>
      </c>
      <c r="I34" s="153">
        <f t="shared" ref="I34:I65" si="6">G34-F34</f>
        <v>2.1527777775190771E-2</v>
      </c>
      <c r="J34" s="103">
        <f t="shared" ref="J34:J65" si="7">I34*1440</f>
        <v>30.99999999627471</v>
      </c>
      <c r="K34" s="153">
        <f t="shared" ref="K34:K65" si="8">H34-F34</f>
        <v>2.1527777775190771E-2</v>
      </c>
      <c r="L34" s="103">
        <f t="shared" ref="L34:L65" si="9">K34*1440</f>
        <v>30.99999999627471</v>
      </c>
      <c r="M34" s="139" t="s">
        <v>2718</v>
      </c>
      <c r="N34" s="139" t="s">
        <v>3175</v>
      </c>
      <c r="O34" s="100" t="s">
        <v>3176</v>
      </c>
      <c r="P34" s="37" t="s">
        <v>3169</v>
      </c>
      <c r="Q34" s="37" t="s">
        <v>678</v>
      </c>
      <c r="R34" s="12"/>
      <c r="S34" s="38" t="str">
        <f t="shared" ref="S34:S65" si="10">IF(AND(C34="P1",J34&lt;=240),"ISLA",IF((AND(C34="P2",J34&lt;=480)),"ISLA",IF((AND(C34="P3",J34&lt;=2880)),"ISLA","OSLA")))</f>
        <v>ISLA</v>
      </c>
      <c r="T34" s="37" t="str">
        <f t="shared" ref="T34:T65" si="11">IF((AND(MID(P34,1,2)="IT",S34="OSLA")),"OUI","NON")</f>
        <v>NON</v>
      </c>
      <c r="U34" s="37" t="s">
        <v>2735</v>
      </c>
    </row>
    <row r="35" spans="1:21" x14ac:dyDescent="0.4">
      <c r="A35" s="37">
        <v>34</v>
      </c>
      <c r="B35" s="101" t="s">
        <v>3041</v>
      </c>
      <c r="C35" s="37" t="s">
        <v>14</v>
      </c>
      <c r="D35" s="37" t="s">
        <v>702</v>
      </c>
      <c r="E35" s="9" t="s">
        <v>2673</v>
      </c>
      <c r="F35" s="102">
        <v>46059.958333333336</v>
      </c>
      <c r="G35" s="102">
        <v>46060.354166666664</v>
      </c>
      <c r="H35" s="102">
        <v>46060.354166666664</v>
      </c>
      <c r="I35" s="153">
        <f t="shared" si="6"/>
        <v>0.39583333332848269</v>
      </c>
      <c r="J35" s="103">
        <f t="shared" si="7"/>
        <v>569.99999999301508</v>
      </c>
      <c r="K35" s="153">
        <f t="shared" si="8"/>
        <v>0.39583333332848269</v>
      </c>
      <c r="L35" s="103">
        <f t="shared" si="9"/>
        <v>569.99999999301508</v>
      </c>
      <c r="M35" s="139" t="s">
        <v>2674</v>
      </c>
      <c r="N35" s="9" t="s">
        <v>20</v>
      </c>
      <c r="O35" s="9" t="s">
        <v>20</v>
      </c>
      <c r="P35" s="37" t="s">
        <v>2815</v>
      </c>
      <c r="Q35" s="37" t="s">
        <v>678</v>
      </c>
      <c r="R35" s="12"/>
      <c r="S35" s="38" t="str">
        <f t="shared" si="10"/>
        <v>OSLA</v>
      </c>
      <c r="T35" s="37" t="str">
        <f t="shared" si="11"/>
        <v>OUI</v>
      </c>
      <c r="U35" s="37" t="s">
        <v>3240</v>
      </c>
    </row>
    <row r="36" spans="1:21" ht="20.6" x14ac:dyDescent="0.4">
      <c r="A36" s="37">
        <v>35</v>
      </c>
      <c r="B36" s="101" t="s">
        <v>3042</v>
      </c>
      <c r="C36" s="37" t="s">
        <v>2</v>
      </c>
      <c r="D36" s="37" t="s">
        <v>702</v>
      </c>
      <c r="E36" s="9" t="s">
        <v>3043</v>
      </c>
      <c r="F36" s="102">
        <v>46060.461805555555</v>
      </c>
      <c r="G36" s="102">
        <v>46060.784722222219</v>
      </c>
      <c r="H36" s="102">
        <v>46060.784722222219</v>
      </c>
      <c r="I36" s="153">
        <f t="shared" si="6"/>
        <v>0.32291666666424135</v>
      </c>
      <c r="J36" s="103">
        <f t="shared" si="7"/>
        <v>464.99999999650754</v>
      </c>
      <c r="K36" s="153">
        <f t="shared" si="8"/>
        <v>0.32291666666424135</v>
      </c>
      <c r="L36" s="103">
        <f t="shared" si="9"/>
        <v>464.99999999650754</v>
      </c>
      <c r="M36" s="139" t="s">
        <v>2786</v>
      </c>
      <c r="N36" s="139" t="s">
        <v>20</v>
      </c>
      <c r="O36" s="100" t="s">
        <v>20</v>
      </c>
      <c r="P36" s="37" t="s">
        <v>2628</v>
      </c>
      <c r="Q36" s="37" t="s">
        <v>678</v>
      </c>
      <c r="R36" s="12"/>
      <c r="S36" s="38" t="str">
        <f t="shared" si="10"/>
        <v>OSLA</v>
      </c>
      <c r="T36" s="37" t="str">
        <f t="shared" si="11"/>
        <v>NON</v>
      </c>
      <c r="U36" s="37" t="s">
        <v>2675</v>
      </c>
    </row>
    <row r="37" spans="1:21" ht="20.6" x14ac:dyDescent="0.4">
      <c r="A37" s="37">
        <v>36</v>
      </c>
      <c r="B37" s="101" t="s">
        <v>2706</v>
      </c>
      <c r="C37" s="37" t="s">
        <v>2</v>
      </c>
      <c r="D37" s="37" t="s">
        <v>702</v>
      </c>
      <c r="E37" s="9" t="s">
        <v>3002</v>
      </c>
      <c r="F37" s="102">
        <v>46061.041666666664</v>
      </c>
      <c r="G37" s="102">
        <v>46061.229166666664</v>
      </c>
      <c r="H37" s="102">
        <v>46061.229166666664</v>
      </c>
      <c r="I37" s="153">
        <f t="shared" si="6"/>
        <v>0.1875</v>
      </c>
      <c r="J37" s="103">
        <f t="shared" si="7"/>
        <v>270</v>
      </c>
      <c r="K37" s="153">
        <f t="shared" si="8"/>
        <v>0.1875</v>
      </c>
      <c r="L37" s="103">
        <f t="shared" si="9"/>
        <v>270</v>
      </c>
      <c r="M37" s="139" t="s">
        <v>2708</v>
      </c>
      <c r="N37" s="9" t="s">
        <v>20</v>
      </c>
      <c r="O37" s="9" t="s">
        <v>20</v>
      </c>
      <c r="P37" s="37" t="s">
        <v>2628</v>
      </c>
      <c r="Q37" s="37" t="s">
        <v>678</v>
      </c>
      <c r="R37" s="12" t="s">
        <v>3239</v>
      </c>
      <c r="S37" s="38" t="str">
        <f t="shared" si="10"/>
        <v>OSLA</v>
      </c>
      <c r="T37" s="37" t="str">
        <f t="shared" si="11"/>
        <v>NON</v>
      </c>
      <c r="U37" s="37" t="s">
        <v>2675</v>
      </c>
    </row>
    <row r="38" spans="1:21" x14ac:dyDescent="0.4">
      <c r="A38" s="37">
        <v>37</v>
      </c>
      <c r="B38" s="101" t="s">
        <v>3044</v>
      </c>
      <c r="C38" s="37" t="s">
        <v>2</v>
      </c>
      <c r="D38" s="37" t="s">
        <v>702</v>
      </c>
      <c r="E38" s="9" t="s">
        <v>3045</v>
      </c>
      <c r="F38" s="102">
        <v>46062.225694444445</v>
      </c>
      <c r="G38" s="102">
        <v>46062.365277777775</v>
      </c>
      <c r="H38" s="102">
        <v>46062.365277777775</v>
      </c>
      <c r="I38" s="153">
        <f t="shared" si="6"/>
        <v>0.13958333332993789</v>
      </c>
      <c r="J38" s="103">
        <f t="shared" si="7"/>
        <v>200.99999999511056</v>
      </c>
      <c r="K38" s="153">
        <f t="shared" si="8"/>
        <v>0.13958333332993789</v>
      </c>
      <c r="L38" s="103">
        <f t="shared" si="9"/>
        <v>200.99999999511056</v>
      </c>
      <c r="M38" s="139" t="s">
        <v>3177</v>
      </c>
      <c r="N38" s="9" t="s">
        <v>20</v>
      </c>
      <c r="O38" s="9" t="s">
        <v>20</v>
      </c>
      <c r="P38" s="37" t="s">
        <v>2628</v>
      </c>
      <c r="Q38" s="37" t="s">
        <v>678</v>
      </c>
      <c r="R38" s="12"/>
      <c r="S38" s="38" t="str">
        <f t="shared" si="10"/>
        <v>ISLA</v>
      </c>
      <c r="T38" s="37" t="str">
        <f t="shared" si="11"/>
        <v>NON</v>
      </c>
      <c r="U38" s="37" t="s">
        <v>2675</v>
      </c>
    </row>
    <row r="39" spans="1:21" x14ac:dyDescent="0.4">
      <c r="A39" s="37">
        <v>38</v>
      </c>
      <c r="B39" s="101" t="s">
        <v>3046</v>
      </c>
      <c r="C39" s="37" t="s">
        <v>14</v>
      </c>
      <c r="D39" s="37" t="s">
        <v>702</v>
      </c>
      <c r="E39" s="9" t="s">
        <v>2673</v>
      </c>
      <c r="F39" s="102">
        <v>46062.470833333333</v>
      </c>
      <c r="G39" s="102">
        <v>46062.694444444445</v>
      </c>
      <c r="H39" s="102">
        <v>46062.694444444445</v>
      </c>
      <c r="I39" s="153">
        <f t="shared" si="6"/>
        <v>0.22361111111240461</v>
      </c>
      <c r="J39" s="103">
        <f t="shared" si="7"/>
        <v>322.00000000186265</v>
      </c>
      <c r="K39" s="153">
        <f t="shared" si="8"/>
        <v>0.22361111111240461</v>
      </c>
      <c r="L39" s="103">
        <f t="shared" si="9"/>
        <v>322.00000000186265</v>
      </c>
      <c r="M39" s="139" t="s">
        <v>2674</v>
      </c>
      <c r="N39" s="9" t="s">
        <v>20</v>
      </c>
      <c r="O39" s="9" t="s">
        <v>20</v>
      </c>
      <c r="P39" s="37" t="s">
        <v>2815</v>
      </c>
      <c r="Q39" s="37" t="s">
        <v>678</v>
      </c>
      <c r="R39" s="12"/>
      <c r="S39" s="38" t="str">
        <f t="shared" si="10"/>
        <v>ISLA</v>
      </c>
      <c r="T39" s="37" t="str">
        <f t="shared" si="11"/>
        <v>NON</v>
      </c>
      <c r="U39" s="37" t="s">
        <v>3240</v>
      </c>
    </row>
    <row r="40" spans="1:21" x14ac:dyDescent="0.4">
      <c r="A40" s="37">
        <v>39</v>
      </c>
      <c r="B40" s="101" t="s">
        <v>3047</v>
      </c>
      <c r="C40" s="37" t="s">
        <v>2</v>
      </c>
      <c r="D40" s="37" t="s">
        <v>702</v>
      </c>
      <c r="E40" s="9" t="s">
        <v>3045</v>
      </c>
      <c r="F40" s="102">
        <v>46062.607638888891</v>
      </c>
      <c r="G40" s="102">
        <v>46062.725694444445</v>
      </c>
      <c r="H40" s="102">
        <v>46062.725694444445</v>
      </c>
      <c r="I40" s="153">
        <f t="shared" si="6"/>
        <v>0.11805555555474712</v>
      </c>
      <c r="J40" s="103">
        <f t="shared" si="7"/>
        <v>169.99999999883585</v>
      </c>
      <c r="K40" s="153">
        <f t="shared" si="8"/>
        <v>0.11805555555474712</v>
      </c>
      <c r="L40" s="103">
        <f t="shared" si="9"/>
        <v>169.99999999883585</v>
      </c>
      <c r="M40" s="139" t="s">
        <v>3177</v>
      </c>
      <c r="N40" s="9" t="s">
        <v>20</v>
      </c>
      <c r="O40" s="9" t="s">
        <v>20</v>
      </c>
      <c r="P40" s="37" t="s">
        <v>2628</v>
      </c>
      <c r="Q40" s="37" t="s">
        <v>678</v>
      </c>
      <c r="R40" s="12"/>
      <c r="S40" s="38" t="str">
        <f t="shared" si="10"/>
        <v>ISLA</v>
      </c>
      <c r="T40" s="37" t="str">
        <f t="shared" si="11"/>
        <v>NON</v>
      </c>
      <c r="U40" s="37" t="s">
        <v>2675</v>
      </c>
    </row>
    <row r="41" spans="1:21" x14ac:dyDescent="0.4">
      <c r="A41" s="37">
        <v>40</v>
      </c>
      <c r="B41" s="101" t="s">
        <v>3048</v>
      </c>
      <c r="C41" s="37" t="s">
        <v>2</v>
      </c>
      <c r="D41" s="37" t="s">
        <v>702</v>
      </c>
      <c r="E41" s="9" t="s">
        <v>2717</v>
      </c>
      <c r="F41" s="102">
        <v>46062.667361111111</v>
      </c>
      <c r="G41" s="102">
        <v>46063.694444444445</v>
      </c>
      <c r="H41" s="102">
        <v>46063.694444444445</v>
      </c>
      <c r="I41" s="153">
        <f t="shared" si="6"/>
        <v>1.0270833333343035</v>
      </c>
      <c r="J41" s="103">
        <f t="shared" si="7"/>
        <v>1479.000000001397</v>
      </c>
      <c r="K41" s="153">
        <f t="shared" si="8"/>
        <v>1.0270833333343035</v>
      </c>
      <c r="L41" s="103">
        <f t="shared" si="9"/>
        <v>1479.000000001397</v>
      </c>
      <c r="M41" s="139" t="s">
        <v>2718</v>
      </c>
      <c r="N41" s="9" t="s">
        <v>20</v>
      </c>
      <c r="O41" s="9" t="s">
        <v>20</v>
      </c>
      <c r="P41" s="37" t="s">
        <v>3169</v>
      </c>
      <c r="Q41" s="37" t="s">
        <v>678</v>
      </c>
      <c r="R41" s="12"/>
      <c r="S41" s="38" t="str">
        <f t="shared" si="10"/>
        <v>OSLA</v>
      </c>
      <c r="T41" s="37" t="str">
        <f t="shared" si="11"/>
        <v>OUI</v>
      </c>
      <c r="U41" s="37" t="s">
        <v>3240</v>
      </c>
    </row>
    <row r="42" spans="1:21" x14ac:dyDescent="0.4">
      <c r="A42" s="37">
        <v>41</v>
      </c>
      <c r="B42" s="101" t="s">
        <v>3051</v>
      </c>
      <c r="C42" s="37" t="s">
        <v>2</v>
      </c>
      <c r="D42" s="37" t="s">
        <v>702</v>
      </c>
      <c r="E42" s="9" t="s">
        <v>2808</v>
      </c>
      <c r="F42" s="102">
        <v>46063.288194444445</v>
      </c>
      <c r="G42" s="102">
        <v>46063.685416666667</v>
      </c>
      <c r="H42" s="102">
        <v>46063.685416666667</v>
      </c>
      <c r="I42" s="153">
        <f t="shared" si="6"/>
        <v>0.39722222222189885</v>
      </c>
      <c r="J42" s="103">
        <f t="shared" si="7"/>
        <v>571.99999999953434</v>
      </c>
      <c r="K42" s="153">
        <f t="shared" si="8"/>
        <v>0.39722222222189885</v>
      </c>
      <c r="L42" s="103">
        <f t="shared" si="9"/>
        <v>571.99999999953434</v>
      </c>
      <c r="M42" s="139" t="s">
        <v>2809</v>
      </c>
      <c r="N42" s="9" t="s">
        <v>20</v>
      </c>
      <c r="O42" s="9" t="s">
        <v>20</v>
      </c>
      <c r="P42" s="37" t="s">
        <v>2813</v>
      </c>
      <c r="Q42" s="37" t="s">
        <v>678</v>
      </c>
      <c r="R42" s="12"/>
      <c r="S42" s="38" t="str">
        <f t="shared" si="10"/>
        <v>OSLA</v>
      </c>
      <c r="T42" s="37" t="str">
        <f t="shared" si="11"/>
        <v>OUI</v>
      </c>
      <c r="U42" s="37" t="s">
        <v>2675</v>
      </c>
    </row>
    <row r="43" spans="1:21" ht="20.6" x14ac:dyDescent="0.4">
      <c r="A43" s="37">
        <v>42</v>
      </c>
      <c r="B43" s="101" t="s">
        <v>3049</v>
      </c>
      <c r="C43" s="37" t="s">
        <v>2</v>
      </c>
      <c r="D43" s="37" t="s">
        <v>702</v>
      </c>
      <c r="E43" s="9" t="s">
        <v>3050</v>
      </c>
      <c r="F43" s="102">
        <v>46063.5</v>
      </c>
      <c r="G43" s="102">
        <v>46063.548611111109</v>
      </c>
      <c r="H43" s="102">
        <v>46063.548611111109</v>
      </c>
      <c r="I43" s="153">
        <f t="shared" si="6"/>
        <v>4.8611111109494232E-2</v>
      </c>
      <c r="J43" s="103">
        <f t="shared" si="7"/>
        <v>69.999999997671694</v>
      </c>
      <c r="K43" s="153">
        <f t="shared" si="8"/>
        <v>4.8611111109494232E-2</v>
      </c>
      <c r="L43" s="103">
        <f t="shared" si="9"/>
        <v>69.999999997671694</v>
      </c>
      <c r="M43" s="139" t="s">
        <v>2941</v>
      </c>
      <c r="N43" s="139" t="s">
        <v>20</v>
      </c>
      <c r="O43" s="100" t="s">
        <v>20</v>
      </c>
      <c r="P43" s="37" t="s">
        <v>2684</v>
      </c>
      <c r="Q43" s="37" t="s">
        <v>678</v>
      </c>
      <c r="R43" s="12"/>
      <c r="S43" s="38" t="str">
        <f t="shared" si="10"/>
        <v>ISLA</v>
      </c>
      <c r="T43" s="37" t="str">
        <f t="shared" si="11"/>
        <v>NON</v>
      </c>
      <c r="U43" s="37" t="s">
        <v>3240</v>
      </c>
    </row>
    <row r="44" spans="1:21" ht="20.6" x14ac:dyDescent="0.4">
      <c r="A44" s="37">
        <v>43</v>
      </c>
      <c r="B44" s="101" t="s">
        <v>3052</v>
      </c>
      <c r="C44" s="37" t="s">
        <v>2</v>
      </c>
      <c r="D44" s="37" t="s">
        <v>702</v>
      </c>
      <c r="E44" s="9" t="s">
        <v>3053</v>
      </c>
      <c r="F44" s="102">
        <v>46063.895833333336</v>
      </c>
      <c r="G44" s="102">
        <v>46063.975694444445</v>
      </c>
      <c r="H44" s="102">
        <v>46063.975694444445</v>
      </c>
      <c r="I44" s="153">
        <f t="shared" si="6"/>
        <v>7.9861111109494232E-2</v>
      </c>
      <c r="J44" s="103">
        <f t="shared" si="7"/>
        <v>114.99999999767169</v>
      </c>
      <c r="K44" s="153">
        <f t="shared" si="8"/>
        <v>7.9861111109494232E-2</v>
      </c>
      <c r="L44" s="103">
        <f t="shared" si="9"/>
        <v>114.99999999767169</v>
      </c>
      <c r="M44" s="139" t="s">
        <v>2825</v>
      </c>
      <c r="N44" s="9" t="s">
        <v>20</v>
      </c>
      <c r="O44" s="9" t="s">
        <v>20</v>
      </c>
      <c r="P44" s="37" t="s">
        <v>2813</v>
      </c>
      <c r="Q44" s="37" t="s">
        <v>678</v>
      </c>
      <c r="R44" s="12"/>
      <c r="S44" s="38" t="str">
        <f t="shared" si="10"/>
        <v>ISLA</v>
      </c>
      <c r="T44" s="37" t="str">
        <f t="shared" si="11"/>
        <v>NON</v>
      </c>
      <c r="U44" s="37" t="s">
        <v>3240</v>
      </c>
    </row>
    <row r="45" spans="1:21" x14ac:dyDescent="0.4">
      <c r="A45" s="37">
        <v>44</v>
      </c>
      <c r="B45" s="101" t="s">
        <v>3054</v>
      </c>
      <c r="C45" s="37" t="s">
        <v>2</v>
      </c>
      <c r="D45" s="37" t="s">
        <v>702</v>
      </c>
      <c r="E45" s="9" t="s">
        <v>2827</v>
      </c>
      <c r="F45" s="102">
        <v>46064.259027777778</v>
      </c>
      <c r="G45" s="102">
        <v>46064.329861111109</v>
      </c>
      <c r="H45" s="102">
        <v>46064.329861111109</v>
      </c>
      <c r="I45" s="153">
        <f t="shared" si="6"/>
        <v>7.0833333331393078E-2</v>
      </c>
      <c r="J45" s="103">
        <f t="shared" si="7"/>
        <v>101.99999999720603</v>
      </c>
      <c r="K45" s="153">
        <f t="shared" si="8"/>
        <v>7.0833333331393078E-2</v>
      </c>
      <c r="L45" s="103">
        <f t="shared" si="9"/>
        <v>101.99999999720603</v>
      </c>
      <c r="M45" s="139" t="s">
        <v>2828</v>
      </c>
      <c r="N45" s="9" t="s">
        <v>3178</v>
      </c>
      <c r="O45" s="9" t="s">
        <v>3179</v>
      </c>
      <c r="P45" s="37" t="s">
        <v>2829</v>
      </c>
      <c r="Q45" s="37" t="s">
        <v>678</v>
      </c>
      <c r="R45" s="12"/>
      <c r="S45" s="38" t="str">
        <f t="shared" si="10"/>
        <v>ISLA</v>
      </c>
      <c r="T45" s="37" t="str">
        <f t="shared" si="11"/>
        <v>NON</v>
      </c>
      <c r="U45" s="37" t="s">
        <v>2735</v>
      </c>
    </row>
    <row r="46" spans="1:21" x14ac:dyDescent="0.4">
      <c r="A46" s="37">
        <v>45</v>
      </c>
      <c r="B46" s="101" t="s">
        <v>3055</v>
      </c>
      <c r="C46" s="37" t="s">
        <v>2</v>
      </c>
      <c r="D46" s="37" t="s">
        <v>702</v>
      </c>
      <c r="E46" s="9" t="s">
        <v>2686</v>
      </c>
      <c r="F46" s="102">
        <v>46064.354166666664</v>
      </c>
      <c r="G46" s="102">
        <v>46064.381944444445</v>
      </c>
      <c r="H46" s="102">
        <v>46064.381944444445</v>
      </c>
      <c r="I46" s="153">
        <f t="shared" si="6"/>
        <v>2.7777777781011537E-2</v>
      </c>
      <c r="J46" s="103">
        <f t="shared" si="7"/>
        <v>40.000000004656613</v>
      </c>
      <c r="K46" s="153">
        <f t="shared" si="8"/>
        <v>2.7777777781011537E-2</v>
      </c>
      <c r="L46" s="103">
        <f t="shared" si="9"/>
        <v>40.000000004656613</v>
      </c>
      <c r="M46" s="139" t="s">
        <v>3155</v>
      </c>
      <c r="N46" s="9" t="s">
        <v>20</v>
      </c>
      <c r="O46" s="9" t="s">
        <v>20</v>
      </c>
      <c r="P46" s="37" t="s">
        <v>2688</v>
      </c>
      <c r="Q46" s="37" t="s">
        <v>678</v>
      </c>
      <c r="R46" s="12"/>
      <c r="S46" s="38" t="str">
        <f t="shared" si="10"/>
        <v>ISLA</v>
      </c>
      <c r="T46" s="37" t="str">
        <f t="shared" si="11"/>
        <v>NON</v>
      </c>
      <c r="U46" s="37" t="s">
        <v>3240</v>
      </c>
    </row>
    <row r="47" spans="1:21" x14ac:dyDescent="0.4">
      <c r="A47" s="37">
        <v>46</v>
      </c>
      <c r="B47" s="101" t="s">
        <v>3056</v>
      </c>
      <c r="C47" s="37" t="s">
        <v>2</v>
      </c>
      <c r="D47" s="37" t="s">
        <v>702</v>
      </c>
      <c r="E47" s="9" t="s">
        <v>2817</v>
      </c>
      <c r="F47" s="102">
        <v>46064.409722222219</v>
      </c>
      <c r="G47" s="102">
        <v>46064.425694444442</v>
      </c>
      <c r="H47" s="102">
        <v>46064.425694444442</v>
      </c>
      <c r="I47" s="153">
        <f t="shared" si="6"/>
        <v>1.5972222223354038E-2</v>
      </c>
      <c r="J47" s="103">
        <f t="shared" si="7"/>
        <v>23.000000001629815</v>
      </c>
      <c r="K47" s="153">
        <f t="shared" si="8"/>
        <v>1.5972222223354038E-2</v>
      </c>
      <c r="L47" s="103">
        <f t="shared" si="9"/>
        <v>23.000000001629815</v>
      </c>
      <c r="M47" s="139" t="s">
        <v>2990</v>
      </c>
      <c r="N47" s="9" t="s">
        <v>3180</v>
      </c>
      <c r="O47" s="9" t="s">
        <v>3181</v>
      </c>
      <c r="P47" s="37" t="s">
        <v>2819</v>
      </c>
      <c r="Q47" s="37" t="s">
        <v>678</v>
      </c>
      <c r="R47" s="12"/>
      <c r="S47" s="38" t="str">
        <f t="shared" si="10"/>
        <v>ISLA</v>
      </c>
      <c r="T47" s="37" t="str">
        <f t="shared" si="11"/>
        <v>NON</v>
      </c>
      <c r="U47" s="37" t="s">
        <v>3240</v>
      </c>
    </row>
    <row r="48" spans="1:21" ht="20.6" x14ac:dyDescent="0.4">
      <c r="A48" s="37">
        <v>47</v>
      </c>
      <c r="B48" s="101" t="s">
        <v>3057</v>
      </c>
      <c r="C48" s="37" t="s">
        <v>2</v>
      </c>
      <c r="D48" s="37" t="s">
        <v>702</v>
      </c>
      <c r="E48" s="9" t="s">
        <v>3244</v>
      </c>
      <c r="F48" s="102">
        <v>46064.413194444445</v>
      </c>
      <c r="G48" s="102">
        <v>46064.486111111109</v>
      </c>
      <c r="H48" s="102">
        <v>46064.486111111109</v>
      </c>
      <c r="I48" s="153">
        <f t="shared" si="6"/>
        <v>7.2916666664241347E-2</v>
      </c>
      <c r="J48" s="103">
        <f t="shared" si="7"/>
        <v>104.99999999650754</v>
      </c>
      <c r="K48" s="153">
        <f t="shared" si="8"/>
        <v>7.2916666664241347E-2</v>
      </c>
      <c r="L48" s="103">
        <f t="shared" si="9"/>
        <v>104.99999999650754</v>
      </c>
      <c r="M48" s="139" t="s">
        <v>3182</v>
      </c>
      <c r="N48" s="9" t="s">
        <v>20</v>
      </c>
      <c r="O48" s="9" t="s">
        <v>20</v>
      </c>
      <c r="P48" s="37" t="s">
        <v>2813</v>
      </c>
      <c r="Q48" s="37" t="s">
        <v>678</v>
      </c>
      <c r="R48" s="12"/>
      <c r="S48" s="38" t="str">
        <f t="shared" si="10"/>
        <v>ISLA</v>
      </c>
      <c r="T48" s="37" t="str">
        <f t="shared" si="11"/>
        <v>NON</v>
      </c>
      <c r="U48" s="37" t="s">
        <v>3240</v>
      </c>
    </row>
    <row r="49" spans="1:21" ht="30.9" x14ac:dyDescent="0.4">
      <c r="A49" s="37">
        <v>48</v>
      </c>
      <c r="B49" s="101" t="s">
        <v>3058</v>
      </c>
      <c r="C49" s="37" t="s">
        <v>14</v>
      </c>
      <c r="D49" s="37" t="s">
        <v>702</v>
      </c>
      <c r="E49" s="9" t="s">
        <v>3059</v>
      </c>
      <c r="F49" s="102">
        <v>46064.496527777781</v>
      </c>
      <c r="G49" s="102">
        <v>46064.559027777781</v>
      </c>
      <c r="H49" s="102">
        <v>46064.559027777781</v>
      </c>
      <c r="I49" s="153">
        <f t="shared" si="6"/>
        <v>6.25E-2</v>
      </c>
      <c r="J49" s="103">
        <f t="shared" si="7"/>
        <v>90</v>
      </c>
      <c r="K49" s="153">
        <f t="shared" si="8"/>
        <v>6.25E-2</v>
      </c>
      <c r="L49" s="103">
        <f t="shared" si="9"/>
        <v>90</v>
      </c>
      <c r="M49" s="139" t="s">
        <v>3183</v>
      </c>
      <c r="N49" s="139" t="s">
        <v>20</v>
      </c>
      <c r="O49" s="100" t="s">
        <v>20</v>
      </c>
      <c r="P49" s="37" t="s">
        <v>2628</v>
      </c>
      <c r="Q49" s="37" t="s">
        <v>678</v>
      </c>
      <c r="R49" s="12"/>
      <c r="S49" s="38" t="str">
        <f t="shared" si="10"/>
        <v>ISLA</v>
      </c>
      <c r="T49" s="37" t="str">
        <f t="shared" si="11"/>
        <v>NON</v>
      </c>
      <c r="U49" s="37" t="s">
        <v>3240</v>
      </c>
    </row>
    <row r="50" spans="1:21" x14ac:dyDescent="0.4">
      <c r="A50" s="37">
        <v>49</v>
      </c>
      <c r="B50" s="101" t="s">
        <v>3060</v>
      </c>
      <c r="C50" s="37" t="s">
        <v>2</v>
      </c>
      <c r="D50" s="37" t="s">
        <v>702</v>
      </c>
      <c r="E50" s="9" t="s">
        <v>2817</v>
      </c>
      <c r="F50" s="102">
        <v>46064.513888888891</v>
      </c>
      <c r="G50" s="102">
        <v>46064.559027777781</v>
      </c>
      <c r="H50" s="102">
        <v>46064.559027777781</v>
      </c>
      <c r="I50" s="153">
        <f t="shared" si="6"/>
        <v>4.5138888890505768E-2</v>
      </c>
      <c r="J50" s="103">
        <f t="shared" si="7"/>
        <v>65.000000002328306</v>
      </c>
      <c r="K50" s="153">
        <f t="shared" si="8"/>
        <v>4.5138888890505768E-2</v>
      </c>
      <c r="L50" s="103">
        <f t="shared" si="9"/>
        <v>65.000000002328306</v>
      </c>
      <c r="M50" s="139" t="s">
        <v>3184</v>
      </c>
      <c r="N50" s="9" t="s">
        <v>20</v>
      </c>
      <c r="O50" s="9" t="s">
        <v>20</v>
      </c>
      <c r="P50" s="37" t="s">
        <v>2819</v>
      </c>
      <c r="Q50" s="37" t="s">
        <v>678</v>
      </c>
      <c r="R50" s="12"/>
      <c r="S50" s="38" t="str">
        <f t="shared" si="10"/>
        <v>ISLA</v>
      </c>
      <c r="T50" s="37" t="str">
        <f t="shared" si="11"/>
        <v>NON</v>
      </c>
      <c r="U50" s="37" t="s">
        <v>3240</v>
      </c>
    </row>
    <row r="51" spans="1:21" x14ac:dyDescent="0.4">
      <c r="A51" s="37">
        <v>50</v>
      </c>
      <c r="B51" s="101" t="s">
        <v>3061</v>
      </c>
      <c r="C51" s="37" t="s">
        <v>2</v>
      </c>
      <c r="D51" s="37" t="s">
        <v>702</v>
      </c>
      <c r="E51" s="9" t="s">
        <v>3062</v>
      </c>
      <c r="F51" s="102">
        <v>46064.545138888891</v>
      </c>
      <c r="G51" s="102">
        <v>46064.597222222219</v>
      </c>
      <c r="H51" s="102">
        <v>46064.597222222219</v>
      </c>
      <c r="I51" s="153">
        <f t="shared" si="6"/>
        <v>5.2083333328482695E-2</v>
      </c>
      <c r="J51" s="103">
        <f t="shared" si="7"/>
        <v>74.999999993015081</v>
      </c>
      <c r="K51" s="153">
        <f t="shared" si="8"/>
        <v>5.2083333328482695E-2</v>
      </c>
      <c r="L51" s="103">
        <f t="shared" si="9"/>
        <v>74.999999993015081</v>
      </c>
      <c r="M51" s="139" t="s">
        <v>3185</v>
      </c>
      <c r="N51" s="9" t="s">
        <v>20</v>
      </c>
      <c r="O51" s="9" t="s">
        <v>20</v>
      </c>
      <c r="P51" s="37" t="s">
        <v>2688</v>
      </c>
      <c r="Q51" s="37" t="s">
        <v>678</v>
      </c>
      <c r="R51" s="12"/>
      <c r="S51" s="38" t="str">
        <f t="shared" si="10"/>
        <v>ISLA</v>
      </c>
      <c r="T51" s="37" t="str">
        <f t="shared" si="11"/>
        <v>NON</v>
      </c>
      <c r="U51" s="37" t="s">
        <v>2675</v>
      </c>
    </row>
    <row r="52" spans="1:21" x14ac:dyDescent="0.4">
      <c r="A52" s="37">
        <v>51</v>
      </c>
      <c r="B52" s="101" t="s">
        <v>3063</v>
      </c>
      <c r="C52" s="37" t="s">
        <v>2</v>
      </c>
      <c r="D52" s="37" t="s">
        <v>702</v>
      </c>
      <c r="E52" s="9" t="s">
        <v>3062</v>
      </c>
      <c r="F52" s="102">
        <v>46064.659722222219</v>
      </c>
      <c r="G52" s="102">
        <v>46064.680555555555</v>
      </c>
      <c r="H52" s="102">
        <v>46064.680555555555</v>
      </c>
      <c r="I52" s="153">
        <f t="shared" si="6"/>
        <v>2.0833333335758653E-2</v>
      </c>
      <c r="J52" s="103">
        <f t="shared" si="7"/>
        <v>30.00000000349246</v>
      </c>
      <c r="K52" s="153">
        <f t="shared" si="8"/>
        <v>2.0833333335758653E-2</v>
      </c>
      <c r="L52" s="103">
        <f t="shared" si="9"/>
        <v>30.00000000349246</v>
      </c>
      <c r="M52" s="139" t="s">
        <v>3185</v>
      </c>
      <c r="N52" s="9" t="s">
        <v>20</v>
      </c>
      <c r="O52" s="9" t="s">
        <v>20</v>
      </c>
      <c r="P52" s="37" t="s">
        <v>2688</v>
      </c>
      <c r="Q52" s="37" t="s">
        <v>678</v>
      </c>
      <c r="R52" s="12"/>
      <c r="S52" s="38" t="str">
        <f t="shared" si="10"/>
        <v>ISLA</v>
      </c>
      <c r="T52" s="37" t="str">
        <f t="shared" si="11"/>
        <v>NON</v>
      </c>
      <c r="U52" s="37" t="s">
        <v>2675</v>
      </c>
    </row>
    <row r="53" spans="1:21" x14ac:dyDescent="0.4">
      <c r="A53" s="37">
        <v>52</v>
      </c>
      <c r="B53" s="101" t="s">
        <v>3064</v>
      </c>
      <c r="C53" s="37" t="s">
        <v>2</v>
      </c>
      <c r="D53" s="37" t="s">
        <v>702</v>
      </c>
      <c r="E53" s="9" t="s">
        <v>954</v>
      </c>
      <c r="F53" s="102">
        <v>46065.000694444447</v>
      </c>
      <c r="G53" s="102">
        <v>46065.354166666664</v>
      </c>
      <c r="H53" s="102">
        <v>46065.354166666664</v>
      </c>
      <c r="I53" s="153">
        <f t="shared" si="6"/>
        <v>0.35347222221753327</v>
      </c>
      <c r="J53" s="103">
        <f t="shared" si="7"/>
        <v>508.99999999324791</v>
      </c>
      <c r="K53" s="153">
        <f t="shared" si="8"/>
        <v>0.35347222221753327</v>
      </c>
      <c r="L53" s="103">
        <f t="shared" si="9"/>
        <v>508.99999999324791</v>
      </c>
      <c r="M53" s="139" t="s">
        <v>2996</v>
      </c>
      <c r="N53" s="9" t="s">
        <v>20</v>
      </c>
      <c r="O53" s="9" t="s">
        <v>20</v>
      </c>
      <c r="P53" s="37" t="s">
        <v>2997</v>
      </c>
      <c r="Q53" s="37" t="s">
        <v>678</v>
      </c>
      <c r="R53" s="12"/>
      <c r="S53" s="38" t="str">
        <f t="shared" si="10"/>
        <v>OSLA</v>
      </c>
      <c r="T53" s="37" t="str">
        <f t="shared" si="11"/>
        <v>OUI</v>
      </c>
      <c r="U53" s="37" t="s">
        <v>3240</v>
      </c>
    </row>
    <row r="54" spans="1:21" x14ac:dyDescent="0.4">
      <c r="A54" s="37">
        <v>53</v>
      </c>
      <c r="B54" s="101" t="s">
        <v>3065</v>
      </c>
      <c r="C54" s="37" t="s">
        <v>2</v>
      </c>
      <c r="D54" s="37" t="s">
        <v>702</v>
      </c>
      <c r="E54" s="9" t="s">
        <v>2885</v>
      </c>
      <c r="F54" s="102">
        <v>46065.288194444445</v>
      </c>
      <c r="G54" s="102">
        <v>46065.354166666664</v>
      </c>
      <c r="H54" s="102">
        <v>46065.354166666664</v>
      </c>
      <c r="I54" s="153">
        <f t="shared" si="6"/>
        <v>6.5972222218988463E-2</v>
      </c>
      <c r="J54" s="103">
        <f t="shared" si="7"/>
        <v>94.999999995343387</v>
      </c>
      <c r="K54" s="153">
        <f t="shared" si="8"/>
        <v>6.5972222218988463E-2</v>
      </c>
      <c r="L54" s="103">
        <f t="shared" si="9"/>
        <v>94.999999995343387</v>
      </c>
      <c r="M54" s="139" t="s">
        <v>2988</v>
      </c>
      <c r="N54" s="139" t="s">
        <v>20</v>
      </c>
      <c r="O54" s="100" t="s">
        <v>20</v>
      </c>
      <c r="P54" s="37" t="s">
        <v>2684</v>
      </c>
      <c r="Q54" s="37" t="s">
        <v>678</v>
      </c>
      <c r="R54" s="12"/>
      <c r="S54" s="38" t="str">
        <f t="shared" si="10"/>
        <v>ISLA</v>
      </c>
      <c r="T54" s="37" t="str">
        <f t="shared" si="11"/>
        <v>NON</v>
      </c>
      <c r="U54" s="37" t="s">
        <v>3240</v>
      </c>
    </row>
    <row r="55" spans="1:21" ht="20.6" x14ac:dyDescent="0.4">
      <c r="A55" s="37">
        <v>54</v>
      </c>
      <c r="B55" s="101" t="s">
        <v>3066</v>
      </c>
      <c r="C55" s="37" t="s">
        <v>14</v>
      </c>
      <c r="D55" s="37" t="s">
        <v>702</v>
      </c>
      <c r="E55" s="9" t="s">
        <v>3067</v>
      </c>
      <c r="F55" s="102">
        <v>46065.375</v>
      </c>
      <c r="G55" s="102">
        <v>46066.378472222219</v>
      </c>
      <c r="H55" s="102">
        <v>46066.378472222219</v>
      </c>
      <c r="I55" s="153">
        <f t="shared" si="6"/>
        <v>1.0034722222189885</v>
      </c>
      <c r="J55" s="103">
        <f t="shared" si="7"/>
        <v>1444.9999999953434</v>
      </c>
      <c r="K55" s="153">
        <f t="shared" si="8"/>
        <v>1.0034722222189885</v>
      </c>
      <c r="L55" s="103">
        <f t="shared" si="9"/>
        <v>1444.9999999953434</v>
      </c>
      <c r="M55" s="139" t="s">
        <v>3186</v>
      </c>
      <c r="N55" s="9" t="s">
        <v>3245</v>
      </c>
      <c r="O55" s="9" t="s">
        <v>2758</v>
      </c>
      <c r="P55" s="37" t="s">
        <v>2734</v>
      </c>
      <c r="Q55" s="37" t="s">
        <v>678</v>
      </c>
      <c r="R55" s="12"/>
      <c r="S55" s="38" t="str">
        <f t="shared" si="10"/>
        <v>OSLA</v>
      </c>
      <c r="T55" s="37" t="str">
        <f t="shared" si="11"/>
        <v>NON</v>
      </c>
      <c r="U55" s="37" t="s">
        <v>3240</v>
      </c>
    </row>
    <row r="56" spans="1:21" x14ac:dyDescent="0.4">
      <c r="A56" s="37">
        <v>55</v>
      </c>
      <c r="B56" s="101" t="s">
        <v>3068</v>
      </c>
      <c r="C56" s="37" t="s">
        <v>2</v>
      </c>
      <c r="D56" s="37" t="s">
        <v>702</v>
      </c>
      <c r="E56" s="9" t="s">
        <v>3069</v>
      </c>
      <c r="F56" s="102">
        <v>46065.40625</v>
      </c>
      <c r="G56" s="102">
        <v>46065.454861111109</v>
      </c>
      <c r="H56" s="102">
        <v>46065.454861111109</v>
      </c>
      <c r="I56" s="153">
        <f t="shared" si="6"/>
        <v>4.8611111109494232E-2</v>
      </c>
      <c r="J56" s="103">
        <f t="shared" si="7"/>
        <v>69.999999997671694</v>
      </c>
      <c r="K56" s="153">
        <f t="shared" si="8"/>
        <v>4.8611111109494232E-2</v>
      </c>
      <c r="L56" s="103">
        <f t="shared" si="9"/>
        <v>69.999999997671694</v>
      </c>
      <c r="M56" s="139" t="s">
        <v>3187</v>
      </c>
      <c r="N56" s="9" t="s">
        <v>20</v>
      </c>
      <c r="O56" s="9" t="s">
        <v>20</v>
      </c>
      <c r="P56" s="37" t="s">
        <v>2920</v>
      </c>
      <c r="Q56" s="37" t="s">
        <v>678</v>
      </c>
      <c r="R56" s="12"/>
      <c r="S56" s="38" t="str">
        <f t="shared" si="10"/>
        <v>ISLA</v>
      </c>
      <c r="T56" s="37" t="str">
        <f t="shared" si="11"/>
        <v>NON</v>
      </c>
      <c r="U56" s="37" t="s">
        <v>3240</v>
      </c>
    </row>
    <row r="57" spans="1:21" x14ac:dyDescent="0.4">
      <c r="A57" s="37">
        <v>56</v>
      </c>
      <c r="B57" s="101" t="s">
        <v>3070</v>
      </c>
      <c r="C57" s="37" t="s">
        <v>2</v>
      </c>
      <c r="D57" s="37" t="s">
        <v>702</v>
      </c>
      <c r="E57" s="9" t="s">
        <v>2717</v>
      </c>
      <c r="F57" s="102">
        <v>46065.611111111109</v>
      </c>
      <c r="G57" s="102">
        <v>46065.777777777781</v>
      </c>
      <c r="H57" s="102">
        <v>46065.777777777781</v>
      </c>
      <c r="I57" s="153">
        <f t="shared" si="6"/>
        <v>0.16666666667151731</v>
      </c>
      <c r="J57" s="103">
        <f t="shared" si="7"/>
        <v>240.00000000698492</v>
      </c>
      <c r="K57" s="153">
        <f t="shared" si="8"/>
        <v>0.16666666667151731</v>
      </c>
      <c r="L57" s="103">
        <f t="shared" si="9"/>
        <v>240.00000000698492</v>
      </c>
      <c r="M57" s="139" t="s">
        <v>2718</v>
      </c>
      <c r="N57" s="9" t="s">
        <v>20</v>
      </c>
      <c r="O57" s="9" t="s">
        <v>20</v>
      </c>
      <c r="P57" s="37" t="s">
        <v>3169</v>
      </c>
      <c r="Q57" s="37" t="s">
        <v>678</v>
      </c>
      <c r="R57" s="12"/>
      <c r="S57" s="38" t="str">
        <f t="shared" si="10"/>
        <v>OSLA</v>
      </c>
      <c r="T57" s="37" t="str">
        <f t="shared" si="11"/>
        <v>OUI</v>
      </c>
      <c r="U57" s="37" t="s">
        <v>3240</v>
      </c>
    </row>
    <row r="58" spans="1:21" x14ac:dyDescent="0.4">
      <c r="A58" s="37">
        <v>57</v>
      </c>
      <c r="B58" s="101" t="s">
        <v>3071</v>
      </c>
      <c r="C58" s="37" t="s">
        <v>2</v>
      </c>
      <c r="D58" s="37" t="s">
        <v>702</v>
      </c>
      <c r="E58" s="9" t="s">
        <v>2808</v>
      </c>
      <c r="F58" s="102">
        <v>46065.680555555555</v>
      </c>
      <c r="G58" s="102">
        <v>46065.690972222219</v>
      </c>
      <c r="H58" s="102">
        <v>46065.690972222219</v>
      </c>
      <c r="I58" s="153">
        <f t="shared" si="6"/>
        <v>1.0416666664241347E-2</v>
      </c>
      <c r="J58" s="103">
        <f t="shared" si="7"/>
        <v>14.99999999650754</v>
      </c>
      <c r="K58" s="153">
        <f t="shared" si="8"/>
        <v>1.0416666664241347E-2</v>
      </c>
      <c r="L58" s="103">
        <f t="shared" si="9"/>
        <v>14.99999999650754</v>
      </c>
      <c r="M58" s="139" t="s">
        <v>2809</v>
      </c>
      <c r="N58" s="9" t="s">
        <v>20</v>
      </c>
      <c r="O58" s="9" t="s">
        <v>20</v>
      </c>
      <c r="P58" s="37" t="s">
        <v>2813</v>
      </c>
      <c r="Q58" s="37" t="s">
        <v>678</v>
      </c>
      <c r="R58" s="12"/>
      <c r="S58" s="38" t="str">
        <f t="shared" si="10"/>
        <v>ISLA</v>
      </c>
      <c r="T58" s="37" t="str">
        <f t="shared" si="11"/>
        <v>NON</v>
      </c>
      <c r="U58" s="37" t="s">
        <v>2675</v>
      </c>
    </row>
    <row r="59" spans="1:21" ht="20.6" x14ac:dyDescent="0.4">
      <c r="A59" s="37">
        <v>58</v>
      </c>
      <c r="B59" s="101" t="s">
        <v>3072</v>
      </c>
      <c r="C59" s="37" t="s">
        <v>2</v>
      </c>
      <c r="D59" s="37" t="s">
        <v>702</v>
      </c>
      <c r="E59" s="9" t="s">
        <v>3053</v>
      </c>
      <c r="F59" s="102">
        <v>46065.746527777781</v>
      </c>
      <c r="G59" s="102">
        <v>46065.802083333336</v>
      </c>
      <c r="H59" s="102">
        <v>46065.802083333336</v>
      </c>
      <c r="I59" s="153">
        <f t="shared" si="6"/>
        <v>5.5555555554747116E-2</v>
      </c>
      <c r="J59" s="103">
        <f t="shared" si="7"/>
        <v>79.999999998835847</v>
      </c>
      <c r="K59" s="153">
        <f t="shared" si="8"/>
        <v>5.5555555554747116E-2</v>
      </c>
      <c r="L59" s="103">
        <f t="shared" si="9"/>
        <v>79.999999998835847</v>
      </c>
      <c r="M59" s="139" t="s">
        <v>3188</v>
      </c>
      <c r="N59" s="9" t="s">
        <v>20</v>
      </c>
      <c r="O59" s="9" t="s">
        <v>20</v>
      </c>
      <c r="P59" s="37" t="s">
        <v>2813</v>
      </c>
      <c r="Q59" s="37" t="s">
        <v>678</v>
      </c>
      <c r="R59" s="12"/>
      <c r="S59" s="38" t="str">
        <f t="shared" si="10"/>
        <v>ISLA</v>
      </c>
      <c r="T59" s="37" t="str">
        <f t="shared" si="11"/>
        <v>NON</v>
      </c>
      <c r="U59" s="37" t="s">
        <v>3240</v>
      </c>
    </row>
    <row r="60" spans="1:21" x14ac:dyDescent="0.4">
      <c r="A60" s="37">
        <v>59</v>
      </c>
      <c r="B60" s="101" t="s">
        <v>3073</v>
      </c>
      <c r="C60" s="37" t="s">
        <v>2</v>
      </c>
      <c r="D60" s="37" t="s">
        <v>702</v>
      </c>
      <c r="E60" s="9" t="s">
        <v>2808</v>
      </c>
      <c r="F60" s="102">
        <v>46066.28125</v>
      </c>
      <c r="G60" s="102">
        <v>46066.503472222219</v>
      </c>
      <c r="H60" s="102">
        <v>46066.503472222219</v>
      </c>
      <c r="I60" s="153">
        <f t="shared" si="6"/>
        <v>0.22222222221898846</v>
      </c>
      <c r="J60" s="103">
        <f t="shared" si="7"/>
        <v>319.99999999534339</v>
      </c>
      <c r="K60" s="153">
        <f t="shared" si="8"/>
        <v>0.22222222221898846</v>
      </c>
      <c r="L60" s="103">
        <f t="shared" si="9"/>
        <v>319.99999999534339</v>
      </c>
      <c r="M60" s="139" t="s">
        <v>3189</v>
      </c>
      <c r="N60" s="9" t="s">
        <v>20</v>
      </c>
      <c r="O60" s="9" t="s">
        <v>20</v>
      </c>
      <c r="P60" s="37" t="s">
        <v>2813</v>
      </c>
      <c r="Q60" s="37" t="s">
        <v>678</v>
      </c>
      <c r="R60" s="12"/>
      <c r="S60" s="38" t="str">
        <f t="shared" si="10"/>
        <v>OSLA</v>
      </c>
      <c r="T60" s="37" t="str">
        <f t="shared" si="11"/>
        <v>OUI</v>
      </c>
      <c r="U60" s="37" t="s">
        <v>2675</v>
      </c>
    </row>
    <row r="61" spans="1:21" x14ac:dyDescent="0.4">
      <c r="A61" s="37">
        <v>60</v>
      </c>
      <c r="B61" s="101" t="s">
        <v>3074</v>
      </c>
      <c r="C61" s="37" t="s">
        <v>14</v>
      </c>
      <c r="D61" s="37" t="s">
        <v>702</v>
      </c>
      <c r="E61" s="9" t="s">
        <v>2673</v>
      </c>
      <c r="F61" s="102">
        <v>46066.628472222219</v>
      </c>
      <c r="G61" s="102">
        <v>46067.715277777781</v>
      </c>
      <c r="H61" s="102">
        <v>46067.715277777781</v>
      </c>
      <c r="I61" s="153">
        <f t="shared" si="6"/>
        <v>1.0868055555620231</v>
      </c>
      <c r="J61" s="103">
        <f t="shared" si="7"/>
        <v>1565.0000000093132</v>
      </c>
      <c r="K61" s="153">
        <f t="shared" si="8"/>
        <v>1.0868055555620231</v>
      </c>
      <c r="L61" s="103">
        <f t="shared" si="9"/>
        <v>1565.0000000093132</v>
      </c>
      <c r="M61" s="139" t="s">
        <v>2674</v>
      </c>
      <c r="N61" s="139" t="s">
        <v>20</v>
      </c>
      <c r="O61" s="100" t="s">
        <v>20</v>
      </c>
      <c r="P61" s="37" t="s">
        <v>2815</v>
      </c>
      <c r="Q61" s="37" t="s">
        <v>678</v>
      </c>
      <c r="R61" s="9"/>
      <c r="S61" s="38" t="str">
        <f t="shared" si="10"/>
        <v>OSLA</v>
      </c>
      <c r="T61" s="37" t="str">
        <f t="shared" si="11"/>
        <v>OUI</v>
      </c>
      <c r="U61" s="37" t="s">
        <v>3240</v>
      </c>
    </row>
    <row r="62" spans="1:21" x14ac:dyDescent="0.4">
      <c r="A62" s="37">
        <v>61</v>
      </c>
      <c r="B62" s="37" t="s">
        <v>3075</v>
      </c>
      <c r="C62" s="37" t="s">
        <v>2</v>
      </c>
      <c r="D62" s="37" t="s">
        <v>702</v>
      </c>
      <c r="E62" s="9" t="s">
        <v>3076</v>
      </c>
      <c r="F62" s="83">
        <v>46066.795138888891</v>
      </c>
      <c r="G62" s="83">
        <v>46067.163194444445</v>
      </c>
      <c r="H62" s="83">
        <v>46067.163194444445</v>
      </c>
      <c r="I62" s="153">
        <f t="shared" si="6"/>
        <v>0.36805555555474712</v>
      </c>
      <c r="J62" s="103">
        <f t="shared" si="7"/>
        <v>529.99999999883585</v>
      </c>
      <c r="K62" s="153">
        <f t="shared" si="8"/>
        <v>0.36805555555474712</v>
      </c>
      <c r="L62" s="103">
        <f t="shared" si="9"/>
        <v>529.99999999883585</v>
      </c>
      <c r="M62" s="9" t="s">
        <v>3190</v>
      </c>
      <c r="N62" s="139" t="s">
        <v>20</v>
      </c>
      <c r="O62" s="100" t="s">
        <v>20</v>
      </c>
      <c r="P62" s="83" t="s">
        <v>2628</v>
      </c>
      <c r="Q62" s="37" t="s">
        <v>678</v>
      </c>
      <c r="R62" s="12"/>
      <c r="S62" s="38" t="str">
        <f t="shared" si="10"/>
        <v>OSLA</v>
      </c>
      <c r="T62" s="37" t="str">
        <f t="shared" si="11"/>
        <v>NON</v>
      </c>
      <c r="U62" s="37" t="s">
        <v>2675</v>
      </c>
    </row>
    <row r="63" spans="1:21" ht="20.6" x14ac:dyDescent="0.4">
      <c r="A63" s="37">
        <v>62</v>
      </c>
      <c r="B63" s="101" t="s">
        <v>3077</v>
      </c>
      <c r="C63" s="37" t="s">
        <v>14</v>
      </c>
      <c r="D63" s="37" t="s">
        <v>702</v>
      </c>
      <c r="E63" s="9" t="s">
        <v>3067</v>
      </c>
      <c r="F63" s="102">
        <v>46066.861111111109</v>
      </c>
      <c r="G63" s="102">
        <v>46068.368055555555</v>
      </c>
      <c r="H63" s="102">
        <v>46068.368055555555</v>
      </c>
      <c r="I63" s="153">
        <f t="shared" si="6"/>
        <v>1.5069444444452529</v>
      </c>
      <c r="J63" s="103">
        <f t="shared" si="7"/>
        <v>2170.0000000011642</v>
      </c>
      <c r="K63" s="153">
        <f t="shared" si="8"/>
        <v>1.5069444444452529</v>
      </c>
      <c r="L63" s="103">
        <f t="shared" si="9"/>
        <v>2170.0000000011642</v>
      </c>
      <c r="M63" s="139" t="s">
        <v>3191</v>
      </c>
      <c r="N63" s="9" t="s">
        <v>3245</v>
      </c>
      <c r="O63" s="9" t="s">
        <v>2758</v>
      </c>
      <c r="P63" s="37" t="s">
        <v>2734</v>
      </c>
      <c r="Q63" s="37" t="s">
        <v>678</v>
      </c>
      <c r="R63" s="12"/>
      <c r="S63" s="38" t="str">
        <f t="shared" si="10"/>
        <v>OSLA</v>
      </c>
      <c r="T63" s="37" t="str">
        <f t="shared" si="11"/>
        <v>NON</v>
      </c>
      <c r="U63" s="37" t="s">
        <v>3240</v>
      </c>
    </row>
    <row r="64" spans="1:21" x14ac:dyDescent="0.4">
      <c r="A64" s="37">
        <v>63</v>
      </c>
      <c r="B64" s="101" t="s">
        <v>3078</v>
      </c>
      <c r="C64" s="37" t="s">
        <v>2</v>
      </c>
      <c r="D64" s="37" t="s">
        <v>702</v>
      </c>
      <c r="E64" s="9" t="s">
        <v>2868</v>
      </c>
      <c r="F64" s="102">
        <v>46067.056250000001</v>
      </c>
      <c r="G64" s="102">
        <v>46069.402777777781</v>
      </c>
      <c r="H64" s="102">
        <v>46069.402777777781</v>
      </c>
      <c r="I64" s="153">
        <f t="shared" si="6"/>
        <v>2.3465277777795563</v>
      </c>
      <c r="J64" s="103">
        <f t="shared" si="7"/>
        <v>3379.0000000025611</v>
      </c>
      <c r="K64" s="153">
        <f t="shared" si="8"/>
        <v>2.3465277777795563</v>
      </c>
      <c r="L64" s="103">
        <f t="shared" si="9"/>
        <v>3379.0000000025611</v>
      </c>
      <c r="M64" s="139" t="s">
        <v>2869</v>
      </c>
      <c r="N64" s="139" t="s">
        <v>20</v>
      </c>
      <c r="O64" s="100" t="s">
        <v>20</v>
      </c>
      <c r="P64" s="37" t="s">
        <v>2871</v>
      </c>
      <c r="Q64" s="37" t="s">
        <v>678</v>
      </c>
      <c r="R64" s="12"/>
      <c r="S64" s="38" t="str">
        <f t="shared" si="10"/>
        <v>OSLA</v>
      </c>
      <c r="T64" s="37" t="str">
        <f t="shared" si="11"/>
        <v>OUI</v>
      </c>
      <c r="U64" s="37" t="s">
        <v>3240</v>
      </c>
    </row>
    <row r="65" spans="1:21" x14ac:dyDescent="0.4">
      <c r="A65" s="37">
        <v>64</v>
      </c>
      <c r="B65" s="101" t="s">
        <v>3079</v>
      </c>
      <c r="C65" s="37" t="s">
        <v>2</v>
      </c>
      <c r="D65" s="37" t="s">
        <v>702</v>
      </c>
      <c r="E65" s="9" t="s">
        <v>3011</v>
      </c>
      <c r="F65" s="102">
        <v>46067.453472222223</v>
      </c>
      <c r="G65" s="102">
        <v>46067.524305555555</v>
      </c>
      <c r="H65" s="102">
        <v>46067.524305555555</v>
      </c>
      <c r="I65" s="153">
        <f t="shared" si="6"/>
        <v>7.0833333331393078E-2</v>
      </c>
      <c r="J65" s="103">
        <f t="shared" si="7"/>
        <v>101.99999999720603</v>
      </c>
      <c r="K65" s="153">
        <f t="shared" si="8"/>
        <v>7.0833333331393078E-2</v>
      </c>
      <c r="L65" s="103">
        <f t="shared" si="9"/>
        <v>101.99999999720603</v>
      </c>
      <c r="M65" s="139" t="s">
        <v>2878</v>
      </c>
      <c r="N65" s="139" t="s">
        <v>20</v>
      </c>
      <c r="O65" s="100" t="s">
        <v>20</v>
      </c>
      <c r="P65" s="37" t="s">
        <v>3154</v>
      </c>
      <c r="Q65" s="37" t="s">
        <v>678</v>
      </c>
      <c r="R65" s="12"/>
      <c r="S65" s="38" t="str">
        <f t="shared" si="10"/>
        <v>ISLA</v>
      </c>
      <c r="T65" s="37" t="str">
        <f t="shared" si="11"/>
        <v>NON</v>
      </c>
      <c r="U65" s="37" t="s">
        <v>3240</v>
      </c>
    </row>
    <row r="66" spans="1:21" x14ac:dyDescent="0.4">
      <c r="A66" s="37">
        <v>65</v>
      </c>
      <c r="B66" s="101" t="s">
        <v>3080</v>
      </c>
      <c r="C66" s="37" t="s">
        <v>2</v>
      </c>
      <c r="D66" s="37" t="s">
        <v>702</v>
      </c>
      <c r="E66" s="9" t="s">
        <v>3076</v>
      </c>
      <c r="F66" s="102">
        <v>46067.545138888891</v>
      </c>
      <c r="G66" s="102">
        <v>46067.732638888891</v>
      </c>
      <c r="H66" s="102">
        <v>46067.732638888891</v>
      </c>
      <c r="I66" s="153">
        <f t="shared" ref="I66:I97" si="12">G66-F66</f>
        <v>0.1875</v>
      </c>
      <c r="J66" s="103">
        <f t="shared" ref="J66:J97" si="13">I66*1440</f>
        <v>270</v>
      </c>
      <c r="K66" s="153">
        <f t="shared" ref="K66:K97" si="14">H66-F66</f>
        <v>0.1875</v>
      </c>
      <c r="L66" s="103">
        <f t="shared" ref="L66:L97" si="15">K66*1440</f>
        <v>270</v>
      </c>
      <c r="M66" s="139" t="s">
        <v>3190</v>
      </c>
      <c r="N66" s="9" t="s">
        <v>20</v>
      </c>
      <c r="O66" s="9" t="s">
        <v>20</v>
      </c>
      <c r="P66" s="37" t="s">
        <v>2628</v>
      </c>
      <c r="Q66" s="37" t="s">
        <v>678</v>
      </c>
      <c r="R66" s="9"/>
      <c r="S66" s="38" t="str">
        <f t="shared" ref="S66:S97" si="16">IF(AND(C66="P1",J66&lt;=240),"ISLA",IF((AND(C66="P2",J66&lt;=480)),"ISLA",IF((AND(C66="P3",J66&lt;=2880)),"ISLA","OSLA")))</f>
        <v>OSLA</v>
      </c>
      <c r="T66" s="37" t="str">
        <f t="shared" ref="T66:T97" si="17">IF((AND(MID(P66,1,2)="IT",S66="OSLA")),"OUI","NON")</f>
        <v>NON</v>
      </c>
      <c r="U66" s="37" t="s">
        <v>2675</v>
      </c>
    </row>
    <row r="67" spans="1:21" ht="66" customHeight="1" x14ac:dyDescent="0.4">
      <c r="A67" s="37">
        <v>66</v>
      </c>
      <c r="B67" s="101" t="s">
        <v>2706</v>
      </c>
      <c r="C67" s="37" t="s">
        <v>2</v>
      </c>
      <c r="D67" s="37" t="s">
        <v>702</v>
      </c>
      <c r="E67" s="9" t="s">
        <v>3002</v>
      </c>
      <c r="F67" s="102">
        <v>46068.041666666664</v>
      </c>
      <c r="G67" s="102">
        <v>46068.222222222219</v>
      </c>
      <c r="H67" s="102">
        <v>46068.222222222219</v>
      </c>
      <c r="I67" s="153">
        <f t="shared" si="12"/>
        <v>0.18055555555474712</v>
      </c>
      <c r="J67" s="103">
        <f t="shared" si="13"/>
        <v>259.99999999883585</v>
      </c>
      <c r="K67" s="153">
        <f t="shared" si="14"/>
        <v>0.18055555555474712</v>
      </c>
      <c r="L67" s="103">
        <f t="shared" si="15"/>
        <v>259.99999999883585</v>
      </c>
      <c r="M67" s="139" t="s">
        <v>2753</v>
      </c>
      <c r="N67" s="9" t="s">
        <v>20</v>
      </c>
      <c r="O67" s="9" t="s">
        <v>20</v>
      </c>
      <c r="P67" s="37" t="s">
        <v>2628</v>
      </c>
      <c r="Q67" s="37" t="s">
        <v>678</v>
      </c>
      <c r="R67" s="12" t="s">
        <v>3239</v>
      </c>
      <c r="S67" s="38" t="str">
        <f t="shared" si="16"/>
        <v>OSLA</v>
      </c>
      <c r="T67" s="37" t="str">
        <f t="shared" si="17"/>
        <v>NON</v>
      </c>
      <c r="U67" s="37" t="s">
        <v>2675</v>
      </c>
    </row>
    <row r="68" spans="1:21" x14ac:dyDescent="0.4">
      <c r="A68" s="37">
        <v>67</v>
      </c>
      <c r="B68" s="101" t="s">
        <v>3081</v>
      </c>
      <c r="C68" s="37" t="s">
        <v>2</v>
      </c>
      <c r="D68" s="37" t="s">
        <v>702</v>
      </c>
      <c r="E68" s="9" t="s">
        <v>2934</v>
      </c>
      <c r="F68" s="102">
        <v>46068.417361111111</v>
      </c>
      <c r="G68" s="102">
        <v>46069.677083333336</v>
      </c>
      <c r="H68" s="102">
        <v>46069.677083333336</v>
      </c>
      <c r="I68" s="153">
        <f t="shared" si="12"/>
        <v>1.2597222222248092</v>
      </c>
      <c r="J68" s="103">
        <f t="shared" si="13"/>
        <v>1814.0000000037253</v>
      </c>
      <c r="K68" s="153">
        <f t="shared" si="14"/>
        <v>1.2597222222248092</v>
      </c>
      <c r="L68" s="103">
        <f t="shared" si="15"/>
        <v>1814.0000000037253</v>
      </c>
      <c r="M68" s="139" t="s">
        <v>2935</v>
      </c>
      <c r="N68" s="9" t="s">
        <v>3192</v>
      </c>
      <c r="O68" s="9" t="s">
        <v>3193</v>
      </c>
      <c r="P68" s="37" t="s">
        <v>2936</v>
      </c>
      <c r="Q68" s="37" t="s">
        <v>678</v>
      </c>
      <c r="R68" s="12"/>
      <c r="S68" s="38" t="str">
        <f t="shared" si="16"/>
        <v>OSLA</v>
      </c>
      <c r="T68" s="37" t="str">
        <f t="shared" si="17"/>
        <v>OUI</v>
      </c>
      <c r="U68" s="37" t="s">
        <v>2735</v>
      </c>
    </row>
    <row r="69" spans="1:21" x14ac:dyDescent="0.4">
      <c r="A69" s="37">
        <v>68</v>
      </c>
      <c r="B69" s="101" t="s">
        <v>3082</v>
      </c>
      <c r="C69" s="37" t="s">
        <v>2</v>
      </c>
      <c r="D69" s="37" t="s">
        <v>702</v>
      </c>
      <c r="E69" s="9" t="s">
        <v>2817</v>
      </c>
      <c r="F69" s="102">
        <v>46068.520833333336</v>
      </c>
      <c r="G69" s="102">
        <v>46068.613194444442</v>
      </c>
      <c r="H69" s="102">
        <v>46068.613194444442</v>
      </c>
      <c r="I69" s="153">
        <f t="shared" si="12"/>
        <v>9.2361111106583849E-2</v>
      </c>
      <c r="J69" s="103">
        <f t="shared" si="13"/>
        <v>132.99999999348074</v>
      </c>
      <c r="K69" s="153">
        <f t="shared" si="14"/>
        <v>9.2361111106583849E-2</v>
      </c>
      <c r="L69" s="103">
        <f t="shared" si="15"/>
        <v>132.99999999348074</v>
      </c>
      <c r="M69" s="139" t="s">
        <v>2990</v>
      </c>
      <c r="N69" s="9" t="s">
        <v>20</v>
      </c>
      <c r="O69" s="9" t="s">
        <v>20</v>
      </c>
      <c r="P69" s="37" t="s">
        <v>2819</v>
      </c>
      <c r="Q69" s="37" t="s">
        <v>678</v>
      </c>
      <c r="R69" s="48"/>
      <c r="S69" s="38" t="str">
        <f t="shared" si="16"/>
        <v>ISLA</v>
      </c>
      <c r="T69" s="37" t="str">
        <f t="shared" si="17"/>
        <v>NON</v>
      </c>
      <c r="U69" s="37" t="s">
        <v>3240</v>
      </c>
    </row>
    <row r="70" spans="1:21" ht="70.5" customHeight="1" x14ac:dyDescent="0.4">
      <c r="A70" s="37">
        <v>69</v>
      </c>
      <c r="B70" s="101" t="s">
        <v>3083</v>
      </c>
      <c r="C70" s="37" t="s">
        <v>2</v>
      </c>
      <c r="D70" s="37" t="s">
        <v>702</v>
      </c>
      <c r="E70" s="9" t="s">
        <v>2717</v>
      </c>
      <c r="F70" s="102">
        <v>46068.823611111111</v>
      </c>
      <c r="G70" s="102">
        <v>46069.770833333336</v>
      </c>
      <c r="H70" s="102">
        <v>46069.770833333336</v>
      </c>
      <c r="I70" s="153">
        <f t="shared" si="12"/>
        <v>0.94722222222480923</v>
      </c>
      <c r="J70" s="103">
        <f t="shared" si="13"/>
        <v>1364.0000000037253</v>
      </c>
      <c r="K70" s="153">
        <f t="shared" si="14"/>
        <v>0.94722222222480923</v>
      </c>
      <c r="L70" s="103">
        <f t="shared" si="15"/>
        <v>1364.0000000037253</v>
      </c>
      <c r="M70" s="139" t="s">
        <v>2718</v>
      </c>
      <c r="N70" s="9" t="s">
        <v>20</v>
      </c>
      <c r="O70" s="9" t="s">
        <v>20</v>
      </c>
      <c r="P70" s="37" t="s">
        <v>3169</v>
      </c>
      <c r="Q70" s="37" t="s">
        <v>678</v>
      </c>
      <c r="R70" s="9"/>
      <c r="S70" s="38" t="str">
        <f t="shared" si="16"/>
        <v>OSLA</v>
      </c>
      <c r="T70" s="37" t="str">
        <f t="shared" si="17"/>
        <v>OUI</v>
      </c>
      <c r="U70" s="37" t="s">
        <v>3240</v>
      </c>
    </row>
    <row r="71" spans="1:21" x14ac:dyDescent="0.4">
      <c r="A71" s="37">
        <v>70</v>
      </c>
      <c r="B71" s="101" t="s">
        <v>3084</v>
      </c>
      <c r="C71" s="37" t="s">
        <v>2</v>
      </c>
      <c r="D71" s="37" t="s">
        <v>702</v>
      </c>
      <c r="E71" s="9" t="s">
        <v>2808</v>
      </c>
      <c r="F71" s="102">
        <v>46069.253472222219</v>
      </c>
      <c r="G71" s="102">
        <v>46069.5</v>
      </c>
      <c r="H71" s="102">
        <v>46069.5</v>
      </c>
      <c r="I71" s="153">
        <f t="shared" si="12"/>
        <v>0.24652777778101154</v>
      </c>
      <c r="J71" s="103">
        <f t="shared" si="13"/>
        <v>355.00000000465661</v>
      </c>
      <c r="K71" s="153">
        <f t="shared" si="14"/>
        <v>0.24652777778101154</v>
      </c>
      <c r="L71" s="103">
        <f t="shared" si="15"/>
        <v>355.00000000465661</v>
      </c>
      <c r="M71" s="139" t="s">
        <v>3194</v>
      </c>
      <c r="N71" s="100" t="s">
        <v>20</v>
      </c>
      <c r="O71" s="100" t="s">
        <v>20</v>
      </c>
      <c r="P71" s="37" t="s">
        <v>2813</v>
      </c>
      <c r="Q71" s="37" t="s">
        <v>678</v>
      </c>
      <c r="R71" s="12"/>
      <c r="S71" s="38" t="str">
        <f t="shared" si="16"/>
        <v>OSLA</v>
      </c>
      <c r="T71" s="37" t="str">
        <f t="shared" si="17"/>
        <v>OUI</v>
      </c>
      <c r="U71" s="37" t="s">
        <v>2675</v>
      </c>
    </row>
    <row r="72" spans="1:21" x14ac:dyDescent="0.4">
      <c r="A72" s="37">
        <v>71</v>
      </c>
      <c r="B72" s="101" t="s">
        <v>3085</v>
      </c>
      <c r="C72" s="37" t="s">
        <v>2</v>
      </c>
      <c r="D72" s="37" t="s">
        <v>702</v>
      </c>
      <c r="E72" s="9" t="s">
        <v>40</v>
      </c>
      <c r="F72" s="102">
        <v>46069.302083333336</v>
      </c>
      <c r="G72" s="102">
        <v>46069.375</v>
      </c>
      <c r="H72" s="102">
        <v>46069.375</v>
      </c>
      <c r="I72" s="153">
        <f t="shared" si="12"/>
        <v>7.2916666664241347E-2</v>
      </c>
      <c r="J72" s="103">
        <f t="shared" si="13"/>
        <v>104.99999999650754</v>
      </c>
      <c r="K72" s="153">
        <f t="shared" si="14"/>
        <v>7.2916666664241347E-2</v>
      </c>
      <c r="L72" s="103">
        <f t="shared" si="15"/>
        <v>104.99999999650754</v>
      </c>
      <c r="M72" s="139" t="s">
        <v>3195</v>
      </c>
      <c r="N72" s="9" t="s">
        <v>3196</v>
      </c>
      <c r="O72" s="9" t="s">
        <v>3197</v>
      </c>
      <c r="P72" s="37" t="s">
        <v>701</v>
      </c>
      <c r="Q72" s="37" t="s">
        <v>678</v>
      </c>
      <c r="R72" s="12"/>
      <c r="S72" s="38" t="str">
        <f t="shared" si="16"/>
        <v>ISLA</v>
      </c>
      <c r="T72" s="37" t="str">
        <f t="shared" si="17"/>
        <v>NON</v>
      </c>
      <c r="U72" s="37" t="s">
        <v>2735</v>
      </c>
    </row>
    <row r="73" spans="1:21" ht="41.15" x14ac:dyDescent="0.4">
      <c r="A73" s="37">
        <v>72</v>
      </c>
      <c r="B73" s="101" t="s">
        <v>3086</v>
      </c>
      <c r="C73" s="37" t="s">
        <v>14</v>
      </c>
      <c r="D73" s="37" t="s">
        <v>702</v>
      </c>
      <c r="E73" s="9" t="s">
        <v>3087</v>
      </c>
      <c r="F73" s="102">
        <v>46069.517361111109</v>
      </c>
      <c r="G73" s="102">
        <v>46070.197916666664</v>
      </c>
      <c r="H73" s="102">
        <v>46070.197916666664</v>
      </c>
      <c r="I73" s="153">
        <f t="shared" si="12"/>
        <v>0.68055555555474712</v>
      </c>
      <c r="J73" s="103">
        <f t="shared" si="13"/>
        <v>979.99999999883585</v>
      </c>
      <c r="K73" s="153">
        <f t="shared" si="14"/>
        <v>0.68055555555474712</v>
      </c>
      <c r="L73" s="103">
        <f t="shared" si="15"/>
        <v>979.99999999883585</v>
      </c>
      <c r="M73" s="139" t="s">
        <v>3198</v>
      </c>
      <c r="N73" s="9" t="s">
        <v>20</v>
      </c>
      <c r="O73" s="9" t="s">
        <v>20</v>
      </c>
      <c r="P73" s="37" t="s">
        <v>2628</v>
      </c>
      <c r="Q73" s="37" t="s">
        <v>678</v>
      </c>
      <c r="R73" s="48"/>
      <c r="S73" s="38" t="str">
        <f t="shared" si="16"/>
        <v>OSLA</v>
      </c>
      <c r="T73" s="37" t="str">
        <f t="shared" si="17"/>
        <v>NON</v>
      </c>
      <c r="U73" s="37" t="s">
        <v>3240</v>
      </c>
    </row>
    <row r="74" spans="1:21" x14ac:dyDescent="0.4">
      <c r="A74" s="37">
        <v>73</v>
      </c>
      <c r="B74" s="101" t="s">
        <v>3088</v>
      </c>
      <c r="C74" s="37" t="s">
        <v>2</v>
      </c>
      <c r="D74" s="37" t="s">
        <v>702</v>
      </c>
      <c r="E74" s="9" t="s">
        <v>2885</v>
      </c>
      <c r="F74" s="102">
        <v>46070.190972222219</v>
      </c>
      <c r="G74" s="102">
        <v>46070.347222222219</v>
      </c>
      <c r="H74" s="102">
        <v>46070.347222222219</v>
      </c>
      <c r="I74" s="153">
        <f t="shared" si="12"/>
        <v>0.15625</v>
      </c>
      <c r="J74" s="103">
        <f t="shared" si="13"/>
        <v>225</v>
      </c>
      <c r="K74" s="153">
        <f t="shared" si="14"/>
        <v>0.15625</v>
      </c>
      <c r="L74" s="103">
        <f t="shared" si="15"/>
        <v>225</v>
      </c>
      <c r="M74" s="139" t="s">
        <v>2988</v>
      </c>
      <c r="N74" s="9" t="s">
        <v>20</v>
      </c>
      <c r="O74" s="9" t="s">
        <v>20</v>
      </c>
      <c r="P74" s="37" t="s">
        <v>2684</v>
      </c>
      <c r="Q74" s="37" t="s">
        <v>678</v>
      </c>
      <c r="R74" s="37"/>
      <c r="S74" s="38" t="str">
        <f t="shared" si="16"/>
        <v>ISLA</v>
      </c>
      <c r="T74" s="37" t="str">
        <f t="shared" si="17"/>
        <v>NON</v>
      </c>
      <c r="U74" s="37" t="s">
        <v>3240</v>
      </c>
    </row>
    <row r="75" spans="1:21" s="73" customFormat="1" x14ac:dyDescent="0.4">
      <c r="A75" s="37">
        <v>74</v>
      </c>
      <c r="B75" s="101" t="s">
        <v>3089</v>
      </c>
      <c r="C75" s="37" t="s">
        <v>2</v>
      </c>
      <c r="D75" s="37" t="s">
        <v>702</v>
      </c>
      <c r="E75" s="9" t="s">
        <v>3039</v>
      </c>
      <c r="F75" s="102">
        <v>46070.215277777781</v>
      </c>
      <c r="G75" s="102">
        <v>46070.243055555555</v>
      </c>
      <c r="H75" s="102">
        <v>46070.243055555555</v>
      </c>
      <c r="I75" s="153">
        <f t="shared" si="12"/>
        <v>2.7777777773735579E-2</v>
      </c>
      <c r="J75" s="103">
        <f t="shared" si="13"/>
        <v>39.999999994179234</v>
      </c>
      <c r="K75" s="153">
        <f t="shared" si="14"/>
        <v>2.7777777773735579E-2</v>
      </c>
      <c r="L75" s="103">
        <f t="shared" si="15"/>
        <v>39.999999994179234</v>
      </c>
      <c r="M75" s="139" t="s">
        <v>3199</v>
      </c>
      <c r="N75" s="9" t="s">
        <v>20</v>
      </c>
      <c r="O75" s="9" t="s">
        <v>20</v>
      </c>
      <c r="P75" s="37" t="s">
        <v>2628</v>
      </c>
      <c r="Q75" s="37" t="s">
        <v>678</v>
      </c>
      <c r="R75" s="37"/>
      <c r="S75" s="38" t="str">
        <f t="shared" si="16"/>
        <v>ISLA</v>
      </c>
      <c r="T75" s="37" t="str">
        <f t="shared" si="17"/>
        <v>NON</v>
      </c>
      <c r="U75" s="37" t="s">
        <v>2675</v>
      </c>
    </row>
    <row r="76" spans="1:21" s="73" customFormat="1" x14ac:dyDescent="0.4">
      <c r="A76" s="37">
        <v>75</v>
      </c>
      <c r="B76" s="101" t="s">
        <v>3090</v>
      </c>
      <c r="C76" s="37" t="s">
        <v>2</v>
      </c>
      <c r="D76" s="37" t="s">
        <v>702</v>
      </c>
      <c r="E76" s="9" t="s">
        <v>2717</v>
      </c>
      <c r="F76" s="102">
        <v>46070.458333333336</v>
      </c>
      <c r="G76" s="102">
        <v>46070.503472222219</v>
      </c>
      <c r="H76" s="102">
        <v>46070.503472222219</v>
      </c>
      <c r="I76" s="153">
        <f t="shared" si="12"/>
        <v>4.5138888883229811E-2</v>
      </c>
      <c r="J76" s="103">
        <f t="shared" si="13"/>
        <v>64.999999991850927</v>
      </c>
      <c r="K76" s="153">
        <f t="shared" si="14"/>
        <v>4.5138888883229811E-2</v>
      </c>
      <c r="L76" s="103">
        <f t="shared" si="15"/>
        <v>64.999999991850927</v>
      </c>
      <c r="M76" s="139" t="s">
        <v>2718</v>
      </c>
      <c r="N76" s="9" t="s">
        <v>20</v>
      </c>
      <c r="O76" s="9" t="s">
        <v>20</v>
      </c>
      <c r="P76" s="37" t="s">
        <v>3169</v>
      </c>
      <c r="Q76" s="37" t="s">
        <v>678</v>
      </c>
      <c r="R76" s="37"/>
      <c r="S76" s="38" t="str">
        <f t="shared" si="16"/>
        <v>ISLA</v>
      </c>
      <c r="T76" s="37" t="str">
        <f t="shared" si="17"/>
        <v>NON</v>
      </c>
      <c r="U76" s="37" t="s">
        <v>3240</v>
      </c>
    </row>
    <row r="77" spans="1:21" s="73" customFormat="1" x14ac:dyDescent="0.4">
      <c r="A77" s="37">
        <v>76</v>
      </c>
      <c r="B77" s="101" t="s">
        <v>3091</v>
      </c>
      <c r="C77" s="37" t="s">
        <v>2</v>
      </c>
      <c r="D77" s="37" t="s">
        <v>702</v>
      </c>
      <c r="E77" s="9" t="s">
        <v>3092</v>
      </c>
      <c r="F77" s="102">
        <v>46070.645833333336</v>
      </c>
      <c r="G77" s="102">
        <v>46070.697916666664</v>
      </c>
      <c r="H77" s="102">
        <v>46070.697916666664</v>
      </c>
      <c r="I77" s="153">
        <f t="shared" si="12"/>
        <v>5.2083333328482695E-2</v>
      </c>
      <c r="J77" s="103">
        <f t="shared" si="13"/>
        <v>74.999999993015081</v>
      </c>
      <c r="K77" s="153">
        <f t="shared" si="14"/>
        <v>5.2083333328482695E-2</v>
      </c>
      <c r="L77" s="103">
        <f t="shared" si="15"/>
        <v>74.999999993015081</v>
      </c>
      <c r="M77" s="139" t="s">
        <v>3200</v>
      </c>
      <c r="N77" s="9" t="s">
        <v>3201</v>
      </c>
      <c r="O77" s="9" t="s">
        <v>209</v>
      </c>
      <c r="P77" s="37" t="s">
        <v>3241</v>
      </c>
      <c r="Q77" s="37" t="s">
        <v>678</v>
      </c>
      <c r="R77" s="37"/>
      <c r="S77" s="38" t="str">
        <f t="shared" si="16"/>
        <v>ISLA</v>
      </c>
      <c r="T77" s="37" t="str">
        <f t="shared" si="17"/>
        <v>NON</v>
      </c>
      <c r="U77" s="37" t="s">
        <v>3240</v>
      </c>
    </row>
    <row r="78" spans="1:21" s="73" customFormat="1" x14ac:dyDescent="0.4">
      <c r="A78" s="37">
        <v>77</v>
      </c>
      <c r="B78" s="101" t="s">
        <v>3093</v>
      </c>
      <c r="C78" s="37" t="s">
        <v>2</v>
      </c>
      <c r="D78" s="37" t="s">
        <v>702</v>
      </c>
      <c r="E78" s="9" t="s">
        <v>3092</v>
      </c>
      <c r="F78" s="102">
        <v>46070.753472222219</v>
      </c>
      <c r="G78" s="102">
        <v>46070.805555555555</v>
      </c>
      <c r="H78" s="102">
        <v>46070.805555555555</v>
      </c>
      <c r="I78" s="153">
        <f t="shared" si="12"/>
        <v>5.2083333335758653E-2</v>
      </c>
      <c r="J78" s="103">
        <f t="shared" si="13"/>
        <v>75.00000000349246</v>
      </c>
      <c r="K78" s="153">
        <f t="shared" si="14"/>
        <v>5.2083333335758653E-2</v>
      </c>
      <c r="L78" s="103">
        <f t="shared" si="15"/>
        <v>75.00000000349246</v>
      </c>
      <c r="M78" s="139" t="s">
        <v>3200</v>
      </c>
      <c r="N78" s="9" t="s">
        <v>3202</v>
      </c>
      <c r="O78" s="9" t="s">
        <v>209</v>
      </c>
      <c r="P78" s="37" t="s">
        <v>3241</v>
      </c>
      <c r="Q78" s="37" t="s">
        <v>678</v>
      </c>
      <c r="R78" s="37"/>
      <c r="S78" s="38" t="str">
        <f t="shared" si="16"/>
        <v>ISLA</v>
      </c>
      <c r="T78" s="37" t="str">
        <f t="shared" si="17"/>
        <v>NON</v>
      </c>
      <c r="U78" s="37" t="s">
        <v>3240</v>
      </c>
    </row>
    <row r="79" spans="1:21" s="73" customFormat="1" x14ac:dyDescent="0.4">
      <c r="A79" s="37">
        <v>78</v>
      </c>
      <c r="B79" s="101" t="s">
        <v>3094</v>
      </c>
      <c r="C79" s="37" t="s">
        <v>2</v>
      </c>
      <c r="D79" s="37" t="s">
        <v>702</v>
      </c>
      <c r="E79" s="9" t="s">
        <v>3095</v>
      </c>
      <c r="F79" s="102">
        <v>46072.330555555556</v>
      </c>
      <c r="G79" s="102">
        <v>46072.736111111109</v>
      </c>
      <c r="H79" s="102">
        <v>46072.736111111109</v>
      </c>
      <c r="I79" s="153">
        <f t="shared" si="12"/>
        <v>0.40555555555329192</v>
      </c>
      <c r="J79" s="103">
        <f t="shared" si="13"/>
        <v>583.99999999674037</v>
      </c>
      <c r="K79" s="153">
        <f t="shared" si="14"/>
        <v>0.40555555555329192</v>
      </c>
      <c r="L79" s="103">
        <f t="shared" si="15"/>
        <v>583.99999999674037</v>
      </c>
      <c r="M79" s="139" t="s">
        <v>3203</v>
      </c>
      <c r="N79" s="9" t="s">
        <v>20</v>
      </c>
      <c r="O79" s="9" t="s">
        <v>20</v>
      </c>
      <c r="P79" s="37" t="s">
        <v>3213</v>
      </c>
      <c r="Q79" s="37" t="s">
        <v>678</v>
      </c>
      <c r="R79" s="37"/>
      <c r="S79" s="38" t="str">
        <f t="shared" si="16"/>
        <v>OSLA</v>
      </c>
      <c r="T79" s="37" t="str">
        <f t="shared" si="17"/>
        <v>OUI</v>
      </c>
      <c r="U79" s="37" t="s">
        <v>2675</v>
      </c>
    </row>
    <row r="80" spans="1:21" s="73" customFormat="1" x14ac:dyDescent="0.4">
      <c r="A80" s="37">
        <v>79</v>
      </c>
      <c r="B80" s="101" t="s">
        <v>3096</v>
      </c>
      <c r="C80" s="37" t="s">
        <v>14</v>
      </c>
      <c r="D80" s="37" t="s">
        <v>702</v>
      </c>
      <c r="E80" s="9" t="s">
        <v>2673</v>
      </c>
      <c r="F80" s="102">
        <v>46072.411111111112</v>
      </c>
      <c r="G80" s="102">
        <v>46072.631944444445</v>
      </c>
      <c r="H80" s="102">
        <v>46072.631944444445</v>
      </c>
      <c r="I80" s="153">
        <f t="shared" si="12"/>
        <v>0.22083333333284827</v>
      </c>
      <c r="J80" s="103">
        <f t="shared" si="13"/>
        <v>317.99999999930151</v>
      </c>
      <c r="K80" s="153">
        <f t="shared" si="14"/>
        <v>0.22083333333284827</v>
      </c>
      <c r="L80" s="103">
        <f t="shared" si="15"/>
        <v>317.99999999930151</v>
      </c>
      <c r="M80" s="139" t="s">
        <v>3204</v>
      </c>
      <c r="N80" s="9" t="s">
        <v>3205</v>
      </c>
      <c r="O80" s="9" t="s">
        <v>20</v>
      </c>
      <c r="P80" s="37" t="s">
        <v>2815</v>
      </c>
      <c r="Q80" s="37" t="s">
        <v>678</v>
      </c>
      <c r="R80" s="37"/>
      <c r="S80" s="38" t="str">
        <f t="shared" si="16"/>
        <v>ISLA</v>
      </c>
      <c r="T80" s="37" t="str">
        <f t="shared" si="17"/>
        <v>NON</v>
      </c>
      <c r="U80" s="37" t="s">
        <v>3240</v>
      </c>
    </row>
    <row r="81" spans="1:21" s="73" customFormat="1" ht="41.15" x14ac:dyDescent="0.4">
      <c r="A81" s="37">
        <v>80</v>
      </c>
      <c r="B81" s="101" t="s">
        <v>3097</v>
      </c>
      <c r="C81" s="37" t="s">
        <v>2</v>
      </c>
      <c r="D81" s="37" t="s">
        <v>702</v>
      </c>
      <c r="E81" s="9" t="s">
        <v>3098</v>
      </c>
      <c r="F81" s="102">
        <v>46072.472222222219</v>
      </c>
      <c r="G81" s="102">
        <v>46072.611111111109</v>
      </c>
      <c r="H81" s="102">
        <v>46072.611111111109</v>
      </c>
      <c r="I81" s="153">
        <f t="shared" si="12"/>
        <v>0.13888888889050577</v>
      </c>
      <c r="J81" s="103">
        <f t="shared" si="13"/>
        <v>200.00000000232831</v>
      </c>
      <c r="K81" s="153">
        <f t="shared" si="14"/>
        <v>0.13888888889050577</v>
      </c>
      <c r="L81" s="103">
        <f t="shared" si="15"/>
        <v>200.00000000232831</v>
      </c>
      <c r="M81" s="139" t="s">
        <v>3206</v>
      </c>
      <c r="N81" s="9" t="s">
        <v>20</v>
      </c>
      <c r="O81" s="9" t="s">
        <v>20</v>
      </c>
      <c r="P81" s="37" t="s">
        <v>2628</v>
      </c>
      <c r="Q81" s="37" t="s">
        <v>678</v>
      </c>
      <c r="R81" s="37"/>
      <c r="S81" s="38" t="str">
        <f t="shared" si="16"/>
        <v>ISLA</v>
      </c>
      <c r="T81" s="37" t="str">
        <f t="shared" si="17"/>
        <v>NON</v>
      </c>
      <c r="U81" s="37" t="s">
        <v>2675</v>
      </c>
    </row>
    <row r="82" spans="1:21" ht="20.6" x14ac:dyDescent="0.4">
      <c r="A82" s="37">
        <v>81</v>
      </c>
      <c r="B82" s="101" t="s">
        <v>3099</v>
      </c>
      <c r="C82" s="37" t="s">
        <v>2</v>
      </c>
      <c r="D82" s="37" t="s">
        <v>702</v>
      </c>
      <c r="E82" s="9" t="s">
        <v>3100</v>
      </c>
      <c r="F82" s="102">
        <v>46072.986111111109</v>
      </c>
      <c r="G82" s="102">
        <v>46073.045138888891</v>
      </c>
      <c r="H82" s="102">
        <v>46073.045138888891</v>
      </c>
      <c r="I82" s="153">
        <f t="shared" si="12"/>
        <v>5.9027777781011537E-2</v>
      </c>
      <c r="J82" s="103">
        <f t="shared" si="13"/>
        <v>85.000000004656613</v>
      </c>
      <c r="K82" s="153">
        <f t="shared" si="14"/>
        <v>5.9027777781011537E-2</v>
      </c>
      <c r="L82" s="103">
        <f t="shared" si="15"/>
        <v>85.000000004656613</v>
      </c>
      <c r="M82" s="139" t="s">
        <v>3207</v>
      </c>
      <c r="N82" s="9" t="s">
        <v>20</v>
      </c>
      <c r="O82" s="9" t="s">
        <v>20</v>
      </c>
      <c r="P82" s="37" t="s">
        <v>3208</v>
      </c>
      <c r="Q82" s="37" t="s">
        <v>678</v>
      </c>
      <c r="R82" s="37"/>
      <c r="S82" s="38" t="str">
        <f t="shared" si="16"/>
        <v>ISLA</v>
      </c>
      <c r="T82" s="37" t="str">
        <f t="shared" si="17"/>
        <v>NON</v>
      </c>
      <c r="U82" s="37" t="s">
        <v>3240</v>
      </c>
    </row>
    <row r="83" spans="1:21" x14ac:dyDescent="0.4">
      <c r="A83" s="37">
        <v>82</v>
      </c>
      <c r="B83" s="101" t="s">
        <v>3101</v>
      </c>
      <c r="C83" s="37" t="s">
        <v>2</v>
      </c>
      <c r="D83" s="37" t="s">
        <v>702</v>
      </c>
      <c r="E83" s="9" t="s">
        <v>2831</v>
      </c>
      <c r="F83" s="102">
        <v>46073.420138888891</v>
      </c>
      <c r="G83" s="102">
        <v>46073.642361111109</v>
      </c>
      <c r="H83" s="102">
        <v>46073.642361111109</v>
      </c>
      <c r="I83" s="153">
        <f t="shared" si="12"/>
        <v>0.22222222221898846</v>
      </c>
      <c r="J83" s="103">
        <f t="shared" si="13"/>
        <v>319.99999999534339</v>
      </c>
      <c r="K83" s="153">
        <f t="shared" si="14"/>
        <v>0.22222222221898846</v>
      </c>
      <c r="L83" s="103">
        <f t="shared" si="15"/>
        <v>319.99999999534339</v>
      </c>
      <c r="M83" s="139" t="s">
        <v>2832</v>
      </c>
      <c r="N83" s="9" t="s">
        <v>3209</v>
      </c>
      <c r="O83" s="9" t="s">
        <v>20</v>
      </c>
      <c r="P83" s="37" t="s">
        <v>2834</v>
      </c>
      <c r="Q83" s="37" t="s">
        <v>678</v>
      </c>
      <c r="R83" s="37"/>
      <c r="S83" s="38" t="str">
        <f t="shared" si="16"/>
        <v>OSLA</v>
      </c>
      <c r="T83" s="37" t="str">
        <f t="shared" si="17"/>
        <v>OUI</v>
      </c>
      <c r="U83" s="37" t="s">
        <v>3240</v>
      </c>
    </row>
    <row r="84" spans="1:21" x14ac:dyDescent="0.4">
      <c r="A84" s="37">
        <v>83</v>
      </c>
      <c r="B84" s="101" t="s">
        <v>3102</v>
      </c>
      <c r="C84" s="37" t="s">
        <v>2</v>
      </c>
      <c r="D84" s="37" t="s">
        <v>702</v>
      </c>
      <c r="E84" s="9" t="s">
        <v>40</v>
      </c>
      <c r="F84" s="102">
        <v>46073.60833333333</v>
      </c>
      <c r="G84" s="102">
        <v>46073.638888888891</v>
      </c>
      <c r="H84" s="102">
        <v>46073.638888888891</v>
      </c>
      <c r="I84" s="153">
        <f t="shared" si="12"/>
        <v>3.0555555560567882E-2</v>
      </c>
      <c r="J84" s="103">
        <f t="shared" si="13"/>
        <v>44.00000000721775</v>
      </c>
      <c r="K84" s="153">
        <f t="shared" si="14"/>
        <v>3.0555555560567882E-2</v>
      </c>
      <c r="L84" s="103">
        <f t="shared" si="15"/>
        <v>44.00000000721775</v>
      </c>
      <c r="M84" s="139" t="s">
        <v>3210</v>
      </c>
      <c r="N84" s="9" t="s">
        <v>20</v>
      </c>
      <c r="O84" s="9" t="s">
        <v>20</v>
      </c>
      <c r="P84" s="37" t="s">
        <v>701</v>
      </c>
      <c r="Q84" s="37" t="s">
        <v>678</v>
      </c>
      <c r="R84" s="37"/>
      <c r="S84" s="38" t="str">
        <f t="shared" si="16"/>
        <v>ISLA</v>
      </c>
      <c r="T84" s="37" t="str">
        <f t="shared" si="17"/>
        <v>NON</v>
      </c>
      <c r="U84" s="37" t="s">
        <v>2735</v>
      </c>
    </row>
    <row r="85" spans="1:21" x14ac:dyDescent="0.4">
      <c r="A85" s="37">
        <v>84</v>
      </c>
      <c r="B85" s="101" t="s">
        <v>3103</v>
      </c>
      <c r="C85" s="37" t="s">
        <v>2</v>
      </c>
      <c r="D85" s="37" t="s">
        <v>702</v>
      </c>
      <c r="E85" s="9" t="s">
        <v>2934</v>
      </c>
      <c r="F85" s="102">
        <v>46073.70416666667</v>
      </c>
      <c r="G85" s="102">
        <v>46074.381944444445</v>
      </c>
      <c r="H85" s="102">
        <v>46074.381944444445</v>
      </c>
      <c r="I85" s="153">
        <f t="shared" si="12"/>
        <v>0.67777777777519077</v>
      </c>
      <c r="J85" s="103">
        <f t="shared" si="13"/>
        <v>975.99999999627471</v>
      </c>
      <c r="K85" s="153">
        <f t="shared" si="14"/>
        <v>0.67777777777519077</v>
      </c>
      <c r="L85" s="103">
        <f t="shared" si="15"/>
        <v>975.99999999627471</v>
      </c>
      <c r="M85" s="139" t="s">
        <v>2935</v>
      </c>
      <c r="N85" s="9" t="s">
        <v>20</v>
      </c>
      <c r="O85" s="9" t="s">
        <v>3211</v>
      </c>
      <c r="P85" s="37" t="s">
        <v>2936</v>
      </c>
      <c r="Q85" s="37" t="s">
        <v>678</v>
      </c>
      <c r="R85" s="37"/>
      <c r="S85" s="38" t="str">
        <f t="shared" si="16"/>
        <v>OSLA</v>
      </c>
      <c r="T85" s="37" t="str">
        <f t="shared" si="17"/>
        <v>OUI</v>
      </c>
      <c r="U85" s="37" t="s">
        <v>3240</v>
      </c>
    </row>
    <row r="86" spans="1:21" x14ac:dyDescent="0.4">
      <c r="A86" s="37">
        <v>85</v>
      </c>
      <c r="B86" s="101" t="s">
        <v>3104</v>
      </c>
      <c r="C86" s="37" t="s">
        <v>2</v>
      </c>
      <c r="D86" s="37" t="s">
        <v>702</v>
      </c>
      <c r="E86" s="9" t="s">
        <v>2677</v>
      </c>
      <c r="F86" s="102">
        <v>46074.180555555555</v>
      </c>
      <c r="G86" s="102">
        <v>46074.524305555555</v>
      </c>
      <c r="H86" s="102">
        <v>46074.524305555555</v>
      </c>
      <c r="I86" s="153">
        <f t="shared" si="12"/>
        <v>0.34375</v>
      </c>
      <c r="J86" s="103">
        <f t="shared" si="13"/>
        <v>495</v>
      </c>
      <c r="K86" s="153">
        <f t="shared" si="14"/>
        <v>0.34375</v>
      </c>
      <c r="L86" s="103">
        <f t="shared" si="15"/>
        <v>495</v>
      </c>
      <c r="M86" s="139" t="s">
        <v>2710</v>
      </c>
      <c r="N86" s="9" t="s">
        <v>20</v>
      </c>
      <c r="O86" s="9" t="s">
        <v>20</v>
      </c>
      <c r="P86" s="37" t="s">
        <v>3212</v>
      </c>
      <c r="Q86" s="37" t="s">
        <v>678</v>
      </c>
      <c r="R86" s="37"/>
      <c r="S86" s="38" t="str">
        <f t="shared" si="16"/>
        <v>OSLA</v>
      </c>
      <c r="T86" s="37" t="str">
        <f t="shared" si="17"/>
        <v>OUI</v>
      </c>
      <c r="U86" s="37" t="s">
        <v>3240</v>
      </c>
    </row>
    <row r="87" spans="1:21" x14ac:dyDescent="0.4">
      <c r="A87" s="37">
        <v>86</v>
      </c>
      <c r="B87" s="101" t="s">
        <v>3105</v>
      </c>
      <c r="C87" s="37" t="s">
        <v>2</v>
      </c>
      <c r="D87" s="37" t="s">
        <v>702</v>
      </c>
      <c r="E87" s="9" t="s">
        <v>2717</v>
      </c>
      <c r="F87" s="102">
        <v>46074.229861111111</v>
      </c>
      <c r="G87" s="102">
        <v>46074.609027777777</v>
      </c>
      <c r="H87" s="102">
        <v>46074.609027777777</v>
      </c>
      <c r="I87" s="153">
        <f t="shared" si="12"/>
        <v>0.37916666666569654</v>
      </c>
      <c r="J87" s="103">
        <f t="shared" si="13"/>
        <v>545.99999999860302</v>
      </c>
      <c r="K87" s="153">
        <f t="shared" si="14"/>
        <v>0.37916666666569654</v>
      </c>
      <c r="L87" s="103">
        <f t="shared" si="15"/>
        <v>545.99999999860302</v>
      </c>
      <c r="M87" s="139" t="s">
        <v>3156</v>
      </c>
      <c r="N87" s="9" t="s">
        <v>20</v>
      </c>
      <c r="O87" s="9" t="s">
        <v>20</v>
      </c>
      <c r="P87" s="37" t="s">
        <v>3169</v>
      </c>
      <c r="Q87" s="37" t="s">
        <v>678</v>
      </c>
      <c r="R87" s="37"/>
      <c r="S87" s="38" t="str">
        <f t="shared" si="16"/>
        <v>OSLA</v>
      </c>
      <c r="T87" s="37" t="str">
        <f t="shared" si="17"/>
        <v>OUI</v>
      </c>
      <c r="U87" s="37" t="s">
        <v>3240</v>
      </c>
    </row>
    <row r="88" spans="1:21" x14ac:dyDescent="0.4">
      <c r="A88" s="37">
        <v>87</v>
      </c>
      <c r="B88" s="101" t="s">
        <v>3106</v>
      </c>
      <c r="C88" s="37" t="s">
        <v>2</v>
      </c>
      <c r="D88" s="37" t="s">
        <v>702</v>
      </c>
      <c r="E88" s="9" t="s">
        <v>3095</v>
      </c>
      <c r="F88" s="102">
        <v>46074.465277777781</v>
      </c>
      <c r="G88" s="102">
        <v>46074.534722222219</v>
      </c>
      <c r="H88" s="102">
        <v>46074.534722222219</v>
      </c>
      <c r="I88" s="153">
        <f t="shared" si="12"/>
        <v>6.9444444437976927E-2</v>
      </c>
      <c r="J88" s="103">
        <f t="shared" si="13"/>
        <v>99.999999990686774</v>
      </c>
      <c r="K88" s="153">
        <f t="shared" si="14"/>
        <v>6.9444444437976927E-2</v>
      </c>
      <c r="L88" s="103">
        <f t="shared" si="15"/>
        <v>99.999999990686774</v>
      </c>
      <c r="M88" s="139" t="s">
        <v>3203</v>
      </c>
      <c r="N88" s="9" t="s">
        <v>20</v>
      </c>
      <c r="O88" s="9" t="s">
        <v>20</v>
      </c>
      <c r="P88" s="37" t="s">
        <v>2628</v>
      </c>
      <c r="Q88" s="37" t="s">
        <v>678</v>
      </c>
      <c r="R88" s="37"/>
      <c r="S88" s="38" t="str">
        <f t="shared" si="16"/>
        <v>ISLA</v>
      </c>
      <c r="T88" s="37" t="str">
        <f t="shared" si="17"/>
        <v>NON</v>
      </c>
      <c r="U88" s="37" t="s">
        <v>3240</v>
      </c>
    </row>
    <row r="89" spans="1:21" x14ac:dyDescent="0.4">
      <c r="A89" s="37">
        <v>88</v>
      </c>
      <c r="B89" s="101" t="s">
        <v>3107</v>
      </c>
      <c r="C89" s="37" t="s">
        <v>2</v>
      </c>
      <c r="D89" s="37" t="s">
        <v>702</v>
      </c>
      <c r="E89" s="9" t="s">
        <v>2717</v>
      </c>
      <c r="F89" s="102">
        <v>46074.807638888888</v>
      </c>
      <c r="G89" s="102">
        <v>46076.561805555553</v>
      </c>
      <c r="H89" s="102">
        <v>46076.561805555553</v>
      </c>
      <c r="I89" s="153">
        <f t="shared" si="12"/>
        <v>1.7541666666656965</v>
      </c>
      <c r="J89" s="103">
        <f t="shared" si="13"/>
        <v>2525.999999998603</v>
      </c>
      <c r="K89" s="153">
        <f t="shared" si="14"/>
        <v>1.7541666666656965</v>
      </c>
      <c r="L89" s="103">
        <f t="shared" si="15"/>
        <v>2525.999999998603</v>
      </c>
      <c r="M89" s="139" t="s">
        <v>2718</v>
      </c>
      <c r="N89" s="9" t="s">
        <v>20</v>
      </c>
      <c r="O89" s="9" t="s">
        <v>20</v>
      </c>
      <c r="P89" s="37" t="s">
        <v>3169</v>
      </c>
      <c r="Q89" s="37" t="s">
        <v>678</v>
      </c>
      <c r="R89" s="37"/>
      <c r="S89" s="38" t="str">
        <f t="shared" si="16"/>
        <v>OSLA</v>
      </c>
      <c r="T89" s="37" t="str">
        <f t="shared" si="17"/>
        <v>OUI</v>
      </c>
      <c r="U89" s="37" t="s">
        <v>3240</v>
      </c>
    </row>
    <row r="90" spans="1:21" x14ac:dyDescent="0.4">
      <c r="A90" s="37">
        <v>89</v>
      </c>
      <c r="B90" s="101" t="s">
        <v>3108</v>
      </c>
      <c r="C90" s="37" t="s">
        <v>2</v>
      </c>
      <c r="D90" s="37" t="s">
        <v>702</v>
      </c>
      <c r="E90" s="9" t="s">
        <v>3092</v>
      </c>
      <c r="F90" s="102">
        <v>46075.114583333336</v>
      </c>
      <c r="G90" s="102">
        <v>46075.388888888891</v>
      </c>
      <c r="H90" s="102">
        <v>46075.388888888891</v>
      </c>
      <c r="I90" s="153">
        <f t="shared" si="12"/>
        <v>0.27430555555474712</v>
      </c>
      <c r="J90" s="103">
        <f t="shared" si="13"/>
        <v>394.99999999883585</v>
      </c>
      <c r="K90" s="153">
        <f t="shared" si="14"/>
        <v>0.27430555555474712</v>
      </c>
      <c r="L90" s="103">
        <f t="shared" si="15"/>
        <v>394.99999999883585</v>
      </c>
      <c r="M90" s="139" t="s">
        <v>3200</v>
      </c>
      <c r="N90" s="9" t="s">
        <v>3214</v>
      </c>
      <c r="O90" s="9" t="s">
        <v>3242</v>
      </c>
      <c r="P90" s="37" t="s">
        <v>3241</v>
      </c>
      <c r="Q90" s="37" t="s">
        <v>678</v>
      </c>
      <c r="R90" s="37"/>
      <c r="S90" s="38" t="str">
        <f t="shared" si="16"/>
        <v>OSLA</v>
      </c>
      <c r="T90" s="37" t="str">
        <f t="shared" si="17"/>
        <v>OUI</v>
      </c>
      <c r="U90" s="37" t="s">
        <v>3240</v>
      </c>
    </row>
    <row r="91" spans="1:21" x14ac:dyDescent="0.4">
      <c r="A91" s="37">
        <v>90</v>
      </c>
      <c r="B91" s="101" t="s">
        <v>3109</v>
      </c>
      <c r="C91" s="37" t="s">
        <v>14</v>
      </c>
      <c r="D91" s="37" t="s">
        <v>702</v>
      </c>
      <c r="E91" s="9" t="s">
        <v>2673</v>
      </c>
      <c r="F91" s="102">
        <v>46075.465277777781</v>
      </c>
      <c r="G91" s="102">
        <v>46075.524305555555</v>
      </c>
      <c r="H91" s="102">
        <v>46075.524305555555</v>
      </c>
      <c r="I91" s="153">
        <f t="shared" si="12"/>
        <v>5.9027777773735579E-2</v>
      </c>
      <c r="J91" s="103">
        <f t="shared" si="13"/>
        <v>84.999999994179234</v>
      </c>
      <c r="K91" s="153">
        <f t="shared" si="14"/>
        <v>5.9027777773735579E-2</v>
      </c>
      <c r="L91" s="103">
        <f t="shared" si="15"/>
        <v>84.999999994179234</v>
      </c>
      <c r="M91" s="139" t="s">
        <v>3215</v>
      </c>
      <c r="N91" s="9" t="s">
        <v>20</v>
      </c>
      <c r="O91" s="9" t="s">
        <v>20</v>
      </c>
      <c r="P91" s="37" t="s">
        <v>2815</v>
      </c>
      <c r="Q91" s="37" t="s">
        <v>678</v>
      </c>
      <c r="R91" s="37"/>
      <c r="S91" s="38" t="str">
        <f t="shared" si="16"/>
        <v>ISLA</v>
      </c>
      <c r="T91" s="37" t="str">
        <f t="shared" si="17"/>
        <v>NON</v>
      </c>
      <c r="U91" s="37" t="s">
        <v>3240</v>
      </c>
    </row>
    <row r="92" spans="1:21" x14ac:dyDescent="0.4">
      <c r="A92" s="37">
        <v>91</v>
      </c>
      <c r="B92" s="101" t="s">
        <v>3110</v>
      </c>
      <c r="C92" s="37" t="s">
        <v>2</v>
      </c>
      <c r="D92" s="37" t="s">
        <v>702</v>
      </c>
      <c r="E92" s="9" t="s">
        <v>3062</v>
      </c>
      <c r="F92" s="102">
        <v>46075.96875</v>
      </c>
      <c r="G92" s="102">
        <v>46076.510416666664</v>
      </c>
      <c r="H92" s="102">
        <v>46076.510416666664</v>
      </c>
      <c r="I92" s="153">
        <f t="shared" si="12"/>
        <v>0.54166666666424135</v>
      </c>
      <c r="J92" s="103">
        <f t="shared" si="13"/>
        <v>779.99999999650754</v>
      </c>
      <c r="K92" s="153">
        <f t="shared" si="14"/>
        <v>0.54166666666424135</v>
      </c>
      <c r="L92" s="103">
        <f t="shared" si="15"/>
        <v>779.99999999650754</v>
      </c>
      <c r="M92" s="139" t="s">
        <v>3185</v>
      </c>
      <c r="N92" s="9" t="s">
        <v>3216</v>
      </c>
      <c r="O92" s="9" t="s">
        <v>20</v>
      </c>
      <c r="P92" s="37" t="s">
        <v>2688</v>
      </c>
      <c r="Q92" s="37" t="s">
        <v>678</v>
      </c>
      <c r="R92" s="37"/>
      <c r="S92" s="38" t="str">
        <f t="shared" si="16"/>
        <v>OSLA</v>
      </c>
      <c r="T92" s="37" t="str">
        <f t="shared" si="17"/>
        <v>OUI</v>
      </c>
      <c r="U92" s="37" t="s">
        <v>3240</v>
      </c>
    </row>
    <row r="93" spans="1:21" x14ac:dyDescent="0.4">
      <c r="A93" s="37">
        <v>92</v>
      </c>
      <c r="B93" s="101" t="s">
        <v>3111</v>
      </c>
      <c r="C93" s="37" t="s">
        <v>2</v>
      </c>
      <c r="D93" s="37" t="s">
        <v>702</v>
      </c>
      <c r="E93" s="9" t="s">
        <v>3112</v>
      </c>
      <c r="F93" s="102">
        <v>46076.25</v>
      </c>
      <c r="G93" s="102">
        <v>46076.333333333336</v>
      </c>
      <c r="H93" s="102">
        <v>46076.333333333336</v>
      </c>
      <c r="I93" s="153">
        <f t="shared" si="12"/>
        <v>8.3333333335758653E-2</v>
      </c>
      <c r="J93" s="103">
        <f t="shared" si="13"/>
        <v>120.00000000349246</v>
      </c>
      <c r="K93" s="153">
        <f t="shared" si="14"/>
        <v>8.3333333335758653E-2</v>
      </c>
      <c r="L93" s="103">
        <f t="shared" si="15"/>
        <v>120.00000000349246</v>
      </c>
      <c r="M93" s="139" t="s">
        <v>2975</v>
      </c>
      <c r="N93" s="9" t="s">
        <v>20</v>
      </c>
      <c r="O93" s="9" t="s">
        <v>20</v>
      </c>
      <c r="P93" s="37" t="s">
        <v>2977</v>
      </c>
      <c r="Q93" s="37" t="s">
        <v>678</v>
      </c>
      <c r="R93" s="37"/>
      <c r="S93" s="38" t="str">
        <f t="shared" si="16"/>
        <v>ISLA</v>
      </c>
      <c r="T93" s="37" t="str">
        <f t="shared" si="17"/>
        <v>NON</v>
      </c>
      <c r="U93" s="37" t="s">
        <v>3240</v>
      </c>
    </row>
    <row r="94" spans="1:21" x14ac:dyDescent="0.4">
      <c r="A94" s="37">
        <v>93</v>
      </c>
      <c r="B94" s="101" t="s">
        <v>3113</v>
      </c>
      <c r="C94" s="37" t="s">
        <v>2</v>
      </c>
      <c r="D94" s="37" t="s">
        <v>702</v>
      </c>
      <c r="E94" s="9" t="s">
        <v>2808</v>
      </c>
      <c r="F94" s="102">
        <v>46076.350694444445</v>
      </c>
      <c r="G94" s="102">
        <v>46076.510416666664</v>
      </c>
      <c r="H94" s="102">
        <v>46076.510416666664</v>
      </c>
      <c r="I94" s="153">
        <f t="shared" si="12"/>
        <v>0.15972222221898846</v>
      </c>
      <c r="J94" s="103">
        <f t="shared" si="13"/>
        <v>229.99999999534339</v>
      </c>
      <c r="K94" s="153">
        <f t="shared" si="14"/>
        <v>0.15972222221898846</v>
      </c>
      <c r="L94" s="103">
        <f t="shared" si="15"/>
        <v>229.99999999534339</v>
      </c>
      <c r="M94" s="139" t="s">
        <v>3189</v>
      </c>
      <c r="N94" s="9" t="s">
        <v>20</v>
      </c>
      <c r="O94" s="9" t="s">
        <v>20</v>
      </c>
      <c r="P94" s="37" t="s">
        <v>2813</v>
      </c>
      <c r="Q94" s="37" t="s">
        <v>678</v>
      </c>
      <c r="R94" s="37"/>
      <c r="S94" s="38" t="str">
        <f t="shared" si="16"/>
        <v>ISLA</v>
      </c>
      <c r="T94" s="37" t="str">
        <f t="shared" si="17"/>
        <v>NON</v>
      </c>
      <c r="U94" s="37" t="s">
        <v>2675</v>
      </c>
    </row>
    <row r="95" spans="1:21" x14ac:dyDescent="0.4">
      <c r="A95" s="37">
        <v>94</v>
      </c>
      <c r="B95" s="101" t="s">
        <v>3114</v>
      </c>
      <c r="C95" s="37" t="s">
        <v>2</v>
      </c>
      <c r="D95" s="37" t="s">
        <v>702</v>
      </c>
      <c r="E95" s="9" t="s">
        <v>3095</v>
      </c>
      <c r="F95" s="102">
        <v>46076.378472222219</v>
      </c>
      <c r="G95" s="102">
        <v>46076.482638888891</v>
      </c>
      <c r="H95" s="102">
        <v>46076.482638888891</v>
      </c>
      <c r="I95" s="153">
        <f t="shared" si="12"/>
        <v>0.10416666667151731</v>
      </c>
      <c r="J95" s="103">
        <f t="shared" si="13"/>
        <v>150.00000000698492</v>
      </c>
      <c r="K95" s="153">
        <f t="shared" si="14"/>
        <v>0.10416666667151731</v>
      </c>
      <c r="L95" s="103">
        <f t="shared" si="15"/>
        <v>150.00000000698492</v>
      </c>
      <c r="M95" s="139" t="s">
        <v>3217</v>
      </c>
      <c r="N95" s="9" t="s">
        <v>20</v>
      </c>
      <c r="O95" s="9" t="s">
        <v>20</v>
      </c>
      <c r="P95" s="37" t="s">
        <v>2628</v>
      </c>
      <c r="Q95" s="37" t="s">
        <v>678</v>
      </c>
      <c r="R95" s="37"/>
      <c r="S95" s="38" t="str">
        <f t="shared" si="16"/>
        <v>ISLA</v>
      </c>
      <c r="T95" s="37" t="str">
        <f t="shared" si="17"/>
        <v>NON</v>
      </c>
      <c r="U95" s="37" t="s">
        <v>2675</v>
      </c>
    </row>
    <row r="96" spans="1:21" ht="20.6" x14ac:dyDescent="0.4">
      <c r="A96" s="37">
        <v>95</v>
      </c>
      <c r="B96" s="101" t="s">
        <v>3115</v>
      </c>
      <c r="C96" s="37" t="s">
        <v>2</v>
      </c>
      <c r="D96" s="37" t="s">
        <v>702</v>
      </c>
      <c r="E96" s="9" t="s">
        <v>3050</v>
      </c>
      <c r="F96" s="102">
        <v>46076.447916666664</v>
      </c>
      <c r="G96" s="102">
        <v>46076.510416666664</v>
      </c>
      <c r="H96" s="102">
        <v>46076.510416666664</v>
      </c>
      <c r="I96" s="153">
        <f t="shared" si="12"/>
        <v>6.25E-2</v>
      </c>
      <c r="J96" s="103">
        <f t="shared" si="13"/>
        <v>90</v>
      </c>
      <c r="K96" s="153">
        <f t="shared" si="14"/>
        <v>6.25E-2</v>
      </c>
      <c r="L96" s="103">
        <f t="shared" si="15"/>
        <v>90</v>
      </c>
      <c r="M96" s="139" t="s">
        <v>2941</v>
      </c>
      <c r="N96" s="9" t="s">
        <v>20</v>
      </c>
      <c r="O96" s="9" t="s">
        <v>20</v>
      </c>
      <c r="P96" s="37" t="s">
        <v>2684</v>
      </c>
      <c r="Q96" s="37" t="s">
        <v>678</v>
      </c>
      <c r="R96" s="37"/>
      <c r="S96" s="38" t="str">
        <f t="shared" si="16"/>
        <v>ISLA</v>
      </c>
      <c r="T96" s="37" t="str">
        <f t="shared" si="17"/>
        <v>NON</v>
      </c>
      <c r="U96" s="37" t="s">
        <v>3240</v>
      </c>
    </row>
    <row r="97" spans="1:21" x14ac:dyDescent="0.4">
      <c r="A97" s="37">
        <v>96</v>
      </c>
      <c r="B97" s="101" t="s">
        <v>3116</v>
      </c>
      <c r="C97" s="37" t="s">
        <v>2</v>
      </c>
      <c r="D97" s="37" t="s">
        <v>702</v>
      </c>
      <c r="E97" s="9" t="s">
        <v>2831</v>
      </c>
      <c r="F97" s="102">
        <v>46077.436805555553</v>
      </c>
      <c r="G97" s="102">
        <v>46077.476388888892</v>
      </c>
      <c r="H97" s="102">
        <v>46077.476388888892</v>
      </c>
      <c r="I97" s="153">
        <f t="shared" si="12"/>
        <v>3.9583333338669036E-2</v>
      </c>
      <c r="J97" s="103">
        <f t="shared" si="13"/>
        <v>57.000000007683411</v>
      </c>
      <c r="K97" s="153">
        <f t="shared" si="14"/>
        <v>3.9583333338669036E-2</v>
      </c>
      <c r="L97" s="103">
        <f t="shared" si="15"/>
        <v>57.000000007683411</v>
      </c>
      <c r="M97" s="139" t="s">
        <v>2832</v>
      </c>
      <c r="N97" s="9" t="s">
        <v>20</v>
      </c>
      <c r="O97" s="9" t="s">
        <v>20</v>
      </c>
      <c r="P97" s="37" t="s">
        <v>2834</v>
      </c>
      <c r="Q97" s="37" t="s">
        <v>678</v>
      </c>
      <c r="R97" s="37"/>
      <c r="S97" s="38" t="str">
        <f t="shared" si="16"/>
        <v>ISLA</v>
      </c>
      <c r="T97" s="37" t="str">
        <f t="shared" si="17"/>
        <v>NON</v>
      </c>
      <c r="U97" s="37" t="s">
        <v>3240</v>
      </c>
    </row>
    <row r="98" spans="1:21" ht="51.45" x14ac:dyDescent="0.4">
      <c r="A98" s="37">
        <v>97</v>
      </c>
      <c r="B98" s="101" t="s">
        <v>3117</v>
      </c>
      <c r="C98" s="37" t="s">
        <v>2</v>
      </c>
      <c r="D98" s="37" t="s">
        <v>702</v>
      </c>
      <c r="E98" s="9" t="s">
        <v>3118</v>
      </c>
      <c r="F98" s="102">
        <v>46077.46875</v>
      </c>
      <c r="G98" s="102">
        <v>46077.670138888891</v>
      </c>
      <c r="H98" s="102">
        <v>46077.670138888891</v>
      </c>
      <c r="I98" s="153">
        <f t="shared" ref="I98:I120" si="18">G98-F98</f>
        <v>0.20138888889050577</v>
      </c>
      <c r="J98" s="103">
        <f t="shared" ref="J98:J120" si="19">I98*1440</f>
        <v>290.00000000232831</v>
      </c>
      <c r="K98" s="153">
        <f t="shared" ref="K98:K120" si="20">H98-F98</f>
        <v>0.20138888889050577</v>
      </c>
      <c r="L98" s="103">
        <f t="shared" ref="L98:L120" si="21">K98*1440</f>
        <v>290.00000000232831</v>
      </c>
      <c r="M98" s="139" t="s">
        <v>3183</v>
      </c>
      <c r="N98" s="9" t="s">
        <v>3218</v>
      </c>
      <c r="O98" s="9" t="s">
        <v>3219</v>
      </c>
      <c r="P98" s="37" t="s">
        <v>2628</v>
      </c>
      <c r="Q98" s="37" t="s">
        <v>678</v>
      </c>
      <c r="R98" s="37"/>
      <c r="S98" s="38" t="str">
        <f t="shared" ref="S98:S120" si="22">IF(AND(C98="P1",J98&lt;=240),"ISLA",IF((AND(C98="P2",J98&lt;=480)),"ISLA",IF((AND(C98="P3",J98&lt;=2880)),"ISLA","OSLA")))</f>
        <v>OSLA</v>
      </c>
      <c r="T98" s="37" t="str">
        <f t="shared" ref="T98:T120" si="23">IF((AND(MID(P98,1,2)="IT",S98="OSLA")),"OUI","NON")</f>
        <v>NON</v>
      </c>
      <c r="U98" s="37" t="s">
        <v>2675</v>
      </c>
    </row>
    <row r="99" spans="1:21" x14ac:dyDescent="0.4">
      <c r="A99" s="37">
        <v>98</v>
      </c>
      <c r="B99" s="101" t="s">
        <v>3119</v>
      </c>
      <c r="C99" s="37" t="s">
        <v>2</v>
      </c>
      <c r="D99" s="37" t="s">
        <v>702</v>
      </c>
      <c r="E99" s="9" t="s">
        <v>299</v>
      </c>
      <c r="F99" s="102">
        <v>46077.583333333336</v>
      </c>
      <c r="G99" s="102">
        <v>46077.909722222219</v>
      </c>
      <c r="H99" s="102">
        <v>46077.909722222219</v>
      </c>
      <c r="I99" s="153">
        <f t="shared" si="18"/>
        <v>0.32638888888322981</v>
      </c>
      <c r="J99" s="103">
        <f t="shared" si="19"/>
        <v>469.99999999185093</v>
      </c>
      <c r="K99" s="153">
        <f t="shared" si="20"/>
        <v>0.32638888888322981</v>
      </c>
      <c r="L99" s="103">
        <f t="shared" si="21"/>
        <v>469.99999999185093</v>
      </c>
      <c r="M99" s="139" t="s">
        <v>3220</v>
      </c>
      <c r="N99" s="9" t="s">
        <v>20</v>
      </c>
      <c r="O99" s="9" t="s">
        <v>20</v>
      </c>
      <c r="P99" s="37" t="s">
        <v>2628</v>
      </c>
      <c r="Q99" s="37" t="s">
        <v>678</v>
      </c>
      <c r="R99" s="37"/>
      <c r="S99" s="38" t="str">
        <f t="shared" si="22"/>
        <v>OSLA</v>
      </c>
      <c r="T99" s="37" t="str">
        <f t="shared" si="23"/>
        <v>NON</v>
      </c>
      <c r="U99" s="37" t="s">
        <v>2675</v>
      </c>
    </row>
    <row r="100" spans="1:21" ht="41.15" x14ac:dyDescent="0.4">
      <c r="A100" s="37">
        <v>99</v>
      </c>
      <c r="B100" s="101" t="s">
        <v>3120</v>
      </c>
      <c r="C100" s="37" t="s">
        <v>2</v>
      </c>
      <c r="D100" s="37" t="s">
        <v>702</v>
      </c>
      <c r="E100" s="9" t="s">
        <v>3121</v>
      </c>
      <c r="F100" s="102">
        <v>46077.645833333336</v>
      </c>
      <c r="G100" s="102">
        <v>46077.673611111109</v>
      </c>
      <c r="H100" s="102">
        <v>46077.673611111109</v>
      </c>
      <c r="I100" s="153">
        <f t="shared" si="18"/>
        <v>2.7777777773735579E-2</v>
      </c>
      <c r="J100" s="103">
        <f t="shared" si="19"/>
        <v>39.999999994179234</v>
      </c>
      <c r="K100" s="153">
        <f t="shared" si="20"/>
        <v>2.7777777773735579E-2</v>
      </c>
      <c r="L100" s="103">
        <f t="shared" si="21"/>
        <v>39.999999994179234</v>
      </c>
      <c r="M100" s="139" t="s">
        <v>3221</v>
      </c>
      <c r="N100" s="9" t="s">
        <v>20</v>
      </c>
      <c r="O100" s="9" t="s">
        <v>3222</v>
      </c>
      <c r="P100" s="37" t="s">
        <v>701</v>
      </c>
      <c r="Q100" s="37" t="s">
        <v>678</v>
      </c>
      <c r="R100" s="37"/>
      <c r="S100" s="38" t="str">
        <f t="shared" si="22"/>
        <v>ISLA</v>
      </c>
      <c r="T100" s="37" t="str">
        <f t="shared" si="23"/>
        <v>NON</v>
      </c>
      <c r="U100" s="37" t="s">
        <v>2675</v>
      </c>
    </row>
    <row r="101" spans="1:21" x14ac:dyDescent="0.4">
      <c r="A101" s="37">
        <v>100</v>
      </c>
      <c r="B101" s="101" t="s">
        <v>3122</v>
      </c>
      <c r="C101" s="37" t="s">
        <v>2</v>
      </c>
      <c r="D101" s="37" t="s">
        <v>702</v>
      </c>
      <c r="E101" s="9" t="s">
        <v>2934</v>
      </c>
      <c r="F101" s="102">
        <v>46077.682638888888</v>
      </c>
      <c r="G101" s="102">
        <v>46077.954861111109</v>
      </c>
      <c r="H101" s="102">
        <v>46077.954861111109</v>
      </c>
      <c r="I101" s="153">
        <f t="shared" si="18"/>
        <v>0.27222222222189885</v>
      </c>
      <c r="J101" s="103">
        <f t="shared" si="19"/>
        <v>391.99999999953434</v>
      </c>
      <c r="K101" s="153">
        <f t="shared" si="20"/>
        <v>0.27222222222189885</v>
      </c>
      <c r="L101" s="103">
        <f t="shared" si="21"/>
        <v>391.99999999953434</v>
      </c>
      <c r="M101" s="139" t="s">
        <v>2935</v>
      </c>
      <c r="N101" s="9" t="s">
        <v>20</v>
      </c>
      <c r="O101" s="9" t="s">
        <v>3223</v>
      </c>
      <c r="P101" s="37" t="s">
        <v>2936</v>
      </c>
      <c r="Q101" s="37" t="s">
        <v>678</v>
      </c>
      <c r="R101" s="37"/>
      <c r="S101" s="38" t="str">
        <f t="shared" si="22"/>
        <v>OSLA</v>
      </c>
      <c r="T101" s="37" t="str">
        <f t="shared" si="23"/>
        <v>OUI</v>
      </c>
      <c r="U101" s="37" t="s">
        <v>3240</v>
      </c>
    </row>
    <row r="102" spans="1:21" x14ac:dyDescent="0.4">
      <c r="A102" s="37">
        <v>101</v>
      </c>
      <c r="B102" s="101" t="s">
        <v>3123</v>
      </c>
      <c r="C102" s="37" t="s">
        <v>2</v>
      </c>
      <c r="D102" s="37" t="s">
        <v>702</v>
      </c>
      <c r="E102" s="9" t="s">
        <v>2717</v>
      </c>
      <c r="F102" s="102">
        <v>46077.741666666669</v>
      </c>
      <c r="G102" s="102">
        <v>46077.754861111112</v>
      </c>
      <c r="H102" s="102">
        <v>46077.754861111112</v>
      </c>
      <c r="I102" s="153">
        <f t="shared" si="18"/>
        <v>1.3194444443797693E-2</v>
      </c>
      <c r="J102" s="103">
        <f t="shared" si="19"/>
        <v>18.999999999068677</v>
      </c>
      <c r="K102" s="153">
        <f t="shared" si="20"/>
        <v>1.3194444443797693E-2</v>
      </c>
      <c r="L102" s="103">
        <f t="shared" si="21"/>
        <v>18.999999999068677</v>
      </c>
      <c r="M102" s="139" t="s">
        <v>2718</v>
      </c>
      <c r="N102" s="9" t="s">
        <v>20</v>
      </c>
      <c r="O102" s="9" t="s">
        <v>20</v>
      </c>
      <c r="P102" s="37" t="s">
        <v>3169</v>
      </c>
      <c r="Q102" s="37" t="s">
        <v>678</v>
      </c>
      <c r="R102" s="37"/>
      <c r="S102" s="38" t="str">
        <f t="shared" si="22"/>
        <v>ISLA</v>
      </c>
      <c r="T102" s="37" t="str">
        <f t="shared" si="23"/>
        <v>NON</v>
      </c>
      <c r="U102" s="37" t="s">
        <v>3240</v>
      </c>
    </row>
    <row r="103" spans="1:21" x14ac:dyDescent="0.4">
      <c r="A103" s="37">
        <v>102</v>
      </c>
      <c r="B103" s="101" t="s">
        <v>3124</v>
      </c>
      <c r="C103" s="37" t="s">
        <v>14</v>
      </c>
      <c r="D103" s="37" t="s">
        <v>702</v>
      </c>
      <c r="E103" s="9" t="s">
        <v>2808</v>
      </c>
      <c r="F103" s="102">
        <v>46078.347222222219</v>
      </c>
      <c r="G103" s="102">
        <v>46078.572916666664</v>
      </c>
      <c r="H103" s="102">
        <v>46078.572916666664</v>
      </c>
      <c r="I103" s="153">
        <f t="shared" si="18"/>
        <v>0.22569444444525288</v>
      </c>
      <c r="J103" s="103">
        <f t="shared" si="19"/>
        <v>325.00000000116415</v>
      </c>
      <c r="K103" s="153">
        <f t="shared" si="20"/>
        <v>0.22569444444525288</v>
      </c>
      <c r="L103" s="103">
        <f t="shared" si="21"/>
        <v>325.00000000116415</v>
      </c>
      <c r="M103" s="139" t="s">
        <v>3194</v>
      </c>
      <c r="N103" s="9" t="s">
        <v>20</v>
      </c>
      <c r="O103" s="9" t="s">
        <v>20</v>
      </c>
      <c r="P103" s="37" t="s">
        <v>2813</v>
      </c>
      <c r="Q103" s="37" t="s">
        <v>678</v>
      </c>
      <c r="R103" s="37"/>
      <c r="S103" s="38" t="str">
        <f t="shared" si="22"/>
        <v>ISLA</v>
      </c>
      <c r="T103" s="37" t="str">
        <f t="shared" si="23"/>
        <v>NON</v>
      </c>
      <c r="U103" s="37" t="s">
        <v>3240</v>
      </c>
    </row>
    <row r="104" spans="1:21" ht="20.6" x14ac:dyDescent="0.4">
      <c r="A104" s="37">
        <v>103</v>
      </c>
      <c r="B104" s="101" t="s">
        <v>3125</v>
      </c>
      <c r="C104" s="37" t="s">
        <v>14</v>
      </c>
      <c r="D104" s="37" t="s">
        <v>702</v>
      </c>
      <c r="E104" s="9" t="s">
        <v>3126</v>
      </c>
      <c r="F104" s="102">
        <v>46078.430555555555</v>
      </c>
      <c r="G104" s="102">
        <v>46079.052083333336</v>
      </c>
      <c r="H104" s="102">
        <v>46079.052083333336</v>
      </c>
      <c r="I104" s="153">
        <f t="shared" si="18"/>
        <v>0.62152777778101154</v>
      </c>
      <c r="J104" s="103">
        <f t="shared" si="19"/>
        <v>895.00000000465661</v>
      </c>
      <c r="K104" s="153">
        <f t="shared" si="20"/>
        <v>0.62152777778101154</v>
      </c>
      <c r="L104" s="103">
        <f t="shared" si="21"/>
        <v>895.00000000465661</v>
      </c>
      <c r="M104" s="139" t="s">
        <v>3224</v>
      </c>
      <c r="N104" s="9" t="s">
        <v>20</v>
      </c>
      <c r="O104" s="9" t="s">
        <v>20</v>
      </c>
      <c r="P104" s="37" t="s">
        <v>2628</v>
      </c>
      <c r="Q104" s="37" t="s">
        <v>678</v>
      </c>
      <c r="R104" s="37"/>
      <c r="S104" s="38" t="str">
        <f t="shared" si="22"/>
        <v>OSLA</v>
      </c>
      <c r="T104" s="37" t="str">
        <f t="shared" si="23"/>
        <v>NON</v>
      </c>
      <c r="U104" s="37" t="s">
        <v>3240</v>
      </c>
    </row>
    <row r="105" spans="1:21" x14ac:dyDescent="0.4">
      <c r="A105" s="37">
        <v>104</v>
      </c>
      <c r="B105" s="101" t="s">
        <v>3127</v>
      </c>
      <c r="C105" s="37" t="s">
        <v>2</v>
      </c>
      <c r="D105" s="37" t="s">
        <v>702</v>
      </c>
      <c r="E105" s="9" t="s">
        <v>2934</v>
      </c>
      <c r="F105" s="102">
        <v>46078.442361111112</v>
      </c>
      <c r="G105" s="102">
        <v>46078.583333333336</v>
      </c>
      <c r="H105" s="102">
        <v>46078.583333333336</v>
      </c>
      <c r="I105" s="153">
        <f t="shared" si="18"/>
        <v>0.14097222222335404</v>
      </c>
      <c r="J105" s="103">
        <f t="shared" si="19"/>
        <v>203.00000000162981</v>
      </c>
      <c r="K105" s="153">
        <f t="shared" si="20"/>
        <v>0.14097222222335404</v>
      </c>
      <c r="L105" s="103">
        <f t="shared" si="21"/>
        <v>203.00000000162981</v>
      </c>
      <c r="M105" s="139" t="s">
        <v>2935</v>
      </c>
      <c r="N105" s="9" t="s">
        <v>20</v>
      </c>
      <c r="O105" s="9" t="s">
        <v>20</v>
      </c>
      <c r="P105" s="37" t="s">
        <v>2936</v>
      </c>
      <c r="Q105" s="37" t="s">
        <v>678</v>
      </c>
      <c r="R105" s="37"/>
      <c r="S105" s="38" t="str">
        <f t="shared" si="22"/>
        <v>ISLA</v>
      </c>
      <c r="T105" s="37" t="str">
        <f t="shared" si="23"/>
        <v>NON</v>
      </c>
      <c r="U105" s="37" t="s">
        <v>3240</v>
      </c>
    </row>
    <row r="106" spans="1:21" x14ac:dyDescent="0.4">
      <c r="A106" s="37">
        <v>105</v>
      </c>
      <c r="B106" s="101" t="s">
        <v>3128</v>
      </c>
      <c r="C106" s="37" t="s">
        <v>2</v>
      </c>
      <c r="D106" s="37" t="s">
        <v>702</v>
      </c>
      <c r="E106" s="9" t="s">
        <v>3129</v>
      </c>
      <c r="F106" s="102">
        <v>46078.563194444447</v>
      </c>
      <c r="G106" s="102">
        <v>46078.741666666669</v>
      </c>
      <c r="H106" s="102">
        <v>46078.741666666669</v>
      </c>
      <c r="I106" s="153">
        <f t="shared" si="18"/>
        <v>0.17847222222189885</v>
      </c>
      <c r="J106" s="103">
        <f t="shared" si="19"/>
        <v>256.99999999953434</v>
      </c>
      <c r="K106" s="153">
        <f t="shared" si="20"/>
        <v>0.17847222222189885</v>
      </c>
      <c r="L106" s="103">
        <f t="shared" si="21"/>
        <v>256.99999999953434</v>
      </c>
      <c r="M106" s="139" t="s">
        <v>3225</v>
      </c>
      <c r="N106" s="9" t="s">
        <v>20</v>
      </c>
      <c r="O106" s="9" t="s">
        <v>20</v>
      </c>
      <c r="P106" s="37" t="s">
        <v>3226</v>
      </c>
      <c r="Q106" s="37" t="s">
        <v>678</v>
      </c>
      <c r="R106" s="37"/>
      <c r="S106" s="38" t="str">
        <f t="shared" si="22"/>
        <v>OSLA</v>
      </c>
      <c r="T106" s="37" t="str">
        <f t="shared" si="23"/>
        <v>OUI</v>
      </c>
      <c r="U106" s="37" t="s">
        <v>3240</v>
      </c>
    </row>
    <row r="107" spans="1:21" x14ac:dyDescent="0.4">
      <c r="A107" s="37">
        <v>106</v>
      </c>
      <c r="B107" s="101" t="s">
        <v>3130</v>
      </c>
      <c r="C107" s="37" t="s">
        <v>2</v>
      </c>
      <c r="D107" s="37" t="s">
        <v>702</v>
      </c>
      <c r="E107" s="9" t="s">
        <v>3131</v>
      </c>
      <c r="F107" s="102">
        <v>46078.586111111108</v>
      </c>
      <c r="G107" s="102">
        <v>46079.520833333336</v>
      </c>
      <c r="H107" s="102">
        <v>46079.520833333336</v>
      </c>
      <c r="I107" s="153">
        <f t="shared" si="18"/>
        <v>0.93472222222771961</v>
      </c>
      <c r="J107" s="103">
        <f t="shared" si="19"/>
        <v>1346.0000000079162</v>
      </c>
      <c r="K107" s="153">
        <f t="shared" si="20"/>
        <v>0.93472222222771961</v>
      </c>
      <c r="L107" s="103">
        <f t="shared" si="21"/>
        <v>1346.0000000079162</v>
      </c>
      <c r="M107" s="139" t="s">
        <v>3227</v>
      </c>
      <c r="N107" s="9" t="s">
        <v>20</v>
      </c>
      <c r="O107" s="9" t="s">
        <v>20</v>
      </c>
      <c r="P107" s="37" t="s">
        <v>2628</v>
      </c>
      <c r="Q107" s="37" t="s">
        <v>678</v>
      </c>
      <c r="R107" s="37"/>
      <c r="S107" s="38" t="str">
        <f t="shared" si="22"/>
        <v>OSLA</v>
      </c>
      <c r="T107" s="37" t="str">
        <f t="shared" si="23"/>
        <v>NON</v>
      </c>
      <c r="U107" s="37" t="s">
        <v>2675</v>
      </c>
    </row>
    <row r="108" spans="1:21" x14ac:dyDescent="0.4">
      <c r="A108" s="37">
        <v>107</v>
      </c>
      <c r="B108" s="101" t="s">
        <v>3132</v>
      </c>
      <c r="C108" s="37" t="s">
        <v>2</v>
      </c>
      <c r="D108" s="37" t="s">
        <v>702</v>
      </c>
      <c r="E108" s="9" t="s">
        <v>2817</v>
      </c>
      <c r="F108" s="102">
        <v>46078.84375</v>
      </c>
      <c r="G108" s="102">
        <v>46079.027777777781</v>
      </c>
      <c r="H108" s="102">
        <v>46079.027777777781</v>
      </c>
      <c r="I108" s="153">
        <f t="shared" si="18"/>
        <v>0.18402777778101154</v>
      </c>
      <c r="J108" s="103">
        <f t="shared" si="19"/>
        <v>265.00000000465661</v>
      </c>
      <c r="K108" s="153">
        <f t="shared" si="20"/>
        <v>0.18402777778101154</v>
      </c>
      <c r="L108" s="103">
        <f t="shared" si="21"/>
        <v>265.00000000465661</v>
      </c>
      <c r="M108" s="139" t="s">
        <v>2990</v>
      </c>
      <c r="N108" s="9" t="s">
        <v>20</v>
      </c>
      <c r="O108" s="9" t="s">
        <v>20</v>
      </c>
      <c r="P108" s="37" t="s">
        <v>2819</v>
      </c>
      <c r="Q108" s="37" t="s">
        <v>678</v>
      </c>
      <c r="R108" s="37"/>
      <c r="S108" s="38" t="str">
        <f t="shared" si="22"/>
        <v>OSLA</v>
      </c>
      <c r="T108" s="37" t="str">
        <f t="shared" si="23"/>
        <v>OUI</v>
      </c>
      <c r="U108" s="37" t="s">
        <v>3240</v>
      </c>
    </row>
    <row r="109" spans="1:21" x14ac:dyDescent="0.4">
      <c r="A109" s="37">
        <v>108</v>
      </c>
      <c r="B109" s="101" t="s">
        <v>3133</v>
      </c>
      <c r="C109" s="37" t="s">
        <v>2</v>
      </c>
      <c r="D109" s="37" t="s">
        <v>702</v>
      </c>
      <c r="E109" s="9" t="s">
        <v>2717</v>
      </c>
      <c r="F109" s="102">
        <v>46079.310416666667</v>
      </c>
      <c r="G109" s="102">
        <v>46079.402777777781</v>
      </c>
      <c r="H109" s="102">
        <v>46079.402777777781</v>
      </c>
      <c r="I109" s="153">
        <f t="shared" si="18"/>
        <v>9.2361111113859806E-2</v>
      </c>
      <c r="J109" s="103">
        <f t="shared" si="19"/>
        <v>133.00000000395812</v>
      </c>
      <c r="K109" s="153">
        <f t="shared" si="20"/>
        <v>9.2361111113859806E-2</v>
      </c>
      <c r="L109" s="103">
        <f t="shared" si="21"/>
        <v>133.00000000395812</v>
      </c>
      <c r="M109" s="139" t="s">
        <v>2718</v>
      </c>
      <c r="N109" s="9" t="s">
        <v>20</v>
      </c>
      <c r="O109" s="9" t="s">
        <v>20</v>
      </c>
      <c r="P109" s="37" t="s">
        <v>3169</v>
      </c>
      <c r="Q109" s="37" t="s">
        <v>678</v>
      </c>
      <c r="R109" s="37"/>
      <c r="S109" s="38" t="str">
        <f t="shared" si="22"/>
        <v>ISLA</v>
      </c>
      <c r="T109" s="37" t="str">
        <f t="shared" si="23"/>
        <v>NON</v>
      </c>
      <c r="U109" s="37" t="s">
        <v>2735</v>
      </c>
    </row>
    <row r="110" spans="1:21" x14ac:dyDescent="0.4">
      <c r="A110" s="37">
        <v>109</v>
      </c>
      <c r="B110" s="101" t="s">
        <v>3134</v>
      </c>
      <c r="C110" s="37" t="s">
        <v>2</v>
      </c>
      <c r="D110" s="37" t="s">
        <v>702</v>
      </c>
      <c r="E110" s="9" t="s">
        <v>2868</v>
      </c>
      <c r="F110" s="102">
        <v>46079.353472222225</v>
      </c>
      <c r="G110" s="102">
        <v>46079.383333333331</v>
      </c>
      <c r="H110" s="102">
        <v>46079.383333333331</v>
      </c>
      <c r="I110" s="153">
        <f t="shared" si="18"/>
        <v>2.9861111106583849E-2</v>
      </c>
      <c r="J110" s="103">
        <f t="shared" si="19"/>
        <v>42.999999993480742</v>
      </c>
      <c r="K110" s="153">
        <f t="shared" si="20"/>
        <v>2.9861111106583849E-2</v>
      </c>
      <c r="L110" s="103">
        <f t="shared" si="21"/>
        <v>42.999999993480742</v>
      </c>
      <c r="M110" s="139" t="s">
        <v>2869</v>
      </c>
      <c r="N110" s="9" t="s">
        <v>3228</v>
      </c>
      <c r="O110" s="9" t="s">
        <v>209</v>
      </c>
      <c r="P110" s="37" t="s">
        <v>2871</v>
      </c>
      <c r="Q110" s="37" t="s">
        <v>678</v>
      </c>
      <c r="R110" s="37"/>
      <c r="S110" s="38" t="str">
        <f t="shared" si="22"/>
        <v>ISLA</v>
      </c>
      <c r="T110" s="37" t="str">
        <f t="shared" si="23"/>
        <v>NON</v>
      </c>
      <c r="U110" s="37" t="s">
        <v>3240</v>
      </c>
    </row>
    <row r="111" spans="1:21" x14ac:dyDescent="0.4">
      <c r="A111" s="37">
        <v>110</v>
      </c>
      <c r="B111" s="101" t="s">
        <v>3135</v>
      </c>
      <c r="C111" s="37" t="s">
        <v>14</v>
      </c>
      <c r="D111" s="37" t="s">
        <v>702</v>
      </c>
      <c r="E111" s="9" t="s">
        <v>3136</v>
      </c>
      <c r="F111" s="102">
        <v>46079.510416666664</v>
      </c>
      <c r="G111" s="102">
        <v>46079.746527777781</v>
      </c>
      <c r="H111" s="102">
        <v>46079.746527777781</v>
      </c>
      <c r="I111" s="153">
        <f t="shared" si="18"/>
        <v>0.23611111111677019</v>
      </c>
      <c r="J111" s="103">
        <f t="shared" si="19"/>
        <v>340.00000000814907</v>
      </c>
      <c r="K111" s="153">
        <f t="shared" si="20"/>
        <v>0.23611111111677019</v>
      </c>
      <c r="L111" s="103">
        <f t="shared" si="21"/>
        <v>340.00000000814907</v>
      </c>
      <c r="M111" s="139" t="s">
        <v>3229</v>
      </c>
      <c r="N111" s="9" t="s">
        <v>20</v>
      </c>
      <c r="O111" s="9" t="s">
        <v>20</v>
      </c>
      <c r="P111" s="37" t="s">
        <v>3230</v>
      </c>
      <c r="Q111" s="37" t="s">
        <v>678</v>
      </c>
      <c r="R111" s="37"/>
      <c r="S111" s="38" t="str">
        <f t="shared" si="22"/>
        <v>ISLA</v>
      </c>
      <c r="T111" s="37" t="str">
        <f t="shared" si="23"/>
        <v>NON</v>
      </c>
      <c r="U111" s="37" t="s">
        <v>3240</v>
      </c>
    </row>
    <row r="112" spans="1:21" ht="20.6" x14ac:dyDescent="0.4">
      <c r="A112" s="37">
        <v>111</v>
      </c>
      <c r="B112" s="101" t="s">
        <v>3137</v>
      </c>
      <c r="C112" s="37" t="s">
        <v>14</v>
      </c>
      <c r="D112" s="37" t="s">
        <v>702</v>
      </c>
      <c r="E112" s="9" t="s">
        <v>3138</v>
      </c>
      <c r="F112" s="102">
        <v>46079.663194444445</v>
      </c>
      <c r="G112" s="102">
        <v>46079.746527777781</v>
      </c>
      <c r="H112" s="102">
        <v>46079.746527777781</v>
      </c>
      <c r="I112" s="153">
        <f t="shared" si="18"/>
        <v>8.3333333335758653E-2</v>
      </c>
      <c r="J112" s="103">
        <f t="shared" si="19"/>
        <v>120.00000000349246</v>
      </c>
      <c r="K112" s="153">
        <f t="shared" si="20"/>
        <v>8.3333333335758653E-2</v>
      </c>
      <c r="L112" s="103">
        <f t="shared" si="21"/>
        <v>120.00000000349246</v>
      </c>
      <c r="M112" s="139" t="s">
        <v>3231</v>
      </c>
      <c r="N112" s="9" t="s">
        <v>20</v>
      </c>
      <c r="O112" s="9" t="s">
        <v>20</v>
      </c>
      <c r="P112" s="37" t="s">
        <v>2628</v>
      </c>
      <c r="Q112" s="37" t="s">
        <v>678</v>
      </c>
      <c r="R112" s="37"/>
      <c r="S112" s="38" t="str">
        <f t="shared" si="22"/>
        <v>ISLA</v>
      </c>
      <c r="T112" s="37" t="str">
        <f t="shared" si="23"/>
        <v>NON</v>
      </c>
      <c r="U112" s="37" t="s">
        <v>3240</v>
      </c>
    </row>
    <row r="113" spans="1:21" ht="20.6" x14ac:dyDescent="0.4">
      <c r="A113" s="37">
        <v>112</v>
      </c>
      <c r="B113" s="101" t="s">
        <v>3139</v>
      </c>
      <c r="C113" s="37" t="s">
        <v>14</v>
      </c>
      <c r="D113" s="37" t="s">
        <v>702</v>
      </c>
      <c r="E113" s="9" t="s">
        <v>3140</v>
      </c>
      <c r="F113" s="102">
        <v>46079.711805555555</v>
      </c>
      <c r="G113" s="102">
        <v>46079.743055555555</v>
      </c>
      <c r="H113" s="102">
        <v>46079.743055555555</v>
      </c>
      <c r="I113" s="153">
        <f t="shared" si="18"/>
        <v>3.125E-2</v>
      </c>
      <c r="J113" s="103">
        <f t="shared" si="19"/>
        <v>45</v>
      </c>
      <c r="K113" s="153">
        <f t="shared" si="20"/>
        <v>3.125E-2</v>
      </c>
      <c r="L113" s="103">
        <f t="shared" si="21"/>
        <v>45</v>
      </c>
      <c r="M113" s="139" t="s">
        <v>3232</v>
      </c>
      <c r="N113" s="9" t="s">
        <v>20</v>
      </c>
      <c r="O113" s="9" t="s">
        <v>20</v>
      </c>
      <c r="P113" s="37" t="s">
        <v>707</v>
      </c>
      <c r="Q113" s="37" t="s">
        <v>678</v>
      </c>
      <c r="R113" s="37"/>
      <c r="S113" s="38" t="str">
        <f t="shared" si="22"/>
        <v>ISLA</v>
      </c>
      <c r="T113" s="37" t="str">
        <f t="shared" si="23"/>
        <v>NON</v>
      </c>
      <c r="U113" s="37" t="s">
        <v>3240</v>
      </c>
    </row>
    <row r="114" spans="1:21" x14ac:dyDescent="0.4">
      <c r="A114" s="37">
        <v>113</v>
      </c>
      <c r="B114" s="101" t="s">
        <v>3141</v>
      </c>
      <c r="C114" s="37" t="s">
        <v>2</v>
      </c>
      <c r="D114" s="37" t="s">
        <v>702</v>
      </c>
      <c r="E114" s="9" t="s">
        <v>2717</v>
      </c>
      <c r="F114" s="102">
        <v>46080.392361111109</v>
      </c>
      <c r="G114" s="102">
        <v>46080.40625</v>
      </c>
      <c r="H114" s="102">
        <v>46080.40625</v>
      </c>
      <c r="I114" s="153">
        <f t="shared" si="18"/>
        <v>1.3888888890505768E-2</v>
      </c>
      <c r="J114" s="103">
        <f t="shared" si="19"/>
        <v>20.000000002328306</v>
      </c>
      <c r="K114" s="153">
        <f t="shared" si="20"/>
        <v>1.3888888890505768E-2</v>
      </c>
      <c r="L114" s="103">
        <f t="shared" si="21"/>
        <v>20.000000002328306</v>
      </c>
      <c r="M114" s="139" t="s">
        <v>2718</v>
      </c>
      <c r="N114" s="9" t="s">
        <v>3233</v>
      </c>
      <c r="O114" s="9" t="s">
        <v>105</v>
      </c>
      <c r="P114" s="37" t="s">
        <v>3169</v>
      </c>
      <c r="Q114" s="37" t="s">
        <v>678</v>
      </c>
      <c r="R114" s="37"/>
      <c r="S114" s="38" t="str">
        <f t="shared" si="22"/>
        <v>ISLA</v>
      </c>
      <c r="T114" s="37" t="str">
        <f t="shared" si="23"/>
        <v>NON</v>
      </c>
      <c r="U114" s="37" t="s">
        <v>2735</v>
      </c>
    </row>
    <row r="115" spans="1:21" ht="20.6" x14ac:dyDescent="0.4">
      <c r="A115" s="37">
        <v>114</v>
      </c>
      <c r="B115" s="101" t="s">
        <v>2706</v>
      </c>
      <c r="C115" s="37" t="s">
        <v>2</v>
      </c>
      <c r="D115" s="37" t="s">
        <v>702</v>
      </c>
      <c r="E115" s="9" t="s">
        <v>3002</v>
      </c>
      <c r="F115" s="102">
        <v>46080.447916666664</v>
      </c>
      <c r="G115" s="102">
        <v>46080.565972222219</v>
      </c>
      <c r="H115" s="102">
        <v>46080.565972222219</v>
      </c>
      <c r="I115" s="153">
        <f t="shared" si="18"/>
        <v>0.11805555555474712</v>
      </c>
      <c r="J115" s="103">
        <f t="shared" si="19"/>
        <v>169.99999999883585</v>
      </c>
      <c r="K115" s="153">
        <f t="shared" si="20"/>
        <v>0.11805555555474712</v>
      </c>
      <c r="L115" s="103">
        <f t="shared" si="21"/>
        <v>169.99999999883585</v>
      </c>
      <c r="M115" s="139" t="s">
        <v>2708</v>
      </c>
      <c r="N115" s="9" t="s">
        <v>20</v>
      </c>
      <c r="O115" s="9" t="s">
        <v>20</v>
      </c>
      <c r="P115" s="37" t="s">
        <v>2628</v>
      </c>
      <c r="Q115" s="37" t="s">
        <v>678</v>
      </c>
      <c r="R115" s="37" t="s">
        <v>3239</v>
      </c>
      <c r="S115" s="38" t="str">
        <f t="shared" si="22"/>
        <v>ISLA</v>
      </c>
      <c r="T115" s="37" t="str">
        <f t="shared" si="23"/>
        <v>NON</v>
      </c>
      <c r="U115" s="37" t="s">
        <v>2675</v>
      </c>
    </row>
    <row r="116" spans="1:21" ht="20.6" x14ac:dyDescent="0.4">
      <c r="A116" s="37">
        <v>115</v>
      </c>
      <c r="B116" s="101" t="s">
        <v>3142</v>
      </c>
      <c r="C116" s="37" t="s">
        <v>2</v>
      </c>
      <c r="D116" s="37" t="s">
        <v>702</v>
      </c>
      <c r="E116" s="9" t="s">
        <v>3043</v>
      </c>
      <c r="F116" s="102">
        <v>46080.565972222219</v>
      </c>
      <c r="G116" s="102">
        <v>46081.40625</v>
      </c>
      <c r="H116" s="102">
        <v>46081.40625</v>
      </c>
      <c r="I116" s="153">
        <f t="shared" si="18"/>
        <v>0.84027777778101154</v>
      </c>
      <c r="J116" s="103">
        <f t="shared" si="19"/>
        <v>1210.0000000046566</v>
      </c>
      <c r="K116" s="153">
        <f t="shared" si="20"/>
        <v>0.84027777778101154</v>
      </c>
      <c r="L116" s="103">
        <f t="shared" si="21"/>
        <v>1210.0000000046566</v>
      </c>
      <c r="M116" s="139" t="s">
        <v>3234</v>
      </c>
      <c r="N116" s="9" t="s">
        <v>20</v>
      </c>
      <c r="O116" s="9" t="s">
        <v>20</v>
      </c>
      <c r="P116" s="37" t="s">
        <v>2628</v>
      </c>
      <c r="Q116" s="37" t="s">
        <v>678</v>
      </c>
      <c r="R116" s="37"/>
      <c r="S116" s="38" t="str">
        <f t="shared" si="22"/>
        <v>OSLA</v>
      </c>
      <c r="T116" s="37" t="str">
        <f t="shared" si="23"/>
        <v>NON</v>
      </c>
      <c r="U116" s="37" t="s">
        <v>2675</v>
      </c>
    </row>
    <row r="117" spans="1:21" ht="20.6" x14ac:dyDescent="0.4">
      <c r="A117" s="37">
        <v>116</v>
      </c>
      <c r="B117" s="101" t="s">
        <v>3143</v>
      </c>
      <c r="C117" s="37" t="s">
        <v>2</v>
      </c>
      <c r="D117" s="37" t="s">
        <v>702</v>
      </c>
      <c r="E117" s="9" t="s">
        <v>2760</v>
      </c>
      <c r="F117" s="102">
        <v>46080.663194444445</v>
      </c>
      <c r="G117" s="102">
        <v>46081.420138888891</v>
      </c>
      <c r="H117" s="102">
        <v>46081.420138888891</v>
      </c>
      <c r="I117" s="153">
        <f t="shared" si="18"/>
        <v>0.75694444444525288</v>
      </c>
      <c r="J117" s="103">
        <f t="shared" si="19"/>
        <v>1090.0000000011642</v>
      </c>
      <c r="K117" s="153">
        <f t="shared" si="20"/>
        <v>0.75694444444525288</v>
      </c>
      <c r="L117" s="103">
        <f t="shared" si="21"/>
        <v>1090.0000000011642</v>
      </c>
      <c r="M117" s="139" t="s">
        <v>3235</v>
      </c>
      <c r="N117" s="9" t="s">
        <v>20</v>
      </c>
      <c r="O117" s="9" t="s">
        <v>20</v>
      </c>
      <c r="P117" s="37" t="s">
        <v>2628</v>
      </c>
      <c r="Q117" s="37" t="s">
        <v>678</v>
      </c>
      <c r="R117" s="37"/>
      <c r="S117" s="38" t="str">
        <f t="shared" si="22"/>
        <v>OSLA</v>
      </c>
      <c r="T117" s="37" t="str">
        <f t="shared" si="23"/>
        <v>NON</v>
      </c>
      <c r="U117" s="37" t="s">
        <v>2675</v>
      </c>
    </row>
    <row r="118" spans="1:21" x14ac:dyDescent="0.4">
      <c r="A118" s="37">
        <v>117</v>
      </c>
      <c r="B118" s="101" t="s">
        <v>3144</v>
      </c>
      <c r="C118" s="37" t="s">
        <v>2</v>
      </c>
      <c r="D118" s="37" t="s">
        <v>702</v>
      </c>
      <c r="E118" s="9" t="s">
        <v>3145</v>
      </c>
      <c r="F118" s="102">
        <v>46080.663194444445</v>
      </c>
      <c r="G118" s="102">
        <v>46080.770833333336</v>
      </c>
      <c r="H118" s="102">
        <v>46080.770833333336</v>
      </c>
      <c r="I118" s="153">
        <f t="shared" si="18"/>
        <v>0.10763888889050577</v>
      </c>
      <c r="J118" s="103">
        <f t="shared" si="19"/>
        <v>155.00000000232831</v>
      </c>
      <c r="K118" s="153">
        <f t="shared" si="20"/>
        <v>0.10763888889050577</v>
      </c>
      <c r="L118" s="103">
        <f t="shared" si="21"/>
        <v>155.00000000232831</v>
      </c>
      <c r="M118" s="139" t="s">
        <v>3236</v>
      </c>
      <c r="N118" s="9" t="s">
        <v>20</v>
      </c>
      <c r="O118" s="9" t="s">
        <v>20</v>
      </c>
      <c r="P118" s="37" t="s">
        <v>2628</v>
      </c>
      <c r="Q118" s="37" t="s">
        <v>678</v>
      </c>
      <c r="R118" s="37"/>
      <c r="S118" s="38" t="str">
        <f t="shared" si="22"/>
        <v>ISLA</v>
      </c>
      <c r="T118" s="37" t="str">
        <f t="shared" si="23"/>
        <v>NON</v>
      </c>
      <c r="U118" s="37" t="s">
        <v>2675</v>
      </c>
    </row>
    <row r="119" spans="1:21" x14ac:dyDescent="0.4">
      <c r="A119" s="37">
        <v>118</v>
      </c>
      <c r="B119" s="101" t="s">
        <v>3146</v>
      </c>
      <c r="C119" s="37" t="s">
        <v>2</v>
      </c>
      <c r="D119" s="37" t="s">
        <v>702</v>
      </c>
      <c r="E119" s="9" t="s">
        <v>40</v>
      </c>
      <c r="F119" s="102">
        <v>46081.309027777781</v>
      </c>
      <c r="G119" s="102">
        <v>46081.322916666664</v>
      </c>
      <c r="H119" s="102">
        <v>46081.322916666664</v>
      </c>
      <c r="I119" s="153">
        <f t="shared" si="18"/>
        <v>1.3888888883229811E-2</v>
      </c>
      <c r="J119" s="103">
        <f t="shared" si="19"/>
        <v>19.999999991850927</v>
      </c>
      <c r="K119" s="153">
        <f t="shared" si="20"/>
        <v>1.3888888883229811E-2</v>
      </c>
      <c r="L119" s="103">
        <f t="shared" si="21"/>
        <v>19.999999991850927</v>
      </c>
      <c r="M119" s="139" t="s">
        <v>3237</v>
      </c>
      <c r="N119" s="9" t="s">
        <v>20</v>
      </c>
      <c r="O119" s="9" t="s">
        <v>20</v>
      </c>
      <c r="P119" s="37" t="s">
        <v>701</v>
      </c>
      <c r="Q119" s="37" t="s">
        <v>678</v>
      </c>
      <c r="R119" s="37"/>
      <c r="S119" s="38" t="str">
        <f t="shared" si="22"/>
        <v>ISLA</v>
      </c>
      <c r="T119" s="37" t="str">
        <f t="shared" si="23"/>
        <v>NON</v>
      </c>
      <c r="U119" s="37" t="s">
        <v>2675</v>
      </c>
    </row>
    <row r="120" spans="1:21" x14ac:dyDescent="0.4">
      <c r="A120" s="37">
        <v>119</v>
      </c>
      <c r="B120" s="101" t="s">
        <v>3147</v>
      </c>
      <c r="C120" s="37" t="s">
        <v>2</v>
      </c>
      <c r="D120" s="37" t="s">
        <v>702</v>
      </c>
      <c r="E120" s="9" t="s">
        <v>3148</v>
      </c>
      <c r="F120" s="102">
        <v>46081.451388888891</v>
      </c>
      <c r="G120" s="102">
        <v>46081.506944444445</v>
      </c>
      <c r="H120" s="102">
        <v>46081.506944444445</v>
      </c>
      <c r="I120" s="153">
        <f t="shared" si="18"/>
        <v>5.5555555554747116E-2</v>
      </c>
      <c r="J120" s="103">
        <f t="shared" si="19"/>
        <v>79.999999998835847</v>
      </c>
      <c r="K120" s="153">
        <f t="shared" si="20"/>
        <v>5.5555555554747116E-2</v>
      </c>
      <c r="L120" s="103">
        <f t="shared" si="21"/>
        <v>79.999999998835847</v>
      </c>
      <c r="M120" s="139" t="s">
        <v>3234</v>
      </c>
      <c r="N120" s="9" t="s">
        <v>3238</v>
      </c>
      <c r="O120" s="9" t="s">
        <v>20</v>
      </c>
      <c r="P120" s="37" t="s">
        <v>2628</v>
      </c>
      <c r="Q120" s="37" t="s">
        <v>678</v>
      </c>
      <c r="R120" s="37"/>
      <c r="S120" s="38" t="str">
        <f t="shared" si="22"/>
        <v>ISLA</v>
      </c>
      <c r="T120" s="37" t="str">
        <f t="shared" si="23"/>
        <v>NON</v>
      </c>
      <c r="U120" s="37" t="s">
        <v>2675</v>
      </c>
    </row>
  </sheetData>
  <conditionalFormatting sqref="F2:L120">
    <cfRule type="cellIs" dxfId="27" priority="1" operator="equal">
      <formula>"NOK"</formula>
    </cfRule>
  </conditionalFormatting>
  <conditionalFormatting sqref="P2:P6">
    <cfRule type="cellIs" dxfId="26" priority="5" operator="equal">
      <formula>"NOK"</formula>
    </cfRule>
  </conditionalFormatting>
  <conditionalFormatting sqref="P28">
    <cfRule type="cellIs" dxfId="25" priority="22" operator="equal">
      <formula>"NOK"</formula>
    </cfRule>
  </conditionalFormatting>
  <conditionalFormatting sqref="P43">
    <cfRule type="cellIs" dxfId="24" priority="4" operator="equal">
      <formula>"NOK"</formula>
    </cfRule>
  </conditionalFormatting>
  <conditionalFormatting sqref="P62">
    <cfRule type="cellIs" dxfId="23" priority="8" operator="equal">
      <formula>"NOK"</formula>
    </cfRule>
  </conditionalFormatting>
  <conditionalFormatting sqref="P74">
    <cfRule type="cellIs" dxfId="22" priority="196" operator="equal">
      <formula>"NOK"</formula>
    </cfRule>
  </conditionalFormatting>
  <conditionalFormatting sqref="P76 P80 P82 P84 P86 P88 P92 P96 P98 P100 P102 P104 P106 P108 P110 P112 P114 P116 P118 P120">
    <cfRule type="cellIs" dxfId="21" priority="2" operator="equal">
      <formula>"NOK"</formula>
    </cfRule>
  </conditionalFormatting>
  <dataValidations count="1">
    <dataValidation type="list" allowBlank="1" showInputMessage="1" showErrorMessage="1" promptTitle="Priorité" prompt="La Priorité de l'Incident" sqref="C3:C4" xr:uid="{00000000-0002-0000-1C00-000000000000}">
      <formula1>prio</formula1>
    </dataValidation>
  </dataValidations>
  <pageMargins left="0.7" right="0.7" top="0.75" bottom="0.75" header="0.3" footer="0.3"/>
  <pageSetup paperSize="9" orientation="portrait" horizontalDpi="4294967295" verticalDpi="4294967295"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32"/>
  <dimension ref="A1:X135"/>
  <sheetViews>
    <sheetView workbookViewId="0">
      <selection sqref="A1:XFD1048576"/>
    </sheetView>
  </sheetViews>
  <sheetFormatPr baseColWidth="10" defaultRowHeight="14.6" x14ac:dyDescent="0.4"/>
  <cols>
    <col min="1" max="1" width="5.84375" customWidth="1"/>
    <col min="2" max="2" width="9.84375" style="120" bestFit="1" customWidth="1"/>
    <col min="3" max="3" width="6.84375" bestFit="1" customWidth="1"/>
    <col min="4" max="4" width="9.07421875" bestFit="1" customWidth="1"/>
    <col min="5" max="5" width="37.3046875" customWidth="1"/>
    <col min="6" max="6" width="13" customWidth="1"/>
    <col min="7" max="7" width="18.69140625" customWidth="1"/>
    <col min="8" max="8" width="14.53515625" customWidth="1"/>
    <col min="9" max="9" width="19.3046875" customWidth="1"/>
    <col min="10" max="12" width="10.07421875" customWidth="1"/>
    <col min="13" max="13" width="61.07421875" customWidth="1"/>
    <col min="14" max="14" width="38.84375" customWidth="1"/>
    <col min="15" max="15" width="42.84375" customWidth="1"/>
    <col min="16" max="16" width="9.4609375" style="191" bestFit="1" customWidth="1"/>
    <col min="17" max="17" width="7.07421875" style="120" bestFit="1" customWidth="1"/>
    <col min="18" max="18" width="15.3046875" bestFit="1" customWidth="1"/>
    <col min="19" max="19" width="5.07421875" bestFit="1" customWidth="1"/>
    <col min="20" max="20" width="12.69140625" bestFit="1" customWidth="1"/>
    <col min="21" max="21" width="7.4609375" bestFit="1" customWidth="1"/>
  </cols>
  <sheetData>
    <row r="1" spans="1:24" x14ac:dyDescent="0.4">
      <c r="A1" s="6" t="s">
        <v>0</v>
      </c>
      <c r="B1" s="7"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7" t="s">
        <v>684</v>
      </c>
      <c r="R1" s="7" t="s">
        <v>659</v>
      </c>
      <c r="S1" s="6" t="s">
        <v>888</v>
      </c>
      <c r="T1" s="156" t="s">
        <v>2627</v>
      </c>
      <c r="U1" s="156" t="s">
        <v>2630</v>
      </c>
      <c r="X1" s="129"/>
    </row>
    <row r="2" spans="1:24" ht="41.15" x14ac:dyDescent="0.4">
      <c r="A2" s="37">
        <v>1</v>
      </c>
      <c r="B2" s="12" t="s">
        <v>3248</v>
      </c>
      <c r="C2" s="37" t="s">
        <v>2</v>
      </c>
      <c r="D2" s="37" t="s">
        <v>702</v>
      </c>
      <c r="E2" s="9" t="s">
        <v>3249</v>
      </c>
      <c r="F2" s="102">
        <v>46081.677083333336</v>
      </c>
      <c r="G2" s="102">
        <v>46083.440972222219</v>
      </c>
      <c r="H2" s="102">
        <v>46083.440972222219</v>
      </c>
      <c r="I2" s="153">
        <f t="shared" ref="I2" si="0">G2-F2</f>
        <v>1.7638888888832298</v>
      </c>
      <c r="J2" s="103">
        <f t="shared" ref="J2:J65" si="1">I2*1440</f>
        <v>2539.9999999918509</v>
      </c>
      <c r="K2" s="153">
        <f t="shared" ref="K2" si="2">H2-F2</f>
        <v>1.7638888888832298</v>
      </c>
      <c r="L2" s="103">
        <f t="shared" ref="L2:L65" si="3">K2*1440</f>
        <v>2539.9999999918509</v>
      </c>
      <c r="M2" s="100" t="s">
        <v>3408</v>
      </c>
      <c r="N2" s="100" t="s">
        <v>3173</v>
      </c>
      <c r="O2" s="100" t="s">
        <v>3409</v>
      </c>
      <c r="P2" s="37" t="s">
        <v>2628</v>
      </c>
      <c r="Q2" s="37" t="s">
        <v>678</v>
      </c>
      <c r="R2" s="40"/>
      <c r="S2" s="38" t="str">
        <f t="shared" ref="S2" si="4">IF(AND(C2="P1",J2&lt;=240),"ISLA",IF((AND(C2="P2",J2&lt;=480)),"ISLA",IF((AND(C2="P3",J2&lt;=2880)),"ISLA","OSLA")))</f>
        <v>OSLA</v>
      </c>
      <c r="T2" s="37" t="str">
        <f t="shared" ref="T2" si="5">IF((AND(MID(P2,1,2)="IT",S2="OSLA")),"OUI","NON")</f>
        <v>NON</v>
      </c>
      <c r="U2" s="12" t="s">
        <v>2675</v>
      </c>
    </row>
    <row r="3" spans="1:24" x14ac:dyDescent="0.4">
      <c r="A3" s="37">
        <v>2</v>
      </c>
      <c r="B3" s="12" t="s">
        <v>3250</v>
      </c>
      <c r="C3" s="37" t="s">
        <v>2</v>
      </c>
      <c r="D3" s="37" t="s">
        <v>702</v>
      </c>
      <c r="E3" s="12" t="s">
        <v>3251</v>
      </c>
      <c r="F3" s="102">
        <v>46081.78125</v>
      </c>
      <c r="G3" s="102">
        <v>46082.072916666664</v>
      </c>
      <c r="H3" s="102">
        <v>46083.072916608799</v>
      </c>
      <c r="I3" s="153">
        <f t="shared" ref="I3:I66" si="6">G3-F3</f>
        <v>0.29166666666424135</v>
      </c>
      <c r="J3" s="103">
        <f t="shared" si="1"/>
        <v>419.99999999650754</v>
      </c>
      <c r="K3" s="153">
        <f t="shared" ref="K3:K66" si="7">H3-F3</f>
        <v>1.2916666087985504</v>
      </c>
      <c r="L3" s="103">
        <f t="shared" si="3"/>
        <v>1859.9999166699126</v>
      </c>
      <c r="M3" s="100" t="s">
        <v>3410</v>
      </c>
      <c r="N3" s="100" t="s">
        <v>3411</v>
      </c>
      <c r="O3" s="100" t="s">
        <v>3412</v>
      </c>
      <c r="P3" s="37" t="s">
        <v>2628</v>
      </c>
      <c r="Q3" s="37" t="s">
        <v>678</v>
      </c>
      <c r="R3" s="40"/>
      <c r="S3" s="38" t="str">
        <f t="shared" ref="S3:S66" si="8">IF(AND(C3="P1",J3&lt;=240),"ISLA",IF((AND(C3="P2",J3&lt;=480)),"ISLA",IF((AND(C3="P3",J3&lt;=2880)),"ISLA","OSLA")))</f>
        <v>OSLA</v>
      </c>
      <c r="T3" s="37" t="str">
        <f t="shared" ref="T3:T66" si="9">IF((AND(MID(P3,1,2)="IT",S3="OSLA")),"OUI","NON")</f>
        <v>NON</v>
      </c>
      <c r="U3" s="12" t="s">
        <v>2675</v>
      </c>
    </row>
    <row r="4" spans="1:24" ht="20.6" x14ac:dyDescent="0.4">
      <c r="A4" s="37">
        <v>3</v>
      </c>
      <c r="B4" s="12" t="s">
        <v>2706</v>
      </c>
      <c r="C4" s="37" t="s">
        <v>2</v>
      </c>
      <c r="D4" s="37" t="s">
        <v>702</v>
      </c>
      <c r="E4" s="9" t="s">
        <v>3252</v>
      </c>
      <c r="F4" s="102">
        <v>46082.041666666664</v>
      </c>
      <c r="G4" s="102">
        <v>46082.225694444445</v>
      </c>
      <c r="H4" s="102">
        <v>46082.225694444445</v>
      </c>
      <c r="I4" s="153">
        <f t="shared" si="6"/>
        <v>0.18402777778101154</v>
      </c>
      <c r="J4" s="103">
        <f t="shared" si="1"/>
        <v>265.00000000465661</v>
      </c>
      <c r="K4" s="153">
        <f t="shared" si="7"/>
        <v>0.18402777778101154</v>
      </c>
      <c r="L4" s="103">
        <f t="shared" si="3"/>
        <v>265.00000000465661</v>
      </c>
      <c r="M4" s="100" t="s">
        <v>3413</v>
      </c>
      <c r="N4" s="100" t="s">
        <v>20</v>
      </c>
      <c r="O4" s="100" t="s">
        <v>20</v>
      </c>
      <c r="P4" s="37" t="s">
        <v>2628</v>
      </c>
      <c r="Q4" s="37" t="s">
        <v>678</v>
      </c>
      <c r="R4" s="40"/>
      <c r="S4" s="38" t="str">
        <f t="shared" si="8"/>
        <v>OSLA</v>
      </c>
      <c r="T4" s="37" t="str">
        <f t="shared" si="9"/>
        <v>NON</v>
      </c>
      <c r="U4" s="12" t="s">
        <v>2675</v>
      </c>
    </row>
    <row r="5" spans="1:24" x14ac:dyDescent="0.4">
      <c r="A5" s="37">
        <v>4</v>
      </c>
      <c r="B5" s="12" t="s">
        <v>3253</v>
      </c>
      <c r="C5" s="37" t="s">
        <v>2</v>
      </c>
      <c r="D5" s="37" t="s">
        <v>702</v>
      </c>
      <c r="E5" s="9" t="s">
        <v>937</v>
      </c>
      <c r="F5" s="102">
        <v>46082.680555555555</v>
      </c>
      <c r="G5" s="102">
        <v>46082.930555555555</v>
      </c>
      <c r="H5" s="102">
        <v>46082.930555555555</v>
      </c>
      <c r="I5" s="153">
        <f t="shared" si="6"/>
        <v>0.25</v>
      </c>
      <c r="J5" s="103">
        <f t="shared" si="1"/>
        <v>360</v>
      </c>
      <c r="K5" s="153">
        <f t="shared" si="7"/>
        <v>0.25</v>
      </c>
      <c r="L5" s="103">
        <f t="shared" si="3"/>
        <v>360</v>
      </c>
      <c r="M5" s="100" t="s">
        <v>3414</v>
      </c>
      <c r="N5" s="100" t="s">
        <v>3166</v>
      </c>
      <c r="O5" s="100" t="s">
        <v>3415</v>
      </c>
      <c r="P5" s="37" t="s">
        <v>3535</v>
      </c>
      <c r="Q5" s="37" t="s">
        <v>678</v>
      </c>
      <c r="R5" s="144"/>
      <c r="S5" s="38" t="str">
        <f t="shared" si="8"/>
        <v>OSLA</v>
      </c>
      <c r="T5" s="37" t="str">
        <f t="shared" si="9"/>
        <v>OUI</v>
      </c>
      <c r="U5" s="12" t="s">
        <v>2680</v>
      </c>
    </row>
    <row r="6" spans="1:24" x14ac:dyDescent="0.4">
      <c r="A6" s="37">
        <v>5</v>
      </c>
      <c r="B6" s="12" t="s">
        <v>3254</v>
      </c>
      <c r="C6" s="37" t="s">
        <v>14</v>
      </c>
      <c r="D6" s="37" t="s">
        <v>702</v>
      </c>
      <c r="E6" s="9" t="s">
        <v>3534</v>
      </c>
      <c r="F6" s="102">
        <v>46083.430555555555</v>
      </c>
      <c r="G6" s="102">
        <v>46084.979166666664</v>
      </c>
      <c r="H6" s="102">
        <v>46084.979166666664</v>
      </c>
      <c r="I6" s="153">
        <f t="shared" si="6"/>
        <v>1.5486111111094942</v>
      </c>
      <c r="J6" s="103">
        <f t="shared" si="1"/>
        <v>2229.9999999976717</v>
      </c>
      <c r="K6" s="153">
        <f t="shared" si="7"/>
        <v>1.5486111111094942</v>
      </c>
      <c r="L6" s="103">
        <f t="shared" si="3"/>
        <v>2229.9999999976717</v>
      </c>
      <c r="M6" s="100" t="s">
        <v>3416</v>
      </c>
      <c r="N6" s="100" t="s">
        <v>3417</v>
      </c>
      <c r="O6" s="100" t="s">
        <v>3418</v>
      </c>
      <c r="P6" s="37" t="s">
        <v>2628</v>
      </c>
      <c r="Q6" s="37" t="s">
        <v>678</v>
      </c>
      <c r="R6" s="40"/>
      <c r="S6" s="38" t="str">
        <f t="shared" si="8"/>
        <v>OSLA</v>
      </c>
      <c r="T6" s="37" t="str">
        <f t="shared" si="9"/>
        <v>NON</v>
      </c>
      <c r="U6" s="12" t="s">
        <v>2675</v>
      </c>
    </row>
    <row r="7" spans="1:24" x14ac:dyDescent="0.4">
      <c r="A7" s="37">
        <v>6</v>
      </c>
      <c r="B7" s="12" t="s">
        <v>3255</v>
      </c>
      <c r="C7" s="37" t="s">
        <v>2</v>
      </c>
      <c r="D7" s="37" t="s">
        <v>702</v>
      </c>
      <c r="E7" s="9" t="s">
        <v>2717</v>
      </c>
      <c r="F7" s="102">
        <v>46083.518750000003</v>
      </c>
      <c r="G7" s="102">
        <v>46083.677083333336</v>
      </c>
      <c r="H7" s="102">
        <v>46083.677083333336</v>
      </c>
      <c r="I7" s="153">
        <f t="shared" si="6"/>
        <v>0.15833333333284827</v>
      </c>
      <c r="J7" s="103">
        <f t="shared" si="1"/>
        <v>227.99999999930151</v>
      </c>
      <c r="K7" s="153">
        <f t="shared" si="7"/>
        <v>0.15833333333284827</v>
      </c>
      <c r="L7" s="103">
        <f t="shared" si="3"/>
        <v>227.99999999930151</v>
      </c>
      <c r="M7" s="100" t="s">
        <v>2718</v>
      </c>
      <c r="N7" s="100" t="s">
        <v>20</v>
      </c>
      <c r="O7" s="100" t="s">
        <v>20</v>
      </c>
      <c r="P7" s="37" t="s">
        <v>2846</v>
      </c>
      <c r="Q7" s="37" t="s">
        <v>678</v>
      </c>
      <c r="R7" s="171"/>
      <c r="S7" s="38" t="str">
        <f t="shared" si="8"/>
        <v>ISLA</v>
      </c>
      <c r="T7" s="37" t="str">
        <f t="shared" si="9"/>
        <v>NON</v>
      </c>
      <c r="U7" s="12" t="s">
        <v>2680</v>
      </c>
    </row>
    <row r="8" spans="1:24" x14ac:dyDescent="0.4">
      <c r="A8" s="37">
        <v>7</v>
      </c>
      <c r="B8" s="12" t="s">
        <v>3256</v>
      </c>
      <c r="C8" s="37" t="s">
        <v>2</v>
      </c>
      <c r="D8" s="37" t="s">
        <v>702</v>
      </c>
      <c r="E8" s="12" t="s">
        <v>2894</v>
      </c>
      <c r="F8" s="102">
        <v>46083.520833333336</v>
      </c>
      <c r="G8" s="102">
        <v>46083.947916666664</v>
      </c>
      <c r="H8" s="102">
        <v>46083.947916666664</v>
      </c>
      <c r="I8" s="153">
        <f t="shared" si="6"/>
        <v>0.42708333332848269</v>
      </c>
      <c r="J8" s="103">
        <f t="shared" si="1"/>
        <v>614.99999999301508</v>
      </c>
      <c r="K8" s="153">
        <f t="shared" si="7"/>
        <v>0.42708333332848269</v>
      </c>
      <c r="L8" s="103">
        <f t="shared" si="3"/>
        <v>614.99999999301508</v>
      </c>
      <c r="M8" s="100" t="s">
        <v>2895</v>
      </c>
      <c r="N8" s="100" t="s">
        <v>3419</v>
      </c>
      <c r="O8" s="100" t="s">
        <v>3420</v>
      </c>
      <c r="P8" s="37" t="s">
        <v>707</v>
      </c>
      <c r="Q8" s="37" t="s">
        <v>678</v>
      </c>
      <c r="R8" s="171"/>
      <c r="S8" s="38" t="str">
        <f t="shared" si="8"/>
        <v>OSLA</v>
      </c>
      <c r="T8" s="37" t="str">
        <f t="shared" si="9"/>
        <v>NON</v>
      </c>
      <c r="U8" s="12" t="s">
        <v>2675</v>
      </c>
    </row>
    <row r="9" spans="1:24" x14ac:dyDescent="0.4">
      <c r="A9" s="37">
        <v>8</v>
      </c>
      <c r="B9" s="12" t="s">
        <v>3257</v>
      </c>
      <c r="C9" s="37" t="s">
        <v>2</v>
      </c>
      <c r="D9" s="37" t="s">
        <v>702</v>
      </c>
      <c r="E9" s="12" t="s">
        <v>3258</v>
      </c>
      <c r="F9" s="102">
        <v>46083.541666666664</v>
      </c>
      <c r="G9" s="102">
        <v>46084.347222222219</v>
      </c>
      <c r="H9" s="102">
        <v>46084.347222222219</v>
      </c>
      <c r="I9" s="153">
        <f t="shared" si="6"/>
        <v>0.80555555555474712</v>
      </c>
      <c r="J9" s="103">
        <f t="shared" si="1"/>
        <v>1159.9999999988358</v>
      </c>
      <c r="K9" s="153">
        <f t="shared" si="7"/>
        <v>0.80555555555474712</v>
      </c>
      <c r="L9" s="103">
        <f t="shared" si="3"/>
        <v>1159.9999999988358</v>
      </c>
      <c r="M9" s="100" t="s">
        <v>3421</v>
      </c>
      <c r="N9" s="100" t="s">
        <v>20</v>
      </c>
      <c r="O9" s="100" t="s">
        <v>20</v>
      </c>
      <c r="P9" s="37" t="s">
        <v>3241</v>
      </c>
      <c r="Q9" s="37" t="s">
        <v>678</v>
      </c>
      <c r="R9" s="171"/>
      <c r="S9" s="38" t="str">
        <f t="shared" si="8"/>
        <v>OSLA</v>
      </c>
      <c r="T9" s="37" t="str">
        <f t="shared" si="9"/>
        <v>OUI</v>
      </c>
      <c r="U9" s="12" t="s">
        <v>2680</v>
      </c>
    </row>
    <row r="10" spans="1:24" x14ac:dyDescent="0.4">
      <c r="A10" s="37">
        <v>9</v>
      </c>
      <c r="B10" s="12" t="s">
        <v>3259</v>
      </c>
      <c r="C10" s="37" t="s">
        <v>2</v>
      </c>
      <c r="D10" s="37" t="s">
        <v>702</v>
      </c>
      <c r="E10" s="12" t="s">
        <v>2934</v>
      </c>
      <c r="F10" s="102">
        <v>46083.642361111109</v>
      </c>
      <c r="G10" s="102">
        <v>46084.236805555556</v>
      </c>
      <c r="H10" s="102">
        <v>46084.236805555556</v>
      </c>
      <c r="I10" s="153">
        <f t="shared" si="6"/>
        <v>0.59444444444670808</v>
      </c>
      <c r="J10" s="103">
        <f t="shared" si="1"/>
        <v>856.00000000325963</v>
      </c>
      <c r="K10" s="153">
        <f t="shared" si="7"/>
        <v>0.59444444444670808</v>
      </c>
      <c r="L10" s="103">
        <f t="shared" si="3"/>
        <v>856.00000000325963</v>
      </c>
      <c r="M10" s="100" t="s">
        <v>2935</v>
      </c>
      <c r="N10" s="100" t="s">
        <v>20</v>
      </c>
      <c r="O10" s="100" t="s">
        <v>20</v>
      </c>
      <c r="P10" s="37" t="s">
        <v>2936</v>
      </c>
      <c r="Q10" s="37" t="s">
        <v>678</v>
      </c>
      <c r="R10" s="171"/>
      <c r="S10" s="38" t="str">
        <f t="shared" si="8"/>
        <v>OSLA</v>
      </c>
      <c r="T10" s="37" t="str">
        <f t="shared" si="9"/>
        <v>OUI</v>
      </c>
      <c r="U10" s="12" t="s">
        <v>2680</v>
      </c>
    </row>
    <row r="11" spans="1:24" x14ac:dyDescent="0.4">
      <c r="A11" s="37">
        <v>10</v>
      </c>
      <c r="B11" s="12" t="s">
        <v>3260</v>
      </c>
      <c r="C11" s="37" t="s">
        <v>2</v>
      </c>
      <c r="D11" s="37" t="s">
        <v>702</v>
      </c>
      <c r="E11" s="9" t="s">
        <v>3261</v>
      </c>
      <c r="F11" s="102">
        <v>46083.868055555555</v>
      </c>
      <c r="G11" s="102">
        <v>46083.972222222219</v>
      </c>
      <c r="H11" s="102">
        <v>46083.972222222219</v>
      </c>
      <c r="I11" s="153">
        <f t="shared" si="6"/>
        <v>0.10416666666424135</v>
      </c>
      <c r="J11" s="103">
        <f t="shared" si="1"/>
        <v>149.99999999650754</v>
      </c>
      <c r="K11" s="153">
        <f t="shared" si="7"/>
        <v>0.10416666666424135</v>
      </c>
      <c r="L11" s="103">
        <f t="shared" si="3"/>
        <v>149.99999999650754</v>
      </c>
      <c r="M11" s="100" t="s">
        <v>3422</v>
      </c>
      <c r="N11" s="100" t="s">
        <v>20</v>
      </c>
      <c r="O11" s="100" t="s">
        <v>20</v>
      </c>
      <c r="P11" s="37" t="s">
        <v>3208</v>
      </c>
      <c r="Q11" s="37" t="s">
        <v>678</v>
      </c>
      <c r="R11" s="171"/>
      <c r="S11" s="38" t="str">
        <f t="shared" si="8"/>
        <v>ISLA</v>
      </c>
      <c r="T11" s="37" t="str">
        <f t="shared" si="9"/>
        <v>NON</v>
      </c>
      <c r="U11" s="12" t="s">
        <v>2675</v>
      </c>
    </row>
    <row r="12" spans="1:24" x14ac:dyDescent="0.4">
      <c r="A12" s="37">
        <v>11</v>
      </c>
      <c r="B12" s="12" t="s">
        <v>3262</v>
      </c>
      <c r="C12" s="37" t="s">
        <v>2</v>
      </c>
      <c r="D12" s="37" t="s">
        <v>702</v>
      </c>
      <c r="E12" s="9" t="s">
        <v>2831</v>
      </c>
      <c r="F12" s="102">
        <v>46084.003472222219</v>
      </c>
      <c r="G12" s="102">
        <v>46084.394444444442</v>
      </c>
      <c r="H12" s="102">
        <v>46084.394444444442</v>
      </c>
      <c r="I12" s="153">
        <f t="shared" si="6"/>
        <v>0.39097222222335404</v>
      </c>
      <c r="J12" s="103">
        <f t="shared" si="1"/>
        <v>563.00000000162981</v>
      </c>
      <c r="K12" s="153">
        <f t="shared" si="7"/>
        <v>0.39097222222335404</v>
      </c>
      <c r="L12" s="103">
        <f t="shared" si="3"/>
        <v>563.00000000162981</v>
      </c>
      <c r="M12" s="100" t="s">
        <v>2832</v>
      </c>
      <c r="N12" s="100" t="s">
        <v>20</v>
      </c>
      <c r="O12" s="100" t="s">
        <v>20</v>
      </c>
      <c r="P12" s="83" t="s">
        <v>2834</v>
      </c>
      <c r="Q12" s="37" t="s">
        <v>678</v>
      </c>
      <c r="R12" s="171"/>
      <c r="S12" s="38" t="str">
        <f t="shared" si="8"/>
        <v>OSLA</v>
      </c>
      <c r="T12" s="37" t="str">
        <f t="shared" si="9"/>
        <v>OUI</v>
      </c>
      <c r="U12" s="12" t="s">
        <v>2680</v>
      </c>
    </row>
    <row r="13" spans="1:24" x14ac:dyDescent="0.4">
      <c r="A13" s="37">
        <v>12</v>
      </c>
      <c r="B13" s="37" t="s">
        <v>3263</v>
      </c>
      <c r="C13" s="37" t="s">
        <v>14</v>
      </c>
      <c r="D13" s="37" t="s">
        <v>702</v>
      </c>
      <c r="E13" s="12" t="s">
        <v>3021</v>
      </c>
      <c r="F13" s="102">
        <v>46084.006944444445</v>
      </c>
      <c r="G13" s="102">
        <v>46084.215277777781</v>
      </c>
      <c r="H13" s="102">
        <v>46084.215277777781</v>
      </c>
      <c r="I13" s="153">
        <f t="shared" si="6"/>
        <v>0.20833333333575865</v>
      </c>
      <c r="J13" s="103">
        <f t="shared" si="1"/>
        <v>300.00000000349246</v>
      </c>
      <c r="K13" s="153">
        <f t="shared" si="7"/>
        <v>0.20833333333575865</v>
      </c>
      <c r="L13" s="103">
        <f t="shared" si="3"/>
        <v>300.00000000349246</v>
      </c>
      <c r="M13" s="100" t="s">
        <v>3423</v>
      </c>
      <c r="N13" s="100" t="s">
        <v>20</v>
      </c>
      <c r="O13" s="100" t="s">
        <v>20</v>
      </c>
      <c r="P13" s="37" t="s">
        <v>2628</v>
      </c>
      <c r="Q13" s="37" t="s">
        <v>678</v>
      </c>
      <c r="R13" s="171"/>
      <c r="S13" s="38" t="str">
        <f t="shared" si="8"/>
        <v>ISLA</v>
      </c>
      <c r="T13" s="37" t="str">
        <f t="shared" si="9"/>
        <v>NON</v>
      </c>
      <c r="U13" s="12" t="s">
        <v>2675</v>
      </c>
    </row>
    <row r="14" spans="1:24" x14ac:dyDescent="0.4">
      <c r="A14" s="37">
        <v>13</v>
      </c>
      <c r="B14" s="12" t="s">
        <v>3264</v>
      </c>
      <c r="C14" s="37" t="s">
        <v>2</v>
      </c>
      <c r="D14" s="37" t="s">
        <v>702</v>
      </c>
      <c r="E14" s="9" t="s">
        <v>937</v>
      </c>
      <c r="F14" s="102">
        <v>46084.31527777778</v>
      </c>
      <c r="G14" s="102">
        <v>46084.620833333334</v>
      </c>
      <c r="H14" s="102">
        <v>46084.620833333334</v>
      </c>
      <c r="I14" s="153">
        <f t="shared" si="6"/>
        <v>0.30555555555474712</v>
      </c>
      <c r="J14" s="103">
        <f t="shared" si="1"/>
        <v>439.99999999883585</v>
      </c>
      <c r="K14" s="153">
        <f t="shared" si="7"/>
        <v>0.30555555555474712</v>
      </c>
      <c r="L14" s="103">
        <f t="shared" si="3"/>
        <v>439.99999999883585</v>
      </c>
      <c r="M14" s="100" t="s">
        <v>3414</v>
      </c>
      <c r="N14" s="100" t="s">
        <v>20</v>
      </c>
      <c r="O14" s="100" t="s">
        <v>20</v>
      </c>
      <c r="P14" s="37" t="s">
        <v>3424</v>
      </c>
      <c r="Q14" s="37" t="s">
        <v>678</v>
      </c>
      <c r="R14" s="172"/>
      <c r="S14" s="38" t="str">
        <f t="shared" si="8"/>
        <v>OSLA</v>
      </c>
      <c r="T14" s="37" t="str">
        <f t="shared" si="9"/>
        <v>OUI</v>
      </c>
      <c r="U14" s="12" t="s">
        <v>2680</v>
      </c>
    </row>
    <row r="15" spans="1:24" x14ac:dyDescent="0.4">
      <c r="A15" s="37">
        <v>14</v>
      </c>
      <c r="B15" s="12" t="s">
        <v>3265</v>
      </c>
      <c r="C15" s="37" t="s">
        <v>2</v>
      </c>
      <c r="D15" s="37" t="s">
        <v>702</v>
      </c>
      <c r="E15" s="9" t="s">
        <v>3261</v>
      </c>
      <c r="F15" s="102">
        <v>46084.319444444445</v>
      </c>
      <c r="G15" s="102">
        <v>46084.524305555555</v>
      </c>
      <c r="H15" s="102">
        <v>46084.524305555555</v>
      </c>
      <c r="I15" s="153">
        <f t="shared" si="6"/>
        <v>0.20486111110949423</v>
      </c>
      <c r="J15" s="103">
        <f t="shared" si="1"/>
        <v>294.99999999767169</v>
      </c>
      <c r="K15" s="153">
        <f t="shared" si="7"/>
        <v>0.20486111110949423</v>
      </c>
      <c r="L15" s="103">
        <f t="shared" si="3"/>
        <v>294.99999999767169</v>
      </c>
      <c r="M15" s="100" t="s">
        <v>3422</v>
      </c>
      <c r="N15" s="100" t="s">
        <v>20</v>
      </c>
      <c r="O15" s="139" t="s">
        <v>20</v>
      </c>
      <c r="P15" s="37" t="s">
        <v>3208</v>
      </c>
      <c r="Q15" s="37" t="s">
        <v>678</v>
      </c>
      <c r="R15" s="144"/>
      <c r="S15" s="38" t="str">
        <f t="shared" si="8"/>
        <v>OSLA</v>
      </c>
      <c r="T15" s="37" t="str">
        <f t="shared" si="9"/>
        <v>OUI</v>
      </c>
      <c r="U15" s="12" t="s">
        <v>2680</v>
      </c>
    </row>
    <row r="16" spans="1:24" x14ac:dyDescent="0.4">
      <c r="A16" s="37">
        <v>15</v>
      </c>
      <c r="B16" s="12" t="s">
        <v>3266</v>
      </c>
      <c r="C16" s="37" t="s">
        <v>2</v>
      </c>
      <c r="D16" s="37" t="s">
        <v>702</v>
      </c>
      <c r="E16" s="12" t="s">
        <v>2677</v>
      </c>
      <c r="F16" s="102">
        <v>46084.324999999997</v>
      </c>
      <c r="G16" s="102">
        <v>46084.332638888889</v>
      </c>
      <c r="H16" s="102">
        <v>46084.332638888889</v>
      </c>
      <c r="I16" s="153">
        <f t="shared" si="6"/>
        <v>7.6388888919609599E-3</v>
      </c>
      <c r="J16" s="103">
        <f t="shared" si="1"/>
        <v>11.000000004423782</v>
      </c>
      <c r="K16" s="153">
        <f t="shared" si="7"/>
        <v>7.6388888919609599E-3</v>
      </c>
      <c r="L16" s="103">
        <f t="shared" si="3"/>
        <v>11.000000004423782</v>
      </c>
      <c r="M16" s="100" t="s">
        <v>2710</v>
      </c>
      <c r="N16" s="100" t="s">
        <v>20</v>
      </c>
      <c r="O16" s="100" t="s">
        <v>20</v>
      </c>
      <c r="P16" s="37" t="s">
        <v>3212</v>
      </c>
      <c r="Q16" s="37" t="s">
        <v>678</v>
      </c>
      <c r="R16" s="172"/>
      <c r="S16" s="38" t="str">
        <f t="shared" si="8"/>
        <v>ISLA</v>
      </c>
      <c r="T16" s="37" t="str">
        <f t="shared" si="9"/>
        <v>NON</v>
      </c>
      <c r="U16" s="12" t="s">
        <v>2680</v>
      </c>
    </row>
    <row r="17" spans="1:21" x14ac:dyDescent="0.4">
      <c r="A17" s="37">
        <v>16</v>
      </c>
      <c r="B17" s="12" t="s">
        <v>3267</v>
      </c>
      <c r="C17" s="37" t="s">
        <v>2</v>
      </c>
      <c r="D17" s="37" t="s">
        <v>702</v>
      </c>
      <c r="E17" s="12" t="s">
        <v>2717</v>
      </c>
      <c r="F17" s="102">
        <v>46084.335416666669</v>
      </c>
      <c r="G17" s="102">
        <v>46084.690972222219</v>
      </c>
      <c r="H17" s="102">
        <v>46084.690972222219</v>
      </c>
      <c r="I17" s="153">
        <f t="shared" si="6"/>
        <v>0.35555555555038154</v>
      </c>
      <c r="J17" s="103">
        <f t="shared" si="1"/>
        <v>511.99999999254942</v>
      </c>
      <c r="K17" s="153">
        <f t="shared" si="7"/>
        <v>0.35555555555038154</v>
      </c>
      <c r="L17" s="103">
        <f t="shared" si="3"/>
        <v>511.99999999254942</v>
      </c>
      <c r="M17" s="100" t="s">
        <v>2718</v>
      </c>
      <c r="N17" s="9" t="s">
        <v>20</v>
      </c>
      <c r="O17" s="100" t="s">
        <v>20</v>
      </c>
      <c r="P17" s="37" t="s">
        <v>2846</v>
      </c>
      <c r="Q17" s="37" t="s">
        <v>678</v>
      </c>
      <c r="R17" s="144"/>
      <c r="S17" s="38" t="str">
        <f t="shared" si="8"/>
        <v>OSLA</v>
      </c>
      <c r="T17" s="37" t="str">
        <f t="shared" si="9"/>
        <v>OUI</v>
      </c>
      <c r="U17" s="12" t="s">
        <v>2680</v>
      </c>
    </row>
    <row r="18" spans="1:21" ht="20.6" x14ac:dyDescent="0.4">
      <c r="A18" s="37">
        <v>17</v>
      </c>
      <c r="B18" s="12" t="s">
        <v>3268</v>
      </c>
      <c r="C18" s="37" t="s">
        <v>14</v>
      </c>
      <c r="D18" s="37" t="s">
        <v>702</v>
      </c>
      <c r="E18" s="12" t="s">
        <v>3269</v>
      </c>
      <c r="F18" s="102">
        <v>46084.458333333336</v>
      </c>
      <c r="G18" s="102">
        <v>46084.631944444445</v>
      </c>
      <c r="H18" s="102">
        <v>46084.631944444445</v>
      </c>
      <c r="I18" s="153">
        <f t="shared" si="6"/>
        <v>0.17361111110949423</v>
      </c>
      <c r="J18" s="103">
        <f t="shared" si="1"/>
        <v>249.99999999767169</v>
      </c>
      <c r="K18" s="153">
        <f t="shared" si="7"/>
        <v>0.17361111110949423</v>
      </c>
      <c r="L18" s="103">
        <f t="shared" si="3"/>
        <v>249.99999999767169</v>
      </c>
      <c r="M18" s="100" t="s">
        <v>3425</v>
      </c>
      <c r="N18" s="9" t="s">
        <v>3245</v>
      </c>
      <c r="O18" s="9" t="s">
        <v>2758</v>
      </c>
      <c r="P18" s="37" t="s">
        <v>2734</v>
      </c>
      <c r="Q18" s="37" t="s">
        <v>678</v>
      </c>
      <c r="R18" s="12"/>
      <c r="S18" s="38" t="str">
        <f t="shared" si="8"/>
        <v>ISLA</v>
      </c>
      <c r="T18" s="37" t="str">
        <f t="shared" si="9"/>
        <v>NON</v>
      </c>
      <c r="U18" s="12" t="s">
        <v>2675</v>
      </c>
    </row>
    <row r="19" spans="1:21" x14ac:dyDescent="0.4">
      <c r="A19" s="37">
        <v>18</v>
      </c>
      <c r="B19" s="12" t="s">
        <v>2706</v>
      </c>
      <c r="C19" s="37" t="s">
        <v>2</v>
      </c>
      <c r="D19" s="37" t="s">
        <v>702</v>
      </c>
      <c r="E19" s="12" t="s">
        <v>3252</v>
      </c>
      <c r="F19" s="102">
        <v>46084.618055555555</v>
      </c>
      <c r="G19" s="102">
        <v>46085.579861111109</v>
      </c>
      <c r="H19" s="102">
        <v>46085.579861111109</v>
      </c>
      <c r="I19" s="153">
        <f t="shared" si="6"/>
        <v>0.96180555555474712</v>
      </c>
      <c r="J19" s="103">
        <f t="shared" si="1"/>
        <v>1384.9999999988358</v>
      </c>
      <c r="K19" s="153">
        <f t="shared" si="7"/>
        <v>0.96180555555474712</v>
      </c>
      <c r="L19" s="103">
        <f t="shared" si="3"/>
        <v>1384.9999999988358</v>
      </c>
      <c r="M19" s="100" t="s">
        <v>2753</v>
      </c>
      <c r="N19" s="100" t="s">
        <v>3426</v>
      </c>
      <c r="O19" s="9" t="s">
        <v>3427</v>
      </c>
      <c r="P19" s="37" t="s">
        <v>2628</v>
      </c>
      <c r="Q19" s="37" t="s">
        <v>678</v>
      </c>
      <c r="R19" s="12"/>
      <c r="S19" s="38" t="str">
        <f t="shared" si="8"/>
        <v>OSLA</v>
      </c>
      <c r="T19" s="37" t="str">
        <f t="shared" si="9"/>
        <v>NON</v>
      </c>
      <c r="U19" s="12" t="s">
        <v>2675</v>
      </c>
    </row>
    <row r="20" spans="1:21" x14ac:dyDescent="0.4">
      <c r="A20" s="37">
        <v>19</v>
      </c>
      <c r="B20" s="12" t="s">
        <v>3270</v>
      </c>
      <c r="C20" s="37" t="s">
        <v>2</v>
      </c>
      <c r="D20" s="37" t="s">
        <v>702</v>
      </c>
      <c r="E20" s="9" t="s">
        <v>3271</v>
      </c>
      <c r="F20" s="102">
        <v>46084.631944444445</v>
      </c>
      <c r="G20" s="102">
        <v>46084.979166666664</v>
      </c>
      <c r="H20" s="102">
        <v>46084.979166666664</v>
      </c>
      <c r="I20" s="153">
        <f t="shared" si="6"/>
        <v>0.34722222221898846</v>
      </c>
      <c r="J20" s="103">
        <f t="shared" si="1"/>
        <v>499.99999999534339</v>
      </c>
      <c r="K20" s="153">
        <f t="shared" si="7"/>
        <v>0.34722222221898846</v>
      </c>
      <c r="L20" s="103">
        <f t="shared" si="3"/>
        <v>499.99999999534339</v>
      </c>
      <c r="M20" s="100" t="s">
        <v>2821</v>
      </c>
      <c r="N20" s="100" t="s">
        <v>3417</v>
      </c>
      <c r="O20" s="9" t="s">
        <v>3418</v>
      </c>
      <c r="P20" s="37" t="s">
        <v>707</v>
      </c>
      <c r="Q20" s="37" t="s">
        <v>678</v>
      </c>
      <c r="R20" s="12"/>
      <c r="S20" s="38" t="str">
        <f t="shared" si="8"/>
        <v>OSLA</v>
      </c>
      <c r="T20" s="37" t="str">
        <f t="shared" si="9"/>
        <v>NON</v>
      </c>
      <c r="U20" s="12" t="s">
        <v>2675</v>
      </c>
    </row>
    <row r="21" spans="1:21" x14ac:dyDescent="0.4">
      <c r="A21" s="37">
        <v>20</v>
      </c>
      <c r="B21" s="12" t="s">
        <v>3272</v>
      </c>
      <c r="C21" s="37" t="s">
        <v>158</v>
      </c>
      <c r="D21" s="37" t="s">
        <v>702</v>
      </c>
      <c r="E21" s="12" t="s">
        <v>3273</v>
      </c>
      <c r="F21" s="102">
        <v>46085.009027777778</v>
      </c>
      <c r="G21" s="102">
        <v>46085.625</v>
      </c>
      <c r="H21" s="102">
        <v>46085.625</v>
      </c>
      <c r="I21" s="153">
        <f t="shared" si="6"/>
        <v>0.61597222222189885</v>
      </c>
      <c r="J21" s="103">
        <f t="shared" si="1"/>
        <v>886.99999999953434</v>
      </c>
      <c r="K21" s="153">
        <f t="shared" si="7"/>
        <v>0.61597222222189885</v>
      </c>
      <c r="L21" s="103">
        <f t="shared" si="3"/>
        <v>886.99999999953434</v>
      </c>
      <c r="M21" s="100" t="s">
        <v>3428</v>
      </c>
      <c r="N21" s="9" t="s">
        <v>3537</v>
      </c>
      <c r="O21" s="9" t="s">
        <v>3538</v>
      </c>
      <c r="P21" s="37" t="s">
        <v>2628</v>
      </c>
      <c r="Q21" s="37" t="s">
        <v>678</v>
      </c>
      <c r="R21" s="12"/>
      <c r="S21" s="38" t="str">
        <f t="shared" si="8"/>
        <v>ISLA</v>
      </c>
      <c r="T21" s="37" t="str">
        <f t="shared" si="9"/>
        <v>NON</v>
      </c>
      <c r="U21" s="12" t="s">
        <v>2675</v>
      </c>
    </row>
    <row r="22" spans="1:21" x14ac:dyDescent="0.4">
      <c r="A22" s="37">
        <v>21</v>
      </c>
      <c r="B22" s="12" t="s">
        <v>3274</v>
      </c>
      <c r="C22" s="37" t="s">
        <v>2</v>
      </c>
      <c r="D22" s="37" t="s">
        <v>702</v>
      </c>
      <c r="E22" s="12" t="s">
        <v>3275</v>
      </c>
      <c r="F22" s="102">
        <v>46085.444444444445</v>
      </c>
      <c r="G22" s="102">
        <v>46086.684027777781</v>
      </c>
      <c r="H22" s="102">
        <v>46086.684027777781</v>
      </c>
      <c r="I22" s="153">
        <f t="shared" si="6"/>
        <v>1.2395833333357587</v>
      </c>
      <c r="J22" s="103">
        <f t="shared" si="1"/>
        <v>1785.0000000034925</v>
      </c>
      <c r="K22" s="153">
        <f t="shared" si="7"/>
        <v>1.2395833333357587</v>
      </c>
      <c r="L22" s="103">
        <f t="shared" si="3"/>
        <v>1785.0000000034925</v>
      </c>
      <c r="M22" s="100" t="s">
        <v>2878</v>
      </c>
      <c r="N22" s="100" t="s">
        <v>3429</v>
      </c>
      <c r="O22" s="9" t="s">
        <v>20</v>
      </c>
      <c r="P22" s="37" t="s">
        <v>3430</v>
      </c>
      <c r="Q22" s="37" t="s">
        <v>678</v>
      </c>
      <c r="R22" s="12"/>
      <c r="S22" s="38" t="str">
        <f t="shared" si="8"/>
        <v>OSLA</v>
      </c>
      <c r="T22" s="37" t="str">
        <f t="shared" si="9"/>
        <v>OUI</v>
      </c>
      <c r="U22" s="12" t="s">
        <v>2680</v>
      </c>
    </row>
    <row r="23" spans="1:21" x14ac:dyDescent="0.4">
      <c r="A23" s="37">
        <v>22</v>
      </c>
      <c r="B23" s="12" t="s">
        <v>3276</v>
      </c>
      <c r="C23" s="37" t="s">
        <v>2</v>
      </c>
      <c r="D23" s="37" t="s">
        <v>702</v>
      </c>
      <c r="E23" s="12" t="s">
        <v>2868</v>
      </c>
      <c r="F23" s="102">
        <v>46085.493055555555</v>
      </c>
      <c r="G23" s="102">
        <v>46085.607638888891</v>
      </c>
      <c r="H23" s="102">
        <v>46085.607638888891</v>
      </c>
      <c r="I23" s="153">
        <f t="shared" si="6"/>
        <v>0.11458333333575865</v>
      </c>
      <c r="J23" s="103">
        <f t="shared" si="1"/>
        <v>165.00000000349246</v>
      </c>
      <c r="K23" s="153">
        <f t="shared" si="7"/>
        <v>0.11458333333575865</v>
      </c>
      <c r="L23" s="103">
        <f t="shared" si="3"/>
        <v>165.00000000349246</v>
      </c>
      <c r="M23" s="100" t="s">
        <v>2869</v>
      </c>
      <c r="N23" s="100" t="s">
        <v>3431</v>
      </c>
      <c r="O23" s="9" t="s">
        <v>3432</v>
      </c>
      <c r="P23" s="37" t="s">
        <v>2871</v>
      </c>
      <c r="Q23" s="37" t="s">
        <v>678</v>
      </c>
      <c r="R23" s="12"/>
      <c r="S23" s="38" t="str">
        <f t="shared" si="8"/>
        <v>ISLA</v>
      </c>
      <c r="T23" s="37" t="str">
        <f t="shared" si="9"/>
        <v>NON</v>
      </c>
      <c r="U23" s="12" t="s">
        <v>2680</v>
      </c>
    </row>
    <row r="24" spans="1:21" ht="20.6" x14ac:dyDescent="0.4">
      <c r="A24" s="37">
        <v>23</v>
      </c>
      <c r="B24" s="12" t="s">
        <v>3277</v>
      </c>
      <c r="C24" s="37" t="s">
        <v>2</v>
      </c>
      <c r="D24" s="37" t="s">
        <v>702</v>
      </c>
      <c r="E24" s="12" t="s">
        <v>2918</v>
      </c>
      <c r="F24" s="102">
        <v>46085.604166666664</v>
      </c>
      <c r="G24" s="102">
        <v>46085.651388888888</v>
      </c>
      <c r="H24" s="102">
        <v>46087.651388888888</v>
      </c>
      <c r="I24" s="153">
        <f t="shared" si="6"/>
        <v>4.7222222223354038E-2</v>
      </c>
      <c r="J24" s="103">
        <f t="shared" si="1"/>
        <v>68.000000001629815</v>
      </c>
      <c r="K24" s="153">
        <f t="shared" si="7"/>
        <v>2.047222222223354</v>
      </c>
      <c r="L24" s="103">
        <f t="shared" si="3"/>
        <v>2948.0000000016298</v>
      </c>
      <c r="M24" s="100" t="s">
        <v>3187</v>
      </c>
      <c r="N24" s="9" t="s">
        <v>3433</v>
      </c>
      <c r="O24" s="9" t="s">
        <v>1654</v>
      </c>
      <c r="P24" s="37" t="s">
        <v>2920</v>
      </c>
      <c r="Q24" s="37" t="s">
        <v>678</v>
      </c>
      <c r="R24" s="12"/>
      <c r="S24" s="38" t="str">
        <f t="shared" si="8"/>
        <v>ISLA</v>
      </c>
      <c r="T24" s="37" t="str">
        <f t="shared" si="9"/>
        <v>NON</v>
      </c>
      <c r="U24" s="12" t="s">
        <v>2680</v>
      </c>
    </row>
    <row r="25" spans="1:21" x14ac:dyDescent="0.4">
      <c r="A25" s="37">
        <v>24</v>
      </c>
      <c r="B25" s="12" t="s">
        <v>3278</v>
      </c>
      <c r="C25" s="37" t="s">
        <v>14</v>
      </c>
      <c r="D25" s="37" t="s">
        <v>702</v>
      </c>
      <c r="E25" s="12" t="s">
        <v>3279</v>
      </c>
      <c r="F25" s="102">
        <v>46085.965277777781</v>
      </c>
      <c r="G25" s="102">
        <v>46085.993055555555</v>
      </c>
      <c r="H25" s="102">
        <v>46085.993055555555</v>
      </c>
      <c r="I25" s="153">
        <f t="shared" si="6"/>
        <v>2.7777777773735579E-2</v>
      </c>
      <c r="J25" s="103">
        <f t="shared" si="1"/>
        <v>39.999999994179234</v>
      </c>
      <c r="K25" s="153">
        <f t="shared" si="7"/>
        <v>2.7777777773735579E-2</v>
      </c>
      <c r="L25" s="103">
        <f t="shared" si="3"/>
        <v>39.999999994179234</v>
      </c>
      <c r="M25" s="100" t="s">
        <v>3434</v>
      </c>
      <c r="N25" s="9" t="s">
        <v>3435</v>
      </c>
      <c r="O25" s="9" t="s">
        <v>20</v>
      </c>
      <c r="P25" s="37" t="s">
        <v>704</v>
      </c>
      <c r="Q25" s="37" t="s">
        <v>678</v>
      </c>
      <c r="R25" s="12"/>
      <c r="S25" s="38" t="str">
        <f t="shared" si="8"/>
        <v>ISLA</v>
      </c>
      <c r="T25" s="37" t="str">
        <f t="shared" si="9"/>
        <v>NON</v>
      </c>
      <c r="U25" s="12" t="s">
        <v>2675</v>
      </c>
    </row>
    <row r="26" spans="1:21" x14ac:dyDescent="0.4">
      <c r="A26" s="37">
        <v>25</v>
      </c>
      <c r="B26" s="12" t="s">
        <v>3280</v>
      </c>
      <c r="C26" s="37" t="s">
        <v>158</v>
      </c>
      <c r="D26" s="37" t="s">
        <v>702</v>
      </c>
      <c r="E26" s="12" t="s">
        <v>3281</v>
      </c>
      <c r="F26" s="102">
        <v>46086.451388888891</v>
      </c>
      <c r="G26" s="102">
        <v>46105.429166666669</v>
      </c>
      <c r="H26" s="102">
        <v>46105.429166666669</v>
      </c>
      <c r="I26" s="153">
        <f t="shared" si="6"/>
        <v>18.977777777778101</v>
      </c>
      <c r="J26" s="103">
        <f t="shared" si="1"/>
        <v>27328.000000000466</v>
      </c>
      <c r="K26" s="153">
        <f t="shared" si="7"/>
        <v>18.977777777778101</v>
      </c>
      <c r="L26" s="103">
        <f t="shared" si="3"/>
        <v>27328.000000000466</v>
      </c>
      <c r="M26" s="100" t="s">
        <v>3436</v>
      </c>
      <c r="N26" s="100" t="s">
        <v>3437</v>
      </c>
      <c r="O26" s="9" t="s">
        <v>3438</v>
      </c>
      <c r="P26" s="37" t="s">
        <v>2628</v>
      </c>
      <c r="Q26" s="37" t="s">
        <v>678</v>
      </c>
      <c r="R26" s="12"/>
      <c r="S26" s="38" t="str">
        <f t="shared" si="8"/>
        <v>OSLA</v>
      </c>
      <c r="T26" s="37" t="str">
        <f t="shared" si="9"/>
        <v>NON</v>
      </c>
      <c r="U26" s="12" t="s">
        <v>2675</v>
      </c>
    </row>
    <row r="27" spans="1:21" x14ac:dyDescent="0.4">
      <c r="A27" s="37">
        <v>26</v>
      </c>
      <c r="B27" s="12" t="s">
        <v>3282</v>
      </c>
      <c r="C27" s="37" t="s">
        <v>2</v>
      </c>
      <c r="D27" s="37" t="s">
        <v>702</v>
      </c>
      <c r="E27" s="12" t="s">
        <v>2934</v>
      </c>
      <c r="F27" s="102">
        <v>46086.486805555556</v>
      </c>
      <c r="G27" s="102">
        <v>46086.583333333336</v>
      </c>
      <c r="H27" s="102">
        <v>46086.583333333336</v>
      </c>
      <c r="I27" s="153">
        <f t="shared" si="6"/>
        <v>9.6527777779556345E-2</v>
      </c>
      <c r="J27" s="103">
        <f t="shared" si="1"/>
        <v>139.00000000256114</v>
      </c>
      <c r="K27" s="153">
        <f t="shared" si="7"/>
        <v>9.6527777779556345E-2</v>
      </c>
      <c r="L27" s="103">
        <f t="shared" si="3"/>
        <v>139.00000000256114</v>
      </c>
      <c r="M27" s="100" t="s">
        <v>2935</v>
      </c>
      <c r="N27" s="9" t="s">
        <v>20</v>
      </c>
      <c r="O27" s="9" t="s">
        <v>20</v>
      </c>
      <c r="P27" s="37" t="s">
        <v>2936</v>
      </c>
      <c r="Q27" s="37" t="s">
        <v>678</v>
      </c>
      <c r="R27" s="12"/>
      <c r="S27" s="38" t="str">
        <f t="shared" si="8"/>
        <v>ISLA</v>
      </c>
      <c r="T27" s="37" t="str">
        <f t="shared" si="9"/>
        <v>NON</v>
      </c>
      <c r="U27" s="12" t="s">
        <v>2680</v>
      </c>
    </row>
    <row r="28" spans="1:21" x14ac:dyDescent="0.4">
      <c r="A28" s="37">
        <v>27</v>
      </c>
      <c r="B28" s="12" t="s">
        <v>3283</v>
      </c>
      <c r="C28" s="37" t="s">
        <v>2</v>
      </c>
      <c r="D28" s="37" t="s">
        <v>702</v>
      </c>
      <c r="E28" s="12" t="s">
        <v>3275</v>
      </c>
      <c r="F28" s="102">
        <v>46086.684027777781</v>
      </c>
      <c r="G28" s="102">
        <v>46087.459027777775</v>
      </c>
      <c r="H28" s="102">
        <v>46087.459027777775</v>
      </c>
      <c r="I28" s="153">
        <f t="shared" si="6"/>
        <v>0.77499999999417923</v>
      </c>
      <c r="J28" s="103">
        <f t="shared" si="1"/>
        <v>1115.9999999916181</v>
      </c>
      <c r="K28" s="153">
        <f t="shared" si="7"/>
        <v>0.77499999999417923</v>
      </c>
      <c r="L28" s="103">
        <f t="shared" si="3"/>
        <v>1115.9999999916181</v>
      </c>
      <c r="M28" s="100" t="s">
        <v>2878</v>
      </c>
      <c r="N28" s="9" t="s">
        <v>3439</v>
      </c>
      <c r="O28" s="9" t="s">
        <v>209</v>
      </c>
      <c r="P28" s="37" t="s">
        <v>3430</v>
      </c>
      <c r="Q28" s="37" t="s">
        <v>678</v>
      </c>
      <c r="R28" s="12"/>
      <c r="S28" s="38" t="str">
        <f t="shared" si="8"/>
        <v>OSLA</v>
      </c>
      <c r="T28" s="37" t="str">
        <f t="shared" si="9"/>
        <v>OUI</v>
      </c>
      <c r="U28" s="12" t="s">
        <v>2680</v>
      </c>
    </row>
    <row r="29" spans="1:21" x14ac:dyDescent="0.4">
      <c r="A29" s="37">
        <v>28</v>
      </c>
      <c r="B29" s="12" t="s">
        <v>3284</v>
      </c>
      <c r="C29" s="37" t="s">
        <v>2</v>
      </c>
      <c r="D29" s="37" t="s">
        <v>702</v>
      </c>
      <c r="E29" s="12" t="s">
        <v>2934</v>
      </c>
      <c r="F29" s="102">
        <v>46087.033333333333</v>
      </c>
      <c r="G29" s="102">
        <v>46087.354861111111</v>
      </c>
      <c r="H29" s="102">
        <v>46087.354861111111</v>
      </c>
      <c r="I29" s="153">
        <f t="shared" si="6"/>
        <v>0.32152777777810115</v>
      </c>
      <c r="J29" s="103">
        <f t="shared" si="1"/>
        <v>463.00000000046566</v>
      </c>
      <c r="K29" s="153">
        <f t="shared" si="7"/>
        <v>0.32152777777810115</v>
      </c>
      <c r="L29" s="103">
        <f t="shared" si="3"/>
        <v>463.00000000046566</v>
      </c>
      <c r="M29" s="100" t="s">
        <v>2935</v>
      </c>
      <c r="N29" s="9" t="s">
        <v>20</v>
      </c>
      <c r="O29" s="9" t="s">
        <v>20</v>
      </c>
      <c r="P29" s="37" t="s">
        <v>2936</v>
      </c>
      <c r="Q29" s="37" t="s">
        <v>678</v>
      </c>
      <c r="R29" s="12"/>
      <c r="S29" s="38" t="str">
        <f t="shared" si="8"/>
        <v>OSLA</v>
      </c>
      <c r="T29" s="37" t="str">
        <f t="shared" si="9"/>
        <v>OUI</v>
      </c>
      <c r="U29" s="12" t="s">
        <v>2680</v>
      </c>
    </row>
    <row r="30" spans="1:21" x14ac:dyDescent="0.4">
      <c r="A30" s="37">
        <v>29</v>
      </c>
      <c r="B30" s="12" t="s">
        <v>3285</v>
      </c>
      <c r="C30" s="37" t="s">
        <v>2</v>
      </c>
      <c r="D30" s="37" t="s">
        <v>702</v>
      </c>
      <c r="E30" s="12" t="s">
        <v>2831</v>
      </c>
      <c r="F30" s="102">
        <v>46087.45</v>
      </c>
      <c r="G30" s="102">
        <v>46087.715277777781</v>
      </c>
      <c r="H30" s="102">
        <v>46087.715277777781</v>
      </c>
      <c r="I30" s="153">
        <f t="shared" si="6"/>
        <v>0.26527777778392192</v>
      </c>
      <c r="J30" s="103">
        <f t="shared" si="1"/>
        <v>382.00000000884756</v>
      </c>
      <c r="K30" s="153">
        <f t="shared" si="7"/>
        <v>0.26527777778392192</v>
      </c>
      <c r="L30" s="103">
        <f t="shared" si="3"/>
        <v>382.00000000884756</v>
      </c>
      <c r="M30" s="100" t="s">
        <v>2832</v>
      </c>
      <c r="N30" s="9" t="s">
        <v>20</v>
      </c>
      <c r="O30" s="9" t="s">
        <v>20</v>
      </c>
      <c r="P30" s="37" t="s">
        <v>2834</v>
      </c>
      <c r="Q30" s="37" t="s">
        <v>678</v>
      </c>
      <c r="R30" s="12"/>
      <c r="S30" s="38" t="str">
        <f t="shared" si="8"/>
        <v>OSLA</v>
      </c>
      <c r="T30" s="37" t="str">
        <f t="shared" si="9"/>
        <v>OUI</v>
      </c>
      <c r="U30" s="12" t="s">
        <v>2680</v>
      </c>
    </row>
    <row r="31" spans="1:21" x14ac:dyDescent="0.4">
      <c r="A31" s="37">
        <v>30</v>
      </c>
      <c r="B31" s="12" t="s">
        <v>3286</v>
      </c>
      <c r="C31" s="37" t="s">
        <v>2</v>
      </c>
      <c r="D31" s="37" t="s">
        <v>702</v>
      </c>
      <c r="E31" s="9" t="s">
        <v>3287</v>
      </c>
      <c r="F31" s="102">
        <v>46087.460416666669</v>
      </c>
      <c r="G31" s="102">
        <v>46087.51666666667</v>
      </c>
      <c r="H31" s="102">
        <v>46087.51666666667</v>
      </c>
      <c r="I31" s="153">
        <f t="shared" si="6"/>
        <v>5.6250000001455192E-2</v>
      </c>
      <c r="J31" s="103">
        <f t="shared" si="1"/>
        <v>81.000000002095476</v>
      </c>
      <c r="K31" s="153">
        <f t="shared" si="7"/>
        <v>5.6250000001455192E-2</v>
      </c>
      <c r="L31" s="103">
        <f t="shared" si="3"/>
        <v>81.000000002095476</v>
      </c>
      <c r="M31" s="100" t="s">
        <v>3440</v>
      </c>
      <c r="N31" s="100" t="s">
        <v>20</v>
      </c>
      <c r="O31" s="9" t="s">
        <v>20</v>
      </c>
      <c r="P31" s="37" t="s">
        <v>3441</v>
      </c>
      <c r="Q31" s="37" t="s">
        <v>678</v>
      </c>
      <c r="R31" s="12"/>
      <c r="S31" s="38" t="str">
        <f t="shared" si="8"/>
        <v>ISLA</v>
      </c>
      <c r="T31" s="37" t="str">
        <f t="shared" si="9"/>
        <v>NON</v>
      </c>
      <c r="U31" s="12" t="s">
        <v>2735</v>
      </c>
    </row>
    <row r="32" spans="1:21" x14ac:dyDescent="0.4">
      <c r="A32" s="37">
        <v>31</v>
      </c>
      <c r="B32" s="12" t="s">
        <v>3288</v>
      </c>
      <c r="C32" s="37" t="s">
        <v>2</v>
      </c>
      <c r="D32" s="37" t="s">
        <v>702</v>
      </c>
      <c r="E32" s="12" t="s">
        <v>2934</v>
      </c>
      <c r="F32" s="102">
        <v>46087.481249999997</v>
      </c>
      <c r="G32" s="102">
        <v>46088.305555555555</v>
      </c>
      <c r="H32" s="102">
        <v>46088.305555555555</v>
      </c>
      <c r="I32" s="153">
        <f t="shared" si="6"/>
        <v>0.8243055555576575</v>
      </c>
      <c r="J32" s="103">
        <f t="shared" si="1"/>
        <v>1187.0000000030268</v>
      </c>
      <c r="K32" s="153">
        <f t="shared" si="7"/>
        <v>0.8243055555576575</v>
      </c>
      <c r="L32" s="103">
        <f t="shared" si="3"/>
        <v>1187.0000000030268</v>
      </c>
      <c r="M32" s="100" t="s">
        <v>2935</v>
      </c>
      <c r="N32" s="9" t="s">
        <v>20</v>
      </c>
      <c r="O32" s="9" t="s">
        <v>20</v>
      </c>
      <c r="P32" s="37" t="s">
        <v>2936</v>
      </c>
      <c r="Q32" s="37" t="s">
        <v>678</v>
      </c>
      <c r="R32" s="12"/>
      <c r="S32" s="38" t="str">
        <f t="shared" si="8"/>
        <v>OSLA</v>
      </c>
      <c r="T32" s="37" t="str">
        <f t="shared" si="9"/>
        <v>OUI</v>
      </c>
      <c r="U32" s="12" t="s">
        <v>2680</v>
      </c>
    </row>
    <row r="33" spans="1:21" x14ac:dyDescent="0.4">
      <c r="A33" s="37">
        <v>32</v>
      </c>
      <c r="B33" s="12" t="s">
        <v>3289</v>
      </c>
      <c r="C33" s="37" t="s">
        <v>2</v>
      </c>
      <c r="D33" s="37" t="s">
        <v>702</v>
      </c>
      <c r="E33" s="12" t="s">
        <v>3290</v>
      </c>
      <c r="F33" s="102">
        <v>46087.607638888891</v>
      </c>
      <c r="G33" s="102">
        <v>46087.663194444445</v>
      </c>
      <c r="H33" s="102">
        <v>46087.663194444445</v>
      </c>
      <c r="I33" s="153">
        <f t="shared" si="6"/>
        <v>5.5555555554747116E-2</v>
      </c>
      <c r="J33" s="103">
        <f t="shared" si="1"/>
        <v>79.999999998835847</v>
      </c>
      <c r="K33" s="153">
        <f t="shared" si="7"/>
        <v>5.5555555554747116E-2</v>
      </c>
      <c r="L33" s="103">
        <f t="shared" si="3"/>
        <v>79.999999998835847</v>
      </c>
      <c r="M33" s="100" t="s">
        <v>2738</v>
      </c>
      <c r="N33" s="9" t="s">
        <v>20</v>
      </c>
      <c r="O33" s="9" t="s">
        <v>20</v>
      </c>
      <c r="P33" s="37" t="s">
        <v>2628</v>
      </c>
      <c r="Q33" s="37" t="s">
        <v>678</v>
      </c>
      <c r="R33" s="12"/>
      <c r="S33" s="38" t="str">
        <f t="shared" si="8"/>
        <v>ISLA</v>
      </c>
      <c r="T33" s="37" t="str">
        <f t="shared" si="9"/>
        <v>NON</v>
      </c>
      <c r="U33" s="12" t="s">
        <v>2675</v>
      </c>
    </row>
    <row r="34" spans="1:21" x14ac:dyDescent="0.4">
      <c r="A34" s="37">
        <v>33</v>
      </c>
      <c r="B34" s="12" t="s">
        <v>3291</v>
      </c>
      <c r="C34" s="37" t="s">
        <v>2</v>
      </c>
      <c r="D34" s="37" t="s">
        <v>702</v>
      </c>
      <c r="E34" s="12" t="s">
        <v>954</v>
      </c>
      <c r="F34" s="102">
        <v>46088.038194444445</v>
      </c>
      <c r="G34" s="102">
        <v>46088.284722222219</v>
      </c>
      <c r="H34" s="102">
        <v>46088.284722222219</v>
      </c>
      <c r="I34" s="153">
        <f t="shared" si="6"/>
        <v>0.24652777777373558</v>
      </c>
      <c r="J34" s="103">
        <f t="shared" si="1"/>
        <v>354.99999999417923</v>
      </c>
      <c r="K34" s="153">
        <f t="shared" si="7"/>
        <v>0.24652777777373558</v>
      </c>
      <c r="L34" s="103">
        <f t="shared" si="3"/>
        <v>354.99999999417923</v>
      </c>
      <c r="M34" s="100" t="s">
        <v>2996</v>
      </c>
      <c r="N34" s="100" t="s">
        <v>20</v>
      </c>
      <c r="O34" s="9" t="s">
        <v>20</v>
      </c>
      <c r="P34" s="37" t="s">
        <v>2997</v>
      </c>
      <c r="Q34" s="37" t="s">
        <v>678</v>
      </c>
      <c r="R34" s="12"/>
      <c r="S34" s="38" t="str">
        <f t="shared" si="8"/>
        <v>OSLA</v>
      </c>
      <c r="T34" s="37" t="str">
        <f t="shared" si="9"/>
        <v>OUI</v>
      </c>
      <c r="U34" s="12" t="s">
        <v>2680</v>
      </c>
    </row>
    <row r="35" spans="1:21" x14ac:dyDescent="0.4">
      <c r="A35" s="37">
        <v>34</v>
      </c>
      <c r="B35" s="12" t="s">
        <v>3292</v>
      </c>
      <c r="C35" s="37" t="s">
        <v>2</v>
      </c>
      <c r="D35" s="37" t="s">
        <v>702</v>
      </c>
      <c r="E35" s="12" t="s">
        <v>3293</v>
      </c>
      <c r="F35" s="102">
        <v>46088.590277777781</v>
      </c>
      <c r="G35" s="102">
        <v>46088.704861111109</v>
      </c>
      <c r="H35" s="102">
        <v>46088.704861111109</v>
      </c>
      <c r="I35" s="153">
        <f t="shared" si="6"/>
        <v>0.11458333332848269</v>
      </c>
      <c r="J35" s="103">
        <f t="shared" si="1"/>
        <v>164.99999999301508</v>
      </c>
      <c r="K35" s="153">
        <f t="shared" si="7"/>
        <v>0.11458333332848269</v>
      </c>
      <c r="L35" s="103">
        <f t="shared" si="3"/>
        <v>164.99999999301508</v>
      </c>
      <c r="M35" s="100" t="s">
        <v>3442</v>
      </c>
      <c r="N35" s="9" t="s">
        <v>20</v>
      </c>
      <c r="O35" s="9" t="s">
        <v>20</v>
      </c>
      <c r="P35" s="37" t="s">
        <v>701</v>
      </c>
      <c r="Q35" s="37" t="s">
        <v>678</v>
      </c>
      <c r="R35" s="12"/>
      <c r="S35" s="38" t="str">
        <f t="shared" si="8"/>
        <v>ISLA</v>
      </c>
      <c r="T35" s="37" t="str">
        <f t="shared" si="9"/>
        <v>NON</v>
      </c>
      <c r="U35" s="12" t="s">
        <v>2675</v>
      </c>
    </row>
    <row r="36" spans="1:21" ht="20.6" x14ac:dyDescent="0.4">
      <c r="A36" s="37">
        <v>35</v>
      </c>
      <c r="B36" s="12" t="s">
        <v>2706</v>
      </c>
      <c r="C36" s="37" t="s">
        <v>2</v>
      </c>
      <c r="D36" s="37" t="s">
        <v>702</v>
      </c>
      <c r="E36" s="9" t="s">
        <v>3252</v>
      </c>
      <c r="F36" s="102">
        <v>46089.041666666664</v>
      </c>
      <c r="G36" s="102">
        <v>46089.229166666664</v>
      </c>
      <c r="H36" s="102">
        <v>46089.229166666664</v>
      </c>
      <c r="I36" s="153">
        <f t="shared" si="6"/>
        <v>0.1875</v>
      </c>
      <c r="J36" s="103">
        <f t="shared" si="1"/>
        <v>270</v>
      </c>
      <c r="K36" s="153">
        <f t="shared" si="7"/>
        <v>0.1875</v>
      </c>
      <c r="L36" s="103">
        <f t="shared" si="3"/>
        <v>270</v>
      </c>
      <c r="M36" s="100" t="s">
        <v>2753</v>
      </c>
      <c r="N36" s="100" t="s">
        <v>20</v>
      </c>
      <c r="O36" s="9" t="s">
        <v>20</v>
      </c>
      <c r="P36" s="37" t="s">
        <v>2628</v>
      </c>
      <c r="Q36" s="37" t="s">
        <v>678</v>
      </c>
      <c r="R36" s="12"/>
      <c r="S36" s="38" t="str">
        <f t="shared" si="8"/>
        <v>OSLA</v>
      </c>
      <c r="T36" s="37" t="str">
        <f t="shared" si="9"/>
        <v>NON</v>
      </c>
      <c r="U36" s="12" t="s">
        <v>2675</v>
      </c>
    </row>
    <row r="37" spans="1:21" x14ac:dyDescent="0.4">
      <c r="A37" s="37">
        <v>36</v>
      </c>
      <c r="B37" s="12" t="s">
        <v>3294</v>
      </c>
      <c r="C37" s="37" t="s">
        <v>2</v>
      </c>
      <c r="D37" s="37" t="s">
        <v>702</v>
      </c>
      <c r="E37" s="9" t="s">
        <v>2831</v>
      </c>
      <c r="F37" s="102">
        <v>46089.465277777781</v>
      </c>
      <c r="G37" s="102">
        <v>46089.614583333336</v>
      </c>
      <c r="H37" s="102">
        <v>46089.614583333336</v>
      </c>
      <c r="I37" s="153">
        <f t="shared" si="6"/>
        <v>0.14930555555474712</v>
      </c>
      <c r="J37" s="103">
        <f t="shared" si="1"/>
        <v>214.99999999883585</v>
      </c>
      <c r="K37" s="153">
        <f t="shared" si="7"/>
        <v>0.14930555555474712</v>
      </c>
      <c r="L37" s="103">
        <f t="shared" si="3"/>
        <v>214.99999999883585</v>
      </c>
      <c r="M37" s="100" t="s">
        <v>2832</v>
      </c>
      <c r="N37" s="100" t="s">
        <v>20</v>
      </c>
      <c r="O37" s="9" t="s">
        <v>20</v>
      </c>
      <c r="P37" s="37" t="s">
        <v>2834</v>
      </c>
      <c r="Q37" s="37" t="s">
        <v>678</v>
      </c>
      <c r="R37" s="12"/>
      <c r="S37" s="38" t="str">
        <f t="shared" si="8"/>
        <v>ISLA</v>
      </c>
      <c r="T37" s="37" t="str">
        <f t="shared" si="9"/>
        <v>NON</v>
      </c>
      <c r="U37" s="12" t="s">
        <v>2680</v>
      </c>
    </row>
    <row r="38" spans="1:21" x14ac:dyDescent="0.4">
      <c r="A38" s="37">
        <v>37</v>
      </c>
      <c r="B38" s="12" t="s">
        <v>3295</v>
      </c>
      <c r="C38" s="37" t="s">
        <v>2</v>
      </c>
      <c r="D38" s="37" t="s">
        <v>702</v>
      </c>
      <c r="E38" s="12" t="s">
        <v>2717</v>
      </c>
      <c r="F38" s="102">
        <v>46089.604166666664</v>
      </c>
      <c r="G38" s="102">
        <v>46089.670138888891</v>
      </c>
      <c r="H38" s="102">
        <v>46089.670138888891</v>
      </c>
      <c r="I38" s="153">
        <f t="shared" si="6"/>
        <v>6.5972222226264421E-2</v>
      </c>
      <c r="J38" s="103">
        <f t="shared" si="1"/>
        <v>95.000000005820766</v>
      </c>
      <c r="K38" s="153">
        <f t="shared" si="7"/>
        <v>6.5972222226264421E-2</v>
      </c>
      <c r="L38" s="103">
        <f t="shared" si="3"/>
        <v>95.000000005820766</v>
      </c>
      <c r="M38" s="100" t="s">
        <v>2718</v>
      </c>
      <c r="N38" s="9" t="s">
        <v>3443</v>
      </c>
      <c r="O38" s="9" t="s">
        <v>3444</v>
      </c>
      <c r="P38" s="37" t="s">
        <v>2846</v>
      </c>
      <c r="Q38" s="37" t="s">
        <v>678</v>
      </c>
      <c r="R38" s="12"/>
      <c r="S38" s="38" t="str">
        <f t="shared" si="8"/>
        <v>ISLA</v>
      </c>
      <c r="T38" s="37" t="str">
        <f t="shared" si="9"/>
        <v>NON</v>
      </c>
      <c r="U38" s="12" t="s">
        <v>2680</v>
      </c>
    </row>
    <row r="39" spans="1:21" x14ac:dyDescent="0.4">
      <c r="A39" s="37">
        <v>38</v>
      </c>
      <c r="B39" s="12" t="s">
        <v>2706</v>
      </c>
      <c r="C39" s="37" t="s">
        <v>2</v>
      </c>
      <c r="D39" s="37" t="s">
        <v>702</v>
      </c>
      <c r="E39" s="12" t="s">
        <v>3252</v>
      </c>
      <c r="F39" s="102">
        <v>46089.961805555555</v>
      </c>
      <c r="G39" s="102">
        <v>46090.440972222219</v>
      </c>
      <c r="H39" s="102">
        <v>46090.440972222219</v>
      </c>
      <c r="I39" s="153">
        <f t="shared" si="6"/>
        <v>0.47916666666424135</v>
      </c>
      <c r="J39" s="103">
        <f t="shared" si="1"/>
        <v>689.99999999650754</v>
      </c>
      <c r="K39" s="153">
        <f t="shared" si="7"/>
        <v>0.47916666666424135</v>
      </c>
      <c r="L39" s="103">
        <f t="shared" si="3"/>
        <v>689.99999999650754</v>
      </c>
      <c r="M39" s="100" t="s">
        <v>3445</v>
      </c>
      <c r="N39" s="100" t="s">
        <v>20</v>
      </c>
      <c r="O39" s="9" t="s">
        <v>20</v>
      </c>
      <c r="P39" s="37" t="s">
        <v>2628</v>
      </c>
      <c r="Q39" s="37" t="s">
        <v>678</v>
      </c>
      <c r="R39" s="172"/>
      <c r="S39" s="38" t="str">
        <f t="shared" si="8"/>
        <v>OSLA</v>
      </c>
      <c r="T39" s="37" t="str">
        <f t="shared" si="9"/>
        <v>NON</v>
      </c>
      <c r="U39" s="12" t="s">
        <v>2675</v>
      </c>
    </row>
    <row r="40" spans="1:21" x14ac:dyDescent="0.4">
      <c r="A40" s="37">
        <v>39</v>
      </c>
      <c r="B40" s="12" t="s">
        <v>3296</v>
      </c>
      <c r="C40" s="37" t="s">
        <v>2</v>
      </c>
      <c r="D40" s="37" t="s">
        <v>702</v>
      </c>
      <c r="E40" s="12" t="s">
        <v>3287</v>
      </c>
      <c r="F40" s="102">
        <v>46089.961805555555</v>
      </c>
      <c r="G40" s="102">
        <v>46090.458333333336</v>
      </c>
      <c r="H40" s="102">
        <v>46090.458333333336</v>
      </c>
      <c r="I40" s="153">
        <f t="shared" si="6"/>
        <v>0.49652777778101154</v>
      </c>
      <c r="J40" s="103">
        <f t="shared" si="1"/>
        <v>715.00000000465661</v>
      </c>
      <c r="K40" s="153">
        <f t="shared" si="7"/>
        <v>0.49652777778101154</v>
      </c>
      <c r="L40" s="103">
        <f t="shared" si="3"/>
        <v>715.00000000465661</v>
      </c>
      <c r="M40" s="100" t="s">
        <v>3199</v>
      </c>
      <c r="N40" s="100" t="s">
        <v>20</v>
      </c>
      <c r="O40" s="9" t="s">
        <v>20</v>
      </c>
      <c r="P40" s="37" t="s">
        <v>2628</v>
      </c>
      <c r="Q40" s="37" t="s">
        <v>678</v>
      </c>
      <c r="R40" s="12"/>
      <c r="S40" s="38" t="str">
        <f t="shared" si="8"/>
        <v>OSLA</v>
      </c>
      <c r="T40" s="37" t="str">
        <f t="shared" si="9"/>
        <v>NON</v>
      </c>
      <c r="U40" s="12" t="s">
        <v>2675</v>
      </c>
    </row>
    <row r="41" spans="1:21" x14ac:dyDescent="0.4">
      <c r="A41" s="37">
        <v>40</v>
      </c>
      <c r="B41" s="12" t="s">
        <v>3297</v>
      </c>
      <c r="C41" s="37" t="s">
        <v>2</v>
      </c>
      <c r="D41" s="37" t="s">
        <v>702</v>
      </c>
      <c r="E41" s="9" t="s">
        <v>2717</v>
      </c>
      <c r="F41" s="102">
        <v>46090.583333333336</v>
      </c>
      <c r="G41" s="102">
        <v>46090.666666666664</v>
      </c>
      <c r="H41" s="102">
        <v>46090.666666666664</v>
      </c>
      <c r="I41" s="153">
        <f t="shared" si="6"/>
        <v>8.3333333328482695E-2</v>
      </c>
      <c r="J41" s="103">
        <f t="shared" si="1"/>
        <v>119.99999999301508</v>
      </c>
      <c r="K41" s="153">
        <f t="shared" si="7"/>
        <v>8.3333333328482695E-2</v>
      </c>
      <c r="L41" s="103">
        <f t="shared" si="3"/>
        <v>119.99999999301508</v>
      </c>
      <c r="M41" s="100" t="s">
        <v>2718</v>
      </c>
      <c r="N41" s="9" t="s">
        <v>3446</v>
      </c>
      <c r="O41" s="9" t="s">
        <v>3447</v>
      </c>
      <c r="P41" s="37" t="s">
        <v>2846</v>
      </c>
      <c r="Q41" s="37" t="s">
        <v>678</v>
      </c>
      <c r="R41" s="12"/>
      <c r="S41" s="38" t="str">
        <f t="shared" si="8"/>
        <v>ISLA</v>
      </c>
      <c r="T41" s="37" t="str">
        <f t="shared" si="9"/>
        <v>NON</v>
      </c>
      <c r="U41" s="12" t="s">
        <v>2680</v>
      </c>
    </row>
    <row r="42" spans="1:21" x14ac:dyDescent="0.4">
      <c r="A42" s="37">
        <v>41</v>
      </c>
      <c r="B42" s="12" t="s">
        <v>3298</v>
      </c>
      <c r="C42" s="37" t="s">
        <v>2</v>
      </c>
      <c r="D42" s="37" t="s">
        <v>702</v>
      </c>
      <c r="E42" s="12" t="s">
        <v>3258</v>
      </c>
      <c r="F42" s="102">
        <v>46090.739583333336</v>
      </c>
      <c r="G42" s="102">
        <v>46090.815972222219</v>
      </c>
      <c r="H42" s="102">
        <v>46090.815972222219</v>
      </c>
      <c r="I42" s="153">
        <f t="shared" si="6"/>
        <v>7.6388888883229811E-2</v>
      </c>
      <c r="J42" s="103">
        <f t="shared" si="1"/>
        <v>109.99999999185093</v>
      </c>
      <c r="K42" s="153">
        <f t="shared" si="7"/>
        <v>7.6388888883229811E-2</v>
      </c>
      <c r="L42" s="103">
        <f t="shared" si="3"/>
        <v>109.99999999185093</v>
      </c>
      <c r="M42" s="100" t="s">
        <v>3448</v>
      </c>
      <c r="N42" s="9" t="s">
        <v>20</v>
      </c>
      <c r="O42" s="9" t="s">
        <v>20</v>
      </c>
      <c r="P42" s="37" t="s">
        <v>3241</v>
      </c>
      <c r="Q42" s="37" t="s">
        <v>678</v>
      </c>
      <c r="R42" s="12"/>
      <c r="S42" s="38" t="str">
        <f t="shared" si="8"/>
        <v>ISLA</v>
      </c>
      <c r="T42" s="37" t="str">
        <f t="shared" si="9"/>
        <v>NON</v>
      </c>
      <c r="U42" s="12" t="s">
        <v>2680</v>
      </c>
    </row>
    <row r="43" spans="1:21" x14ac:dyDescent="0.4">
      <c r="A43" s="37">
        <v>42</v>
      </c>
      <c r="B43" s="12" t="s">
        <v>3299</v>
      </c>
      <c r="C43" s="37" t="s">
        <v>2</v>
      </c>
      <c r="D43" s="37" t="s">
        <v>702</v>
      </c>
      <c r="E43" s="12" t="s">
        <v>2848</v>
      </c>
      <c r="F43" s="102">
        <v>46090.739583333336</v>
      </c>
      <c r="G43" s="102">
        <v>46091.336805555555</v>
      </c>
      <c r="H43" s="102">
        <v>46091.336805555555</v>
      </c>
      <c r="I43" s="153">
        <f t="shared" si="6"/>
        <v>0.59722222221898846</v>
      </c>
      <c r="J43" s="103">
        <f t="shared" si="1"/>
        <v>859.99999999534339</v>
      </c>
      <c r="K43" s="153">
        <f t="shared" si="7"/>
        <v>0.59722222221898846</v>
      </c>
      <c r="L43" s="103">
        <f t="shared" si="3"/>
        <v>859.99999999534339</v>
      </c>
      <c r="M43" s="100" t="s">
        <v>3449</v>
      </c>
      <c r="N43" s="9" t="s">
        <v>3450</v>
      </c>
      <c r="O43" s="9" t="s">
        <v>3451</v>
      </c>
      <c r="P43" s="37" t="s">
        <v>2628</v>
      </c>
      <c r="Q43" s="37" t="s">
        <v>678</v>
      </c>
      <c r="R43" s="12"/>
      <c r="S43" s="38" t="str">
        <f t="shared" si="8"/>
        <v>OSLA</v>
      </c>
      <c r="T43" s="37" t="str">
        <f t="shared" si="9"/>
        <v>NON</v>
      </c>
      <c r="U43" s="12" t="s">
        <v>2675</v>
      </c>
    </row>
    <row r="44" spans="1:21" x14ac:dyDescent="0.4">
      <c r="A44" s="37">
        <v>43</v>
      </c>
      <c r="B44" s="12" t="s">
        <v>3300</v>
      </c>
      <c r="C44" s="37" t="s">
        <v>2</v>
      </c>
      <c r="D44" s="37" t="s">
        <v>702</v>
      </c>
      <c r="E44" s="12" t="s">
        <v>2848</v>
      </c>
      <c r="F44" s="102">
        <v>46091.423611111109</v>
      </c>
      <c r="G44" s="102">
        <v>46091.590277777781</v>
      </c>
      <c r="H44" s="102">
        <v>46091.590277777781</v>
      </c>
      <c r="I44" s="153">
        <f t="shared" si="6"/>
        <v>0.16666666667151731</v>
      </c>
      <c r="J44" s="103">
        <f t="shared" si="1"/>
        <v>240.00000000698492</v>
      </c>
      <c r="K44" s="153">
        <f t="shared" si="7"/>
        <v>0.16666666667151731</v>
      </c>
      <c r="L44" s="103">
        <f t="shared" si="3"/>
        <v>240.00000000698492</v>
      </c>
      <c r="M44" s="100" t="s">
        <v>3449</v>
      </c>
      <c r="N44" s="100" t="s">
        <v>20</v>
      </c>
      <c r="O44" s="9" t="s">
        <v>20</v>
      </c>
      <c r="P44" s="37" t="s">
        <v>2628</v>
      </c>
      <c r="Q44" s="37" t="s">
        <v>678</v>
      </c>
      <c r="R44" s="172"/>
      <c r="S44" s="38" t="str">
        <f t="shared" si="8"/>
        <v>OSLA</v>
      </c>
      <c r="T44" s="37" t="str">
        <f t="shared" si="9"/>
        <v>NON</v>
      </c>
      <c r="U44" s="12" t="s">
        <v>2675</v>
      </c>
    </row>
    <row r="45" spans="1:21" x14ac:dyDescent="0.4">
      <c r="A45" s="37">
        <v>44</v>
      </c>
      <c r="B45" s="101" t="s">
        <v>3301</v>
      </c>
      <c r="C45" s="37" t="s">
        <v>2</v>
      </c>
      <c r="D45" s="37" t="s">
        <v>702</v>
      </c>
      <c r="E45" s="12" t="s">
        <v>3302</v>
      </c>
      <c r="F45" s="102">
        <v>46091.885416666664</v>
      </c>
      <c r="G45" s="102">
        <v>46092.412499999999</v>
      </c>
      <c r="H45" s="102">
        <v>46092.412499999999</v>
      </c>
      <c r="I45" s="153">
        <f t="shared" si="6"/>
        <v>0.52708333333430346</v>
      </c>
      <c r="J45" s="103">
        <f t="shared" si="1"/>
        <v>759.00000000139698</v>
      </c>
      <c r="K45" s="153">
        <f t="shared" si="7"/>
        <v>0.52708333333430346</v>
      </c>
      <c r="L45" s="103">
        <f t="shared" si="3"/>
        <v>759.00000000139698</v>
      </c>
      <c r="M45" s="100" t="s">
        <v>2825</v>
      </c>
      <c r="N45" s="9" t="s">
        <v>20</v>
      </c>
      <c r="O45" s="9" t="s">
        <v>20</v>
      </c>
      <c r="P45" s="83" t="s">
        <v>2813</v>
      </c>
      <c r="Q45" s="37" t="s">
        <v>678</v>
      </c>
      <c r="R45" s="12"/>
      <c r="S45" s="38" t="str">
        <f t="shared" si="8"/>
        <v>OSLA</v>
      </c>
      <c r="T45" s="37" t="str">
        <f t="shared" si="9"/>
        <v>OUI</v>
      </c>
      <c r="U45" s="12" t="s">
        <v>2680</v>
      </c>
    </row>
    <row r="46" spans="1:21" x14ac:dyDescent="0.4">
      <c r="A46" s="37">
        <v>45</v>
      </c>
      <c r="B46" s="12" t="s">
        <v>3303</v>
      </c>
      <c r="C46" s="37" t="s">
        <v>2</v>
      </c>
      <c r="D46" s="37" t="s">
        <v>702</v>
      </c>
      <c r="E46" s="9" t="s">
        <v>954</v>
      </c>
      <c r="F46" s="102">
        <v>46092.223611111112</v>
      </c>
      <c r="G46" s="102">
        <v>46092.24722222222</v>
      </c>
      <c r="H46" s="102">
        <v>46092.24722222222</v>
      </c>
      <c r="I46" s="153">
        <f t="shared" si="6"/>
        <v>2.361111110803904E-2</v>
      </c>
      <c r="J46" s="103">
        <f t="shared" si="1"/>
        <v>33.999999995576218</v>
      </c>
      <c r="K46" s="153">
        <f t="shared" si="7"/>
        <v>2.361111110803904E-2</v>
      </c>
      <c r="L46" s="103">
        <f t="shared" si="3"/>
        <v>33.999999995576218</v>
      </c>
      <c r="M46" s="100" t="s">
        <v>2996</v>
      </c>
      <c r="N46" s="9" t="s">
        <v>20</v>
      </c>
      <c r="O46" s="9" t="s">
        <v>20</v>
      </c>
      <c r="P46" s="37" t="s">
        <v>2997</v>
      </c>
      <c r="Q46" s="37" t="s">
        <v>678</v>
      </c>
      <c r="R46" s="12"/>
      <c r="S46" s="38" t="str">
        <f t="shared" si="8"/>
        <v>ISLA</v>
      </c>
      <c r="T46" s="37" t="str">
        <f t="shared" si="9"/>
        <v>NON</v>
      </c>
      <c r="U46" s="12" t="s">
        <v>2680</v>
      </c>
    </row>
    <row r="47" spans="1:21" x14ac:dyDescent="0.4">
      <c r="A47" s="37">
        <v>46</v>
      </c>
      <c r="B47" s="12" t="s">
        <v>3304</v>
      </c>
      <c r="C47" s="37" t="s">
        <v>2</v>
      </c>
      <c r="D47" s="37" t="s">
        <v>702</v>
      </c>
      <c r="E47" s="12" t="s">
        <v>3302</v>
      </c>
      <c r="F47" s="102">
        <v>46092.476388888892</v>
      </c>
      <c r="G47" s="102">
        <v>46092.744444444441</v>
      </c>
      <c r="H47" s="102">
        <v>46092.744444444441</v>
      </c>
      <c r="I47" s="153">
        <f t="shared" si="6"/>
        <v>0.26805555554892635</v>
      </c>
      <c r="J47" s="103">
        <f t="shared" si="1"/>
        <v>385.99999999045394</v>
      </c>
      <c r="K47" s="153">
        <f t="shared" si="7"/>
        <v>0.26805555554892635</v>
      </c>
      <c r="L47" s="103">
        <f t="shared" si="3"/>
        <v>385.99999999045394</v>
      </c>
      <c r="M47" s="100" t="s">
        <v>2825</v>
      </c>
      <c r="N47" s="100" t="s">
        <v>20</v>
      </c>
      <c r="O47" s="9" t="s">
        <v>20</v>
      </c>
      <c r="P47" s="37" t="s">
        <v>2813</v>
      </c>
      <c r="Q47" s="37" t="s">
        <v>678</v>
      </c>
      <c r="R47" s="12"/>
      <c r="S47" s="38" t="str">
        <f t="shared" si="8"/>
        <v>OSLA</v>
      </c>
      <c r="T47" s="37" t="str">
        <f t="shared" si="9"/>
        <v>OUI</v>
      </c>
      <c r="U47" s="12" t="s">
        <v>2680</v>
      </c>
    </row>
    <row r="48" spans="1:21" x14ac:dyDescent="0.4">
      <c r="A48" s="37">
        <v>47</v>
      </c>
      <c r="B48" s="37" t="s">
        <v>3305</v>
      </c>
      <c r="C48" s="37" t="s">
        <v>2</v>
      </c>
      <c r="D48" s="37" t="s">
        <v>702</v>
      </c>
      <c r="E48" s="12" t="s">
        <v>3306</v>
      </c>
      <c r="F48" s="102">
        <v>46092.934027777781</v>
      </c>
      <c r="G48" s="102">
        <v>46093.28125</v>
      </c>
      <c r="H48" s="102">
        <v>46093.28125</v>
      </c>
      <c r="I48" s="153">
        <f t="shared" si="6"/>
        <v>0.34722222221898846</v>
      </c>
      <c r="J48" s="103">
        <f t="shared" si="1"/>
        <v>499.99999999534339</v>
      </c>
      <c r="K48" s="153">
        <f t="shared" si="7"/>
        <v>0.34722222221898846</v>
      </c>
      <c r="L48" s="103">
        <f t="shared" si="3"/>
        <v>499.99999999534339</v>
      </c>
      <c r="M48" s="100" t="s">
        <v>3452</v>
      </c>
      <c r="N48" s="100" t="s">
        <v>20</v>
      </c>
      <c r="O48" s="12" t="s">
        <v>20</v>
      </c>
      <c r="P48" s="83" t="s">
        <v>3212</v>
      </c>
      <c r="Q48" s="37" t="s">
        <v>678</v>
      </c>
      <c r="R48" s="9"/>
      <c r="S48" s="38" t="str">
        <f t="shared" si="8"/>
        <v>OSLA</v>
      </c>
      <c r="T48" s="37" t="str">
        <f t="shared" si="9"/>
        <v>OUI</v>
      </c>
      <c r="U48" s="12" t="s">
        <v>2675</v>
      </c>
    </row>
    <row r="49" spans="1:21" ht="20.6" x14ac:dyDescent="0.4">
      <c r="A49" s="37">
        <v>48</v>
      </c>
      <c r="B49" s="12" t="s">
        <v>3307</v>
      </c>
      <c r="C49" s="37" t="s">
        <v>2</v>
      </c>
      <c r="D49" s="37" t="s">
        <v>702</v>
      </c>
      <c r="E49" s="9" t="s">
        <v>3050</v>
      </c>
      <c r="F49" s="83">
        <v>46092.947916666664</v>
      </c>
      <c r="G49" s="83">
        <v>46093.243055555555</v>
      </c>
      <c r="H49" s="83">
        <v>46093.243055555555</v>
      </c>
      <c r="I49" s="153">
        <f t="shared" si="6"/>
        <v>0.29513888889050577</v>
      </c>
      <c r="J49" s="103">
        <f t="shared" si="1"/>
        <v>425.00000000232831</v>
      </c>
      <c r="K49" s="153">
        <f t="shared" si="7"/>
        <v>0.29513888889050577</v>
      </c>
      <c r="L49" s="103">
        <f t="shared" si="3"/>
        <v>425.00000000232831</v>
      </c>
      <c r="M49" s="12" t="s">
        <v>2941</v>
      </c>
      <c r="N49" s="9" t="s">
        <v>20</v>
      </c>
      <c r="O49" s="9" t="s">
        <v>20</v>
      </c>
      <c r="P49" s="37" t="s">
        <v>2684</v>
      </c>
      <c r="Q49" s="37" t="s">
        <v>678</v>
      </c>
      <c r="R49" s="12"/>
      <c r="S49" s="38" t="str">
        <f t="shared" si="8"/>
        <v>OSLA</v>
      </c>
      <c r="T49" s="37" t="str">
        <f t="shared" si="9"/>
        <v>OUI</v>
      </c>
      <c r="U49" s="12" t="s">
        <v>2680</v>
      </c>
    </row>
    <row r="50" spans="1:21" ht="20.6" x14ac:dyDescent="0.4">
      <c r="A50" s="37">
        <v>49</v>
      </c>
      <c r="B50" s="101" t="s">
        <v>3308</v>
      </c>
      <c r="C50" s="37" t="s">
        <v>2</v>
      </c>
      <c r="D50" s="37" t="s">
        <v>702</v>
      </c>
      <c r="E50" s="9" t="s">
        <v>2934</v>
      </c>
      <c r="F50" s="102">
        <v>46093.052083333336</v>
      </c>
      <c r="G50" s="102">
        <v>46093.545138888891</v>
      </c>
      <c r="H50" s="102">
        <v>46093.545138888891</v>
      </c>
      <c r="I50" s="153">
        <f t="shared" si="6"/>
        <v>0.49305555555474712</v>
      </c>
      <c r="J50" s="103">
        <f t="shared" si="1"/>
        <v>709.99999999883585</v>
      </c>
      <c r="K50" s="153">
        <f t="shared" si="7"/>
        <v>0.49305555555474712</v>
      </c>
      <c r="L50" s="103">
        <f t="shared" si="3"/>
        <v>709.99999999883585</v>
      </c>
      <c r="M50" s="12" t="s">
        <v>2935</v>
      </c>
      <c r="N50" s="100" t="s">
        <v>3453</v>
      </c>
      <c r="O50" s="9" t="s">
        <v>3454</v>
      </c>
      <c r="P50" s="37" t="s">
        <v>2936</v>
      </c>
      <c r="Q50" s="37" t="s">
        <v>678</v>
      </c>
      <c r="R50" s="12"/>
      <c r="S50" s="38" t="str">
        <f t="shared" si="8"/>
        <v>OSLA</v>
      </c>
      <c r="T50" s="37" t="str">
        <f t="shared" si="9"/>
        <v>OUI</v>
      </c>
      <c r="U50" s="12" t="s">
        <v>2680</v>
      </c>
    </row>
    <row r="51" spans="1:21" x14ac:dyDescent="0.4">
      <c r="A51" s="37">
        <v>50</v>
      </c>
      <c r="B51" s="12" t="s">
        <v>3309</v>
      </c>
      <c r="C51" s="37" t="s">
        <v>2</v>
      </c>
      <c r="D51" s="37" t="s">
        <v>702</v>
      </c>
      <c r="E51" s="9" t="s">
        <v>3310</v>
      </c>
      <c r="F51" s="83">
        <v>46093.222222222219</v>
      </c>
      <c r="G51" s="83">
        <v>46093.357638888891</v>
      </c>
      <c r="H51" s="83">
        <v>46093.357638888891</v>
      </c>
      <c r="I51" s="153">
        <f t="shared" si="6"/>
        <v>0.13541666667151731</v>
      </c>
      <c r="J51" s="103">
        <f t="shared" si="1"/>
        <v>195.00000000698492</v>
      </c>
      <c r="K51" s="153">
        <f t="shared" si="7"/>
        <v>0.13541666667151731</v>
      </c>
      <c r="L51" s="103">
        <f t="shared" si="3"/>
        <v>195.00000000698492</v>
      </c>
      <c r="M51" s="12" t="s">
        <v>3455</v>
      </c>
      <c r="N51" s="9" t="s">
        <v>20</v>
      </c>
      <c r="O51" s="9" t="s">
        <v>20</v>
      </c>
      <c r="P51" s="37" t="s">
        <v>2628</v>
      </c>
      <c r="Q51" s="37" t="s">
        <v>678</v>
      </c>
      <c r="R51" s="12"/>
      <c r="S51" s="38" t="str">
        <f t="shared" si="8"/>
        <v>ISLA</v>
      </c>
      <c r="T51" s="37" t="str">
        <f t="shared" si="9"/>
        <v>NON</v>
      </c>
      <c r="U51" s="12" t="s">
        <v>2675</v>
      </c>
    </row>
    <row r="52" spans="1:21" x14ac:dyDescent="0.4">
      <c r="A52" s="37">
        <v>51</v>
      </c>
      <c r="B52" s="37" t="s">
        <v>3311</v>
      </c>
      <c r="C52" s="37" t="s">
        <v>2</v>
      </c>
      <c r="D52" s="37" t="s">
        <v>702</v>
      </c>
      <c r="E52" s="12" t="s">
        <v>2808</v>
      </c>
      <c r="F52" s="102">
        <v>46093.3125</v>
      </c>
      <c r="G52" s="102">
        <v>46093.593055555553</v>
      </c>
      <c r="H52" s="102">
        <v>46093.593055555553</v>
      </c>
      <c r="I52" s="153">
        <f t="shared" si="6"/>
        <v>0.28055555555329192</v>
      </c>
      <c r="J52" s="103">
        <f t="shared" si="1"/>
        <v>403.99999999674037</v>
      </c>
      <c r="K52" s="153">
        <f t="shared" si="7"/>
        <v>0.28055555555329192</v>
      </c>
      <c r="L52" s="103">
        <f t="shared" si="3"/>
        <v>403.99999999674037</v>
      </c>
      <c r="M52" s="12" t="s">
        <v>3189</v>
      </c>
      <c r="N52" s="100" t="s">
        <v>20</v>
      </c>
      <c r="O52" s="9" t="s">
        <v>20</v>
      </c>
      <c r="P52" s="37" t="s">
        <v>2813</v>
      </c>
      <c r="Q52" s="37" t="s">
        <v>678</v>
      </c>
      <c r="R52" s="144"/>
      <c r="S52" s="38" t="str">
        <f t="shared" si="8"/>
        <v>OSLA</v>
      </c>
      <c r="T52" s="37" t="str">
        <f t="shared" si="9"/>
        <v>OUI</v>
      </c>
      <c r="U52" s="12" t="s">
        <v>2675</v>
      </c>
    </row>
    <row r="53" spans="1:21" x14ac:dyDescent="0.4">
      <c r="A53" s="37">
        <v>52</v>
      </c>
      <c r="B53" s="101" t="s">
        <v>3312</v>
      </c>
      <c r="C53" s="37" t="s">
        <v>2</v>
      </c>
      <c r="D53" s="37" t="s">
        <v>702</v>
      </c>
      <c r="E53" s="9" t="s">
        <v>2717</v>
      </c>
      <c r="F53" s="102">
        <v>46093.430555555555</v>
      </c>
      <c r="G53" s="102">
        <v>46093.524305555555</v>
      </c>
      <c r="H53" s="102">
        <v>46093.524305555555</v>
      </c>
      <c r="I53" s="153">
        <f t="shared" si="6"/>
        <v>9.375E-2</v>
      </c>
      <c r="J53" s="103">
        <f t="shared" si="1"/>
        <v>135</v>
      </c>
      <c r="K53" s="153">
        <f t="shared" si="7"/>
        <v>9.375E-2</v>
      </c>
      <c r="L53" s="103">
        <f t="shared" si="3"/>
        <v>135</v>
      </c>
      <c r="M53" s="100" t="s">
        <v>2718</v>
      </c>
      <c r="N53" s="100" t="s">
        <v>3443</v>
      </c>
      <c r="O53" s="100" t="s">
        <v>3444</v>
      </c>
      <c r="P53" s="37" t="s">
        <v>2846</v>
      </c>
      <c r="Q53" s="37" t="s">
        <v>678</v>
      </c>
      <c r="R53" s="144"/>
      <c r="S53" s="38" t="str">
        <f t="shared" si="8"/>
        <v>ISLA</v>
      </c>
      <c r="T53" s="37" t="str">
        <f t="shared" si="9"/>
        <v>NON</v>
      </c>
      <c r="U53" s="12" t="s">
        <v>2680</v>
      </c>
    </row>
    <row r="54" spans="1:21" x14ac:dyDescent="0.4">
      <c r="A54" s="37">
        <v>53</v>
      </c>
      <c r="B54" s="101" t="s">
        <v>3313</v>
      </c>
      <c r="C54" s="37" t="s">
        <v>2</v>
      </c>
      <c r="D54" s="37" t="s">
        <v>702</v>
      </c>
      <c r="E54" s="12" t="s">
        <v>3271</v>
      </c>
      <c r="F54" s="102">
        <v>46093.510416666664</v>
      </c>
      <c r="G54" s="102">
        <v>46094.048611111109</v>
      </c>
      <c r="H54" s="102">
        <v>46094.048611111109</v>
      </c>
      <c r="I54" s="153">
        <f t="shared" si="6"/>
        <v>0.53819444444525288</v>
      </c>
      <c r="J54" s="103">
        <f t="shared" si="1"/>
        <v>775.00000000116415</v>
      </c>
      <c r="K54" s="153">
        <f t="shared" si="7"/>
        <v>0.53819444444525288</v>
      </c>
      <c r="L54" s="103">
        <f t="shared" si="3"/>
        <v>775.00000000116415</v>
      </c>
      <c r="M54" s="100" t="s">
        <v>2821</v>
      </c>
      <c r="N54" s="139" t="s">
        <v>3536</v>
      </c>
      <c r="O54" s="100" t="s">
        <v>3456</v>
      </c>
      <c r="P54" s="37" t="s">
        <v>3457</v>
      </c>
      <c r="Q54" s="37" t="s">
        <v>678</v>
      </c>
      <c r="R54" s="12"/>
      <c r="S54" s="38" t="str">
        <f t="shared" si="8"/>
        <v>OSLA</v>
      </c>
      <c r="T54" s="37" t="str">
        <f t="shared" si="9"/>
        <v>NON</v>
      </c>
      <c r="U54" s="12" t="s">
        <v>2675</v>
      </c>
    </row>
    <row r="55" spans="1:21" ht="30.9" x14ac:dyDescent="0.4">
      <c r="A55" s="37">
        <v>54</v>
      </c>
      <c r="B55" s="101" t="s">
        <v>3314</v>
      </c>
      <c r="C55" s="37" t="s">
        <v>2</v>
      </c>
      <c r="D55" s="37" t="s">
        <v>702</v>
      </c>
      <c r="E55" s="12" t="s">
        <v>2677</v>
      </c>
      <c r="F55" s="102">
        <v>46093.67083333333</v>
      </c>
      <c r="G55" s="102">
        <v>46097.504861111112</v>
      </c>
      <c r="H55" s="102">
        <v>46097.504861111112</v>
      </c>
      <c r="I55" s="153">
        <f t="shared" si="6"/>
        <v>3.8340277777824667</v>
      </c>
      <c r="J55" s="103">
        <f t="shared" si="1"/>
        <v>5521.0000000067521</v>
      </c>
      <c r="K55" s="153">
        <f t="shared" si="7"/>
        <v>3.8340277777824667</v>
      </c>
      <c r="L55" s="103">
        <f t="shared" si="3"/>
        <v>5521.0000000067521</v>
      </c>
      <c r="M55" s="12" t="s">
        <v>3458</v>
      </c>
      <c r="N55" s="100" t="s">
        <v>3459</v>
      </c>
      <c r="O55" s="9" t="s">
        <v>3460</v>
      </c>
      <c r="P55" s="37" t="s">
        <v>3212</v>
      </c>
      <c r="Q55" s="37" t="s">
        <v>678</v>
      </c>
      <c r="R55" s="12"/>
      <c r="S55" s="38" t="str">
        <f t="shared" si="8"/>
        <v>OSLA</v>
      </c>
      <c r="T55" s="37" t="str">
        <f t="shared" si="9"/>
        <v>OUI</v>
      </c>
      <c r="U55" s="12" t="s">
        <v>2680</v>
      </c>
    </row>
    <row r="56" spans="1:21" ht="20.6" x14ac:dyDescent="0.4">
      <c r="A56" s="37">
        <v>55</v>
      </c>
      <c r="B56" s="101" t="s">
        <v>3315</v>
      </c>
      <c r="C56" s="37" t="s">
        <v>2</v>
      </c>
      <c r="D56" s="37" t="s">
        <v>702</v>
      </c>
      <c r="E56" s="9" t="s">
        <v>3050</v>
      </c>
      <c r="F56" s="102">
        <v>46094.190972222219</v>
      </c>
      <c r="G56" s="102">
        <v>46094.454861111109</v>
      </c>
      <c r="H56" s="102">
        <v>46094.454861111109</v>
      </c>
      <c r="I56" s="153">
        <f t="shared" si="6"/>
        <v>0.26388888889050577</v>
      </c>
      <c r="J56" s="103">
        <f t="shared" si="1"/>
        <v>380.00000000232831</v>
      </c>
      <c r="K56" s="153">
        <f t="shared" si="7"/>
        <v>0.26388888889050577</v>
      </c>
      <c r="L56" s="103">
        <f t="shared" si="3"/>
        <v>380.00000000232831</v>
      </c>
      <c r="M56" s="100" t="s">
        <v>3461</v>
      </c>
      <c r="N56" s="139" t="s">
        <v>20</v>
      </c>
      <c r="O56" s="9" t="s">
        <v>20</v>
      </c>
      <c r="P56" s="37" t="s">
        <v>2684</v>
      </c>
      <c r="Q56" s="37" t="s">
        <v>678</v>
      </c>
      <c r="R56" s="144"/>
      <c r="S56" s="38" t="str">
        <f t="shared" si="8"/>
        <v>OSLA</v>
      </c>
      <c r="T56" s="37" t="str">
        <f t="shared" si="9"/>
        <v>OUI</v>
      </c>
      <c r="U56" s="12" t="s">
        <v>2680</v>
      </c>
    </row>
    <row r="57" spans="1:21" ht="30.9" x14ac:dyDescent="0.4">
      <c r="A57" s="37">
        <v>56</v>
      </c>
      <c r="B57" s="101" t="s">
        <v>3316</v>
      </c>
      <c r="C57" s="37" t="s">
        <v>2</v>
      </c>
      <c r="D57" s="37" t="s">
        <v>702</v>
      </c>
      <c r="E57" s="12" t="s">
        <v>3306</v>
      </c>
      <c r="F57" s="102">
        <v>46094.784722222219</v>
      </c>
      <c r="G57" s="102">
        <v>46097.504861111112</v>
      </c>
      <c r="H57" s="102">
        <v>46097.504861111112</v>
      </c>
      <c r="I57" s="153">
        <f t="shared" si="6"/>
        <v>2.7201388888934162</v>
      </c>
      <c r="J57" s="103">
        <f t="shared" si="1"/>
        <v>3917.0000000065193</v>
      </c>
      <c r="K57" s="153">
        <f t="shared" si="7"/>
        <v>2.7201388888934162</v>
      </c>
      <c r="L57" s="103">
        <f t="shared" si="3"/>
        <v>3917.0000000065193</v>
      </c>
      <c r="M57" s="100" t="s">
        <v>3462</v>
      </c>
      <c r="N57" s="100" t="s">
        <v>3459</v>
      </c>
      <c r="O57" s="9" t="s">
        <v>3463</v>
      </c>
      <c r="P57" s="37" t="s">
        <v>3212</v>
      </c>
      <c r="Q57" s="37" t="s">
        <v>678</v>
      </c>
      <c r="R57" s="9"/>
      <c r="S57" s="38" t="str">
        <f t="shared" si="8"/>
        <v>OSLA</v>
      </c>
      <c r="T57" s="37" t="str">
        <f t="shared" si="9"/>
        <v>OUI</v>
      </c>
      <c r="U57" s="12" t="s">
        <v>2675</v>
      </c>
    </row>
    <row r="58" spans="1:21" x14ac:dyDescent="0.4">
      <c r="A58" s="37">
        <v>57</v>
      </c>
      <c r="B58" s="101" t="s">
        <v>3317</v>
      </c>
      <c r="C58" s="37" t="s">
        <v>2</v>
      </c>
      <c r="D58" s="37" t="s">
        <v>702</v>
      </c>
      <c r="E58" s="12" t="s">
        <v>3275</v>
      </c>
      <c r="F58" s="102">
        <v>46095.333333333336</v>
      </c>
      <c r="G58" s="102">
        <v>46095.440972222219</v>
      </c>
      <c r="H58" s="102">
        <v>46095.440972222219</v>
      </c>
      <c r="I58" s="153">
        <f t="shared" si="6"/>
        <v>0.10763888888322981</v>
      </c>
      <c r="J58" s="103">
        <f t="shared" si="1"/>
        <v>154.99999999185093</v>
      </c>
      <c r="K58" s="153">
        <f t="shared" si="7"/>
        <v>0.10763888888322981</v>
      </c>
      <c r="L58" s="103">
        <f t="shared" si="3"/>
        <v>154.99999999185093</v>
      </c>
      <c r="M58" s="139" t="s">
        <v>3464</v>
      </c>
      <c r="N58" s="100" t="s">
        <v>20</v>
      </c>
      <c r="O58" s="9" t="s">
        <v>20</v>
      </c>
      <c r="P58" s="83" t="s">
        <v>3430</v>
      </c>
      <c r="Q58" s="37" t="s">
        <v>678</v>
      </c>
      <c r="R58" s="12"/>
      <c r="S58" s="38" t="str">
        <f t="shared" si="8"/>
        <v>ISLA</v>
      </c>
      <c r="T58" s="37" t="str">
        <f t="shared" si="9"/>
        <v>NON</v>
      </c>
      <c r="U58" s="12" t="s">
        <v>2680</v>
      </c>
    </row>
    <row r="59" spans="1:21" x14ac:dyDescent="0.4">
      <c r="A59" s="37">
        <v>58</v>
      </c>
      <c r="B59" s="101" t="s">
        <v>3318</v>
      </c>
      <c r="C59" s="37" t="s">
        <v>2</v>
      </c>
      <c r="D59" s="37" t="s">
        <v>702</v>
      </c>
      <c r="E59" s="12" t="s">
        <v>2717</v>
      </c>
      <c r="F59" s="102">
        <v>46095.555555555555</v>
      </c>
      <c r="G59" s="102">
        <v>46095.618055555555</v>
      </c>
      <c r="H59" s="102">
        <v>46095.618055555555</v>
      </c>
      <c r="I59" s="153">
        <f t="shared" si="6"/>
        <v>6.25E-2</v>
      </c>
      <c r="J59" s="103">
        <f t="shared" si="1"/>
        <v>90</v>
      </c>
      <c r="K59" s="153">
        <f t="shared" si="7"/>
        <v>6.25E-2</v>
      </c>
      <c r="L59" s="103">
        <f t="shared" si="3"/>
        <v>90</v>
      </c>
      <c r="M59" s="139" t="s">
        <v>3465</v>
      </c>
      <c r="N59" s="9" t="s">
        <v>20</v>
      </c>
      <c r="O59" s="9" t="s">
        <v>20</v>
      </c>
      <c r="P59" s="83" t="s">
        <v>2846</v>
      </c>
      <c r="Q59" s="37" t="s">
        <v>678</v>
      </c>
      <c r="R59" s="12"/>
      <c r="S59" s="38" t="str">
        <f t="shared" si="8"/>
        <v>ISLA</v>
      </c>
      <c r="T59" s="37" t="str">
        <f t="shared" si="9"/>
        <v>NON</v>
      </c>
      <c r="U59" s="12" t="s">
        <v>2680</v>
      </c>
    </row>
    <row r="60" spans="1:21" x14ac:dyDescent="0.4">
      <c r="A60" s="37">
        <v>59</v>
      </c>
      <c r="B60" s="101" t="s">
        <v>3319</v>
      </c>
      <c r="C60" s="37" t="s">
        <v>2</v>
      </c>
      <c r="D60" s="37" t="s">
        <v>702</v>
      </c>
      <c r="E60" s="12" t="s">
        <v>2827</v>
      </c>
      <c r="F60" s="102">
        <v>46095.622916666667</v>
      </c>
      <c r="G60" s="102">
        <v>46095.732638888891</v>
      </c>
      <c r="H60" s="102">
        <v>46095.732638888891</v>
      </c>
      <c r="I60" s="153">
        <f t="shared" si="6"/>
        <v>0.10972222222335404</v>
      </c>
      <c r="J60" s="103">
        <f t="shared" si="1"/>
        <v>158.00000000162981</v>
      </c>
      <c r="K60" s="153">
        <f t="shared" si="7"/>
        <v>0.10972222222335404</v>
      </c>
      <c r="L60" s="103">
        <f t="shared" si="3"/>
        <v>158.00000000162981</v>
      </c>
      <c r="M60" s="139" t="s">
        <v>3466</v>
      </c>
      <c r="N60" s="100" t="s">
        <v>20</v>
      </c>
      <c r="O60" s="9" t="s">
        <v>20</v>
      </c>
      <c r="P60" s="83" t="s">
        <v>2829</v>
      </c>
      <c r="Q60" s="37" t="s">
        <v>678</v>
      </c>
      <c r="R60" s="12"/>
      <c r="S60" s="38" t="str">
        <f t="shared" si="8"/>
        <v>ISLA</v>
      </c>
      <c r="T60" s="37" t="str">
        <f t="shared" si="9"/>
        <v>NON</v>
      </c>
      <c r="U60" s="12" t="s">
        <v>2680</v>
      </c>
    </row>
    <row r="61" spans="1:21" x14ac:dyDescent="0.4">
      <c r="A61" s="37">
        <v>60</v>
      </c>
      <c r="B61" s="101" t="s">
        <v>3320</v>
      </c>
      <c r="C61" s="37" t="s">
        <v>14</v>
      </c>
      <c r="D61" s="37" t="s">
        <v>702</v>
      </c>
      <c r="E61" s="12" t="s">
        <v>2764</v>
      </c>
      <c r="F61" s="102">
        <v>46095.715277777781</v>
      </c>
      <c r="G61" s="102">
        <v>46095.75</v>
      </c>
      <c r="H61" s="102">
        <v>46095.75</v>
      </c>
      <c r="I61" s="153">
        <f t="shared" si="6"/>
        <v>3.4722222218988463E-2</v>
      </c>
      <c r="J61" s="103">
        <f t="shared" si="1"/>
        <v>49.999999995343387</v>
      </c>
      <c r="K61" s="153">
        <f t="shared" si="7"/>
        <v>3.4722222218988463E-2</v>
      </c>
      <c r="L61" s="103">
        <f t="shared" si="3"/>
        <v>49.999999995343387</v>
      </c>
      <c r="M61" s="139" t="s">
        <v>3467</v>
      </c>
      <c r="N61" s="9" t="s">
        <v>20</v>
      </c>
      <c r="O61" s="9" t="s">
        <v>20</v>
      </c>
      <c r="P61" s="83" t="s">
        <v>2628</v>
      </c>
      <c r="Q61" s="37" t="s">
        <v>678</v>
      </c>
      <c r="R61" s="12"/>
      <c r="S61" s="38" t="str">
        <f t="shared" si="8"/>
        <v>ISLA</v>
      </c>
      <c r="T61" s="37" t="str">
        <f t="shared" si="9"/>
        <v>NON</v>
      </c>
      <c r="U61" s="12" t="s">
        <v>2675</v>
      </c>
    </row>
    <row r="62" spans="1:21" x14ac:dyDescent="0.4">
      <c r="A62" s="37">
        <v>61</v>
      </c>
      <c r="B62" s="101" t="s">
        <v>3321</v>
      </c>
      <c r="C62" s="37" t="s">
        <v>2</v>
      </c>
      <c r="D62" s="37" t="s">
        <v>702</v>
      </c>
      <c r="E62" s="9" t="s">
        <v>2817</v>
      </c>
      <c r="F62" s="102">
        <v>46095.791666666664</v>
      </c>
      <c r="G62" s="102">
        <v>46096.009722222225</v>
      </c>
      <c r="H62" s="102">
        <v>46096.009722222225</v>
      </c>
      <c r="I62" s="153">
        <f t="shared" si="6"/>
        <v>0.21805555556056788</v>
      </c>
      <c r="J62" s="103">
        <f t="shared" si="1"/>
        <v>314.00000000721775</v>
      </c>
      <c r="K62" s="153">
        <f t="shared" si="7"/>
        <v>0.21805555556056788</v>
      </c>
      <c r="L62" s="103">
        <f t="shared" si="3"/>
        <v>314.00000000721775</v>
      </c>
      <c r="M62" s="139" t="s">
        <v>3468</v>
      </c>
      <c r="N62" s="100" t="s">
        <v>3469</v>
      </c>
      <c r="O62" s="12" t="s">
        <v>20</v>
      </c>
      <c r="P62" s="83" t="s">
        <v>2819</v>
      </c>
      <c r="Q62" s="37" t="s">
        <v>678</v>
      </c>
      <c r="R62" s="12"/>
      <c r="S62" s="38" t="str">
        <f t="shared" si="8"/>
        <v>OSLA</v>
      </c>
      <c r="T62" s="37" t="str">
        <f t="shared" si="9"/>
        <v>OUI</v>
      </c>
      <c r="U62" s="12" t="s">
        <v>2680</v>
      </c>
    </row>
    <row r="63" spans="1:21" x14ac:dyDescent="0.4">
      <c r="A63" s="37">
        <v>62</v>
      </c>
      <c r="B63" s="101" t="s">
        <v>3322</v>
      </c>
      <c r="C63" s="37" t="s">
        <v>2</v>
      </c>
      <c r="D63" s="37" t="s">
        <v>702</v>
      </c>
      <c r="E63" s="12" t="s">
        <v>3095</v>
      </c>
      <c r="F63" s="102">
        <v>46096.493055555555</v>
      </c>
      <c r="G63" s="102">
        <v>46096.631944444445</v>
      </c>
      <c r="H63" s="102">
        <v>46096.631944444445</v>
      </c>
      <c r="I63" s="153">
        <f t="shared" si="6"/>
        <v>0.13888888889050577</v>
      </c>
      <c r="J63" s="103">
        <f t="shared" si="1"/>
        <v>200.00000000232831</v>
      </c>
      <c r="K63" s="153">
        <f t="shared" si="7"/>
        <v>0.13888888889050577</v>
      </c>
      <c r="L63" s="103">
        <f t="shared" si="3"/>
        <v>200.00000000232831</v>
      </c>
      <c r="M63" s="139" t="s">
        <v>3468</v>
      </c>
      <c r="N63" s="9" t="s">
        <v>20</v>
      </c>
      <c r="O63" s="12" t="s">
        <v>20</v>
      </c>
      <c r="P63" s="83" t="s">
        <v>2628</v>
      </c>
      <c r="Q63" s="37" t="s">
        <v>678</v>
      </c>
      <c r="R63" s="12"/>
      <c r="S63" s="38" t="str">
        <f t="shared" si="8"/>
        <v>ISLA</v>
      </c>
      <c r="T63" s="37" t="str">
        <f t="shared" si="9"/>
        <v>NON</v>
      </c>
      <c r="U63" s="12" t="s">
        <v>2675</v>
      </c>
    </row>
    <row r="64" spans="1:21" ht="20.6" x14ac:dyDescent="0.4">
      <c r="A64" s="37">
        <v>63</v>
      </c>
      <c r="B64" s="101" t="s">
        <v>3323</v>
      </c>
      <c r="C64" s="37" t="s">
        <v>14</v>
      </c>
      <c r="D64" s="37" t="s">
        <v>702</v>
      </c>
      <c r="E64" s="9" t="s">
        <v>3324</v>
      </c>
      <c r="F64" s="102">
        <v>46096.826388888891</v>
      </c>
      <c r="G64" s="102">
        <v>46097.034722222219</v>
      </c>
      <c r="H64" s="102">
        <v>46097.034722222219</v>
      </c>
      <c r="I64" s="153">
        <f t="shared" si="6"/>
        <v>0.20833333332848269</v>
      </c>
      <c r="J64" s="103">
        <f t="shared" si="1"/>
        <v>299.99999999301508</v>
      </c>
      <c r="K64" s="153">
        <f t="shared" si="7"/>
        <v>0.20833333332848269</v>
      </c>
      <c r="L64" s="103">
        <f t="shared" si="3"/>
        <v>299.99999999301508</v>
      </c>
      <c r="M64" s="139" t="s">
        <v>3470</v>
      </c>
      <c r="N64" s="9" t="s">
        <v>3471</v>
      </c>
      <c r="O64" s="9" t="s">
        <v>20</v>
      </c>
      <c r="P64" s="83" t="s">
        <v>707</v>
      </c>
      <c r="Q64" s="37" t="s">
        <v>678</v>
      </c>
      <c r="R64" s="12"/>
      <c r="S64" s="38" t="str">
        <f t="shared" si="8"/>
        <v>ISLA</v>
      </c>
      <c r="T64" s="37" t="str">
        <f t="shared" si="9"/>
        <v>NON</v>
      </c>
      <c r="U64" s="12" t="s">
        <v>2675</v>
      </c>
    </row>
    <row r="65" spans="1:21" x14ac:dyDescent="0.4">
      <c r="A65" s="37">
        <v>64</v>
      </c>
      <c r="B65" s="101" t="s">
        <v>3325</v>
      </c>
      <c r="C65" s="37" t="s">
        <v>2</v>
      </c>
      <c r="D65" s="37" t="s">
        <v>702</v>
      </c>
      <c r="E65" s="12" t="s">
        <v>3326</v>
      </c>
      <c r="F65" s="102">
        <v>46096.829861111109</v>
      </c>
      <c r="G65" s="102">
        <v>46097.552083333336</v>
      </c>
      <c r="H65" s="102">
        <v>46097.552083333336</v>
      </c>
      <c r="I65" s="153">
        <f t="shared" si="6"/>
        <v>0.72222222222626442</v>
      </c>
      <c r="J65" s="103">
        <f t="shared" si="1"/>
        <v>1040.0000000058208</v>
      </c>
      <c r="K65" s="153">
        <f t="shared" si="7"/>
        <v>0.72222222222626442</v>
      </c>
      <c r="L65" s="103">
        <f t="shared" si="3"/>
        <v>1040.0000000058208</v>
      </c>
      <c r="M65" s="139" t="s">
        <v>3472</v>
      </c>
      <c r="N65" s="100" t="s">
        <v>20</v>
      </c>
      <c r="O65" s="12" t="s">
        <v>20</v>
      </c>
      <c r="P65" s="83" t="s">
        <v>2628</v>
      </c>
      <c r="Q65" s="37" t="s">
        <v>678</v>
      </c>
      <c r="R65" s="12"/>
      <c r="S65" s="38" t="str">
        <f t="shared" si="8"/>
        <v>OSLA</v>
      </c>
      <c r="T65" s="37" t="str">
        <f t="shared" si="9"/>
        <v>NON</v>
      </c>
      <c r="U65" s="12" t="s">
        <v>2675</v>
      </c>
    </row>
    <row r="66" spans="1:21" x14ac:dyDescent="0.4">
      <c r="A66" s="37">
        <v>65</v>
      </c>
      <c r="B66" s="101" t="s">
        <v>3327</v>
      </c>
      <c r="C66" s="37" t="s">
        <v>2</v>
      </c>
      <c r="D66" s="37" t="s">
        <v>702</v>
      </c>
      <c r="E66" s="12" t="s">
        <v>3328</v>
      </c>
      <c r="F66" s="102">
        <v>46097.300694444442</v>
      </c>
      <c r="G66" s="102">
        <v>46097.429166666669</v>
      </c>
      <c r="H66" s="102">
        <v>46097.429166666669</v>
      </c>
      <c r="I66" s="153">
        <f t="shared" si="6"/>
        <v>0.12847222222626442</v>
      </c>
      <c r="J66" s="103">
        <f t="shared" ref="J66:J129" si="10">I66*1440</f>
        <v>185.00000000582077</v>
      </c>
      <c r="K66" s="153">
        <f t="shared" si="7"/>
        <v>0.12847222222626442</v>
      </c>
      <c r="L66" s="103">
        <f t="shared" ref="L66:L129" si="11">K66*1440</f>
        <v>185.00000000582077</v>
      </c>
      <c r="M66" s="139" t="s">
        <v>3473</v>
      </c>
      <c r="N66" s="100" t="s">
        <v>20</v>
      </c>
      <c r="O66" s="12" t="s">
        <v>20</v>
      </c>
      <c r="P66" s="83" t="s">
        <v>2628</v>
      </c>
      <c r="Q66" s="37" t="s">
        <v>678</v>
      </c>
      <c r="R66" s="12"/>
      <c r="S66" s="38" t="str">
        <f t="shared" si="8"/>
        <v>ISLA</v>
      </c>
      <c r="T66" s="37" t="str">
        <f t="shared" si="9"/>
        <v>NON</v>
      </c>
      <c r="U66" s="12" t="s">
        <v>2675</v>
      </c>
    </row>
    <row r="67" spans="1:21" x14ac:dyDescent="0.4">
      <c r="A67" s="37">
        <v>66</v>
      </c>
      <c r="B67" s="101" t="s">
        <v>3329</v>
      </c>
      <c r="C67" s="37" t="s">
        <v>2</v>
      </c>
      <c r="D67" s="37" t="s">
        <v>702</v>
      </c>
      <c r="E67" s="12" t="s">
        <v>2848</v>
      </c>
      <c r="F67" s="102">
        <v>46097.361111111109</v>
      </c>
      <c r="G67" s="102">
        <v>46097.513888888891</v>
      </c>
      <c r="H67" s="102">
        <v>46097.513888888891</v>
      </c>
      <c r="I67" s="153">
        <f t="shared" ref="I67:I130" si="12">G67-F67</f>
        <v>0.15277777778101154</v>
      </c>
      <c r="J67" s="103">
        <f t="shared" si="10"/>
        <v>220.00000000465661</v>
      </c>
      <c r="K67" s="153">
        <f t="shared" ref="K67:K130" si="13">H67-F67</f>
        <v>0.15277777778101154</v>
      </c>
      <c r="L67" s="103">
        <f t="shared" si="11"/>
        <v>220.00000000465661</v>
      </c>
      <c r="M67" s="139" t="s">
        <v>3449</v>
      </c>
      <c r="N67" s="100" t="s">
        <v>20</v>
      </c>
      <c r="O67" s="12" t="s">
        <v>20</v>
      </c>
      <c r="P67" s="83" t="s">
        <v>2628</v>
      </c>
      <c r="Q67" s="37" t="s">
        <v>678</v>
      </c>
      <c r="R67" s="12"/>
      <c r="S67" s="38" t="str">
        <f t="shared" ref="S67:S130" si="14">IF(AND(C67="P1",J67&lt;=240),"ISLA",IF((AND(C67="P2",J67&lt;=480)),"ISLA",IF((AND(C67="P3",J67&lt;=2880)),"ISLA","OSLA")))</f>
        <v>ISLA</v>
      </c>
      <c r="T67" s="37" t="str">
        <f t="shared" ref="T67:T130" si="15">IF((AND(MID(P67,1,2)="IT",S67="OSLA")),"OUI","NON")</f>
        <v>NON</v>
      </c>
      <c r="U67" s="12" t="s">
        <v>2675</v>
      </c>
    </row>
    <row r="68" spans="1:21" x14ac:dyDescent="0.4">
      <c r="A68" s="37">
        <v>67</v>
      </c>
      <c r="B68" s="101" t="s">
        <v>3330</v>
      </c>
      <c r="C68" s="37" t="s">
        <v>2</v>
      </c>
      <c r="D68" s="37" t="s">
        <v>702</v>
      </c>
      <c r="E68" s="12" t="s">
        <v>3331</v>
      </c>
      <c r="F68" s="102">
        <v>46097.395138888889</v>
      </c>
      <c r="G68" s="102">
        <v>46097.513888888891</v>
      </c>
      <c r="H68" s="102">
        <v>46097.513888888891</v>
      </c>
      <c r="I68" s="153">
        <f t="shared" si="12"/>
        <v>0.11875000000145519</v>
      </c>
      <c r="J68" s="103">
        <f t="shared" si="10"/>
        <v>171.00000000209548</v>
      </c>
      <c r="K68" s="153">
        <f t="shared" si="13"/>
        <v>0.11875000000145519</v>
      </c>
      <c r="L68" s="103">
        <f t="shared" si="11"/>
        <v>171.00000000209548</v>
      </c>
      <c r="M68" s="139" t="s">
        <v>3474</v>
      </c>
      <c r="N68" s="100" t="s">
        <v>20</v>
      </c>
      <c r="O68" s="12" t="s">
        <v>20</v>
      </c>
      <c r="P68" s="83" t="s">
        <v>2628</v>
      </c>
      <c r="Q68" s="37" t="s">
        <v>678</v>
      </c>
      <c r="R68" s="172"/>
      <c r="S68" s="38" t="str">
        <f t="shared" si="14"/>
        <v>ISLA</v>
      </c>
      <c r="T68" s="37" t="str">
        <f t="shared" si="15"/>
        <v>NON</v>
      </c>
      <c r="U68" s="12" t="s">
        <v>2675</v>
      </c>
    </row>
    <row r="69" spans="1:21" x14ac:dyDescent="0.4">
      <c r="A69" s="37">
        <v>68</v>
      </c>
      <c r="B69" s="101" t="s">
        <v>3332</v>
      </c>
      <c r="C69" s="37" t="s">
        <v>2</v>
      </c>
      <c r="D69" s="37" t="s">
        <v>702</v>
      </c>
      <c r="E69" s="9" t="s">
        <v>2717</v>
      </c>
      <c r="F69" s="102">
        <v>46097.71875</v>
      </c>
      <c r="G69" s="102">
        <v>46097.788194444445</v>
      </c>
      <c r="H69" s="102">
        <v>46097.788194444445</v>
      </c>
      <c r="I69" s="153">
        <f t="shared" si="12"/>
        <v>6.9444444445252884E-2</v>
      </c>
      <c r="J69" s="103">
        <f t="shared" si="10"/>
        <v>100.00000000116415</v>
      </c>
      <c r="K69" s="153">
        <f t="shared" si="13"/>
        <v>6.9444444445252884E-2</v>
      </c>
      <c r="L69" s="103">
        <f t="shared" si="11"/>
        <v>100.00000000116415</v>
      </c>
      <c r="M69" s="139" t="s">
        <v>3465</v>
      </c>
      <c r="N69" s="100" t="s">
        <v>20</v>
      </c>
      <c r="O69" s="12" t="s">
        <v>20</v>
      </c>
      <c r="P69" s="83" t="s">
        <v>2846</v>
      </c>
      <c r="Q69" s="37" t="s">
        <v>678</v>
      </c>
      <c r="R69" s="12"/>
      <c r="S69" s="38" t="str">
        <f t="shared" si="14"/>
        <v>ISLA</v>
      </c>
      <c r="T69" s="37" t="str">
        <f t="shared" si="15"/>
        <v>NON</v>
      </c>
      <c r="U69" s="12" t="s">
        <v>2680</v>
      </c>
    </row>
    <row r="70" spans="1:21" x14ac:dyDescent="0.4">
      <c r="A70" s="37">
        <v>69</v>
      </c>
      <c r="B70" s="101" t="s">
        <v>3333</v>
      </c>
      <c r="C70" s="37" t="s">
        <v>2</v>
      </c>
      <c r="D70" s="37" t="s">
        <v>702</v>
      </c>
      <c r="E70" s="9" t="s">
        <v>2717</v>
      </c>
      <c r="F70" s="102">
        <v>46097.921527777777</v>
      </c>
      <c r="G70" s="102">
        <v>46098.019444444442</v>
      </c>
      <c r="H70" s="102">
        <v>46098.019444444442</v>
      </c>
      <c r="I70" s="153">
        <f t="shared" si="12"/>
        <v>9.7916666665696539E-2</v>
      </c>
      <c r="J70" s="103">
        <f t="shared" si="10"/>
        <v>140.99999999860302</v>
      </c>
      <c r="K70" s="153">
        <f t="shared" si="13"/>
        <v>9.7916666665696539E-2</v>
      </c>
      <c r="L70" s="103">
        <f t="shared" si="11"/>
        <v>140.99999999860302</v>
      </c>
      <c r="M70" s="139" t="s">
        <v>3465</v>
      </c>
      <c r="N70" s="100" t="s">
        <v>20</v>
      </c>
      <c r="O70" s="12" t="s">
        <v>20</v>
      </c>
      <c r="P70" s="83" t="s">
        <v>2846</v>
      </c>
      <c r="Q70" s="37" t="s">
        <v>678</v>
      </c>
      <c r="R70" s="12"/>
      <c r="S70" s="38" t="str">
        <f t="shared" si="14"/>
        <v>ISLA</v>
      </c>
      <c r="T70" s="37" t="str">
        <f t="shared" si="15"/>
        <v>NON</v>
      </c>
      <c r="U70" s="12" t="s">
        <v>2680</v>
      </c>
    </row>
    <row r="71" spans="1:21" ht="20.6" x14ac:dyDescent="0.4">
      <c r="A71" s="37">
        <v>70</v>
      </c>
      <c r="B71" s="101" t="s">
        <v>3334</v>
      </c>
      <c r="C71" s="37" t="s">
        <v>2</v>
      </c>
      <c r="D71" s="37" t="s">
        <v>702</v>
      </c>
      <c r="E71" s="9" t="s">
        <v>3335</v>
      </c>
      <c r="F71" s="102">
        <v>46097.958333333336</v>
      </c>
      <c r="G71" s="102">
        <v>46097.993055555555</v>
      </c>
      <c r="H71" s="102">
        <v>46097.993055555555</v>
      </c>
      <c r="I71" s="153">
        <f t="shared" si="12"/>
        <v>3.4722222218988463E-2</v>
      </c>
      <c r="J71" s="103">
        <f t="shared" si="10"/>
        <v>49.999999995343387</v>
      </c>
      <c r="K71" s="153">
        <f t="shared" si="13"/>
        <v>3.4722222218988463E-2</v>
      </c>
      <c r="L71" s="103">
        <f t="shared" si="11"/>
        <v>49.999999995343387</v>
      </c>
      <c r="M71" s="139" t="s">
        <v>3475</v>
      </c>
      <c r="N71" s="100" t="s">
        <v>3476</v>
      </c>
      <c r="O71" s="12" t="s">
        <v>105</v>
      </c>
      <c r="P71" s="83" t="s">
        <v>2628</v>
      </c>
      <c r="Q71" s="37" t="s">
        <v>678</v>
      </c>
      <c r="R71" s="12"/>
      <c r="S71" s="38" t="str">
        <f t="shared" si="14"/>
        <v>ISLA</v>
      </c>
      <c r="T71" s="37" t="str">
        <f t="shared" si="15"/>
        <v>NON</v>
      </c>
      <c r="U71" s="12" t="s">
        <v>2675</v>
      </c>
    </row>
    <row r="72" spans="1:21" x14ac:dyDescent="0.4">
      <c r="A72" s="37">
        <v>71</v>
      </c>
      <c r="B72" s="101" t="s">
        <v>3336</v>
      </c>
      <c r="C72" s="37" t="s">
        <v>2</v>
      </c>
      <c r="D72" s="37" t="s">
        <v>702</v>
      </c>
      <c r="E72" s="9" t="s">
        <v>2673</v>
      </c>
      <c r="F72" s="102">
        <v>46098.180555555555</v>
      </c>
      <c r="G72" s="102">
        <v>46098.215277777781</v>
      </c>
      <c r="H72" s="102">
        <v>46098.215277777781</v>
      </c>
      <c r="I72" s="153">
        <f t="shared" si="12"/>
        <v>3.4722222226264421E-2</v>
      </c>
      <c r="J72" s="103">
        <f t="shared" si="10"/>
        <v>50.000000005820766</v>
      </c>
      <c r="K72" s="153">
        <f t="shared" si="13"/>
        <v>3.4722222226264421E-2</v>
      </c>
      <c r="L72" s="103">
        <f t="shared" si="11"/>
        <v>50.000000005820766</v>
      </c>
      <c r="M72" s="139" t="s">
        <v>3215</v>
      </c>
      <c r="N72" s="100" t="s">
        <v>20</v>
      </c>
      <c r="O72" s="12" t="s">
        <v>20</v>
      </c>
      <c r="P72" s="83" t="s">
        <v>2815</v>
      </c>
      <c r="Q72" s="37" t="s">
        <v>678</v>
      </c>
      <c r="R72" s="12"/>
      <c r="S72" s="38" t="str">
        <f t="shared" si="14"/>
        <v>ISLA</v>
      </c>
      <c r="T72" s="37" t="str">
        <f t="shared" si="15"/>
        <v>NON</v>
      </c>
      <c r="U72" s="12" t="s">
        <v>2680</v>
      </c>
    </row>
    <row r="73" spans="1:21" x14ac:dyDescent="0.4">
      <c r="A73" s="37">
        <v>72</v>
      </c>
      <c r="B73" s="101" t="s">
        <v>3337</v>
      </c>
      <c r="C73" s="37" t="s">
        <v>2</v>
      </c>
      <c r="D73" s="37" t="s">
        <v>702</v>
      </c>
      <c r="E73" s="9" t="s">
        <v>2808</v>
      </c>
      <c r="F73" s="102">
        <v>46098.253472222219</v>
      </c>
      <c r="G73" s="102">
        <v>46098.8125</v>
      </c>
      <c r="H73" s="102">
        <v>46098.8125</v>
      </c>
      <c r="I73" s="153">
        <f t="shared" si="12"/>
        <v>0.55902777778101154</v>
      </c>
      <c r="J73" s="103">
        <f t="shared" si="10"/>
        <v>805.00000000465661</v>
      </c>
      <c r="K73" s="153">
        <f t="shared" si="13"/>
        <v>0.55902777778101154</v>
      </c>
      <c r="L73" s="103">
        <f t="shared" si="11"/>
        <v>805.00000000465661</v>
      </c>
      <c r="M73" s="139" t="s">
        <v>3189</v>
      </c>
      <c r="N73" s="100" t="s">
        <v>20</v>
      </c>
      <c r="O73" s="12" t="s">
        <v>20</v>
      </c>
      <c r="P73" s="83" t="s">
        <v>2813</v>
      </c>
      <c r="Q73" s="37" t="s">
        <v>678</v>
      </c>
      <c r="R73" s="12"/>
      <c r="S73" s="38" t="str">
        <f t="shared" si="14"/>
        <v>OSLA</v>
      </c>
      <c r="T73" s="37" t="str">
        <f t="shared" si="15"/>
        <v>OUI</v>
      </c>
      <c r="U73" s="12" t="s">
        <v>2675</v>
      </c>
    </row>
    <row r="74" spans="1:21" ht="20.6" x14ac:dyDescent="0.4">
      <c r="A74" s="37">
        <v>73</v>
      </c>
      <c r="B74" s="101" t="s">
        <v>3338</v>
      </c>
      <c r="C74" s="37" t="s">
        <v>14</v>
      </c>
      <c r="D74" s="37" t="s">
        <v>702</v>
      </c>
      <c r="E74" s="9" t="s">
        <v>3335</v>
      </c>
      <c r="F74" s="102">
        <v>46098.458333333336</v>
      </c>
      <c r="G74" s="102">
        <v>46100.673611111109</v>
      </c>
      <c r="H74" s="102">
        <v>46100.673611111109</v>
      </c>
      <c r="I74" s="153">
        <f t="shared" si="12"/>
        <v>2.2152777777737356</v>
      </c>
      <c r="J74" s="103">
        <f t="shared" si="10"/>
        <v>3189.9999999941792</v>
      </c>
      <c r="K74" s="153">
        <f t="shared" si="13"/>
        <v>2.2152777777737356</v>
      </c>
      <c r="L74" s="103">
        <f t="shared" si="11"/>
        <v>3189.9999999941792</v>
      </c>
      <c r="M74" s="139" t="s">
        <v>3477</v>
      </c>
      <c r="N74" s="100" t="s">
        <v>3478</v>
      </c>
      <c r="O74" s="12" t="s">
        <v>3479</v>
      </c>
      <c r="P74" s="83" t="s">
        <v>707</v>
      </c>
      <c r="Q74" s="37" t="s">
        <v>678</v>
      </c>
      <c r="R74" s="12"/>
      <c r="S74" s="38" t="str">
        <f t="shared" si="14"/>
        <v>OSLA</v>
      </c>
      <c r="T74" s="37" t="str">
        <f t="shared" si="15"/>
        <v>NON</v>
      </c>
      <c r="U74" s="12" t="s">
        <v>2675</v>
      </c>
    </row>
    <row r="75" spans="1:21" x14ac:dyDescent="0.4">
      <c r="A75" s="37">
        <v>74</v>
      </c>
      <c r="B75" s="101" t="s">
        <v>3339</v>
      </c>
      <c r="C75" s="37" t="s">
        <v>158</v>
      </c>
      <c r="D75" s="37" t="s">
        <v>702</v>
      </c>
      <c r="E75" s="9" t="s">
        <v>3340</v>
      </c>
      <c r="F75" s="102">
        <v>46098.472222222219</v>
      </c>
      <c r="G75" s="102">
        <v>46104.534722222219</v>
      </c>
      <c r="H75" s="102">
        <v>46104.534722222219</v>
      </c>
      <c r="I75" s="153">
        <f t="shared" si="12"/>
        <v>6.0625</v>
      </c>
      <c r="J75" s="103">
        <f t="shared" si="10"/>
        <v>8730</v>
      </c>
      <c r="K75" s="153">
        <f t="shared" si="13"/>
        <v>6.0625</v>
      </c>
      <c r="L75" s="103">
        <f t="shared" si="11"/>
        <v>8730</v>
      </c>
      <c r="M75" s="139" t="s">
        <v>3177</v>
      </c>
      <c r="N75" s="100" t="s">
        <v>3480</v>
      </c>
      <c r="O75" s="12" t="s">
        <v>3481</v>
      </c>
      <c r="P75" s="83" t="s">
        <v>2628</v>
      </c>
      <c r="Q75" s="37" t="s">
        <v>678</v>
      </c>
      <c r="R75" s="12"/>
      <c r="S75" s="38" t="str">
        <f t="shared" si="14"/>
        <v>OSLA</v>
      </c>
      <c r="T75" s="37" t="str">
        <f t="shared" si="15"/>
        <v>NON</v>
      </c>
      <c r="U75" s="12" t="s">
        <v>2675</v>
      </c>
    </row>
    <row r="76" spans="1:21" x14ac:dyDescent="0.4">
      <c r="A76" s="37">
        <v>75</v>
      </c>
      <c r="B76" s="101" t="s">
        <v>3341</v>
      </c>
      <c r="C76" s="37" t="s">
        <v>2</v>
      </c>
      <c r="D76" s="37" t="s">
        <v>702</v>
      </c>
      <c r="E76" s="9" t="s">
        <v>3287</v>
      </c>
      <c r="F76" s="102">
        <v>46098.597222222219</v>
      </c>
      <c r="G76" s="102">
        <v>46098.723611111112</v>
      </c>
      <c r="H76" s="102">
        <v>46098.723611111112</v>
      </c>
      <c r="I76" s="153">
        <f t="shared" si="12"/>
        <v>0.12638888889341615</v>
      </c>
      <c r="J76" s="103">
        <f t="shared" si="10"/>
        <v>182.00000000651926</v>
      </c>
      <c r="K76" s="153">
        <f t="shared" si="13"/>
        <v>0.12638888889341615</v>
      </c>
      <c r="L76" s="103">
        <f t="shared" si="11"/>
        <v>182.00000000651926</v>
      </c>
      <c r="M76" s="139" t="s">
        <v>3482</v>
      </c>
      <c r="N76" s="100" t="s">
        <v>3483</v>
      </c>
      <c r="O76" s="12" t="s">
        <v>3484</v>
      </c>
      <c r="P76" s="83" t="s">
        <v>2628</v>
      </c>
      <c r="Q76" s="37" t="s">
        <v>678</v>
      </c>
      <c r="R76" s="12"/>
      <c r="S76" s="38" t="str">
        <f t="shared" si="14"/>
        <v>ISLA</v>
      </c>
      <c r="T76" s="37" t="str">
        <f t="shared" si="15"/>
        <v>NON</v>
      </c>
      <c r="U76" s="12" t="s">
        <v>2675</v>
      </c>
    </row>
    <row r="77" spans="1:21" x14ac:dyDescent="0.4">
      <c r="A77" s="37">
        <v>76</v>
      </c>
      <c r="B77" s="101" t="s">
        <v>3342</v>
      </c>
      <c r="C77" s="37" t="s">
        <v>2</v>
      </c>
      <c r="D77" s="37" t="s">
        <v>702</v>
      </c>
      <c r="E77" s="9" t="s">
        <v>2827</v>
      </c>
      <c r="F77" s="102">
        <v>46099.284722222219</v>
      </c>
      <c r="G77" s="102">
        <v>46099.31527777778</v>
      </c>
      <c r="H77" s="102">
        <v>46099.31527777778</v>
      </c>
      <c r="I77" s="153">
        <f t="shared" si="12"/>
        <v>3.0555555560567882E-2</v>
      </c>
      <c r="J77" s="103">
        <f t="shared" si="10"/>
        <v>44.00000000721775</v>
      </c>
      <c r="K77" s="153">
        <f t="shared" si="13"/>
        <v>3.0555555560567882E-2</v>
      </c>
      <c r="L77" s="103">
        <f t="shared" si="11"/>
        <v>44.00000000721775</v>
      </c>
      <c r="M77" s="139" t="s">
        <v>2828</v>
      </c>
      <c r="N77" s="100" t="s">
        <v>3485</v>
      </c>
      <c r="O77" s="12" t="s">
        <v>3486</v>
      </c>
      <c r="P77" s="83" t="s">
        <v>2829</v>
      </c>
      <c r="Q77" s="37" t="s">
        <v>678</v>
      </c>
      <c r="R77" s="12"/>
      <c r="S77" s="38" t="str">
        <f t="shared" si="14"/>
        <v>ISLA</v>
      </c>
      <c r="T77" s="37" t="str">
        <f t="shared" si="15"/>
        <v>NON</v>
      </c>
      <c r="U77" s="12" t="s">
        <v>2680</v>
      </c>
    </row>
    <row r="78" spans="1:21" x14ac:dyDescent="0.4">
      <c r="A78" s="37">
        <v>77</v>
      </c>
      <c r="B78" s="101" t="s">
        <v>3343</v>
      </c>
      <c r="C78" s="37" t="s">
        <v>14</v>
      </c>
      <c r="D78" s="37" t="s">
        <v>702</v>
      </c>
      <c r="E78" s="9" t="s">
        <v>40</v>
      </c>
      <c r="F78" s="102">
        <v>46099.381249999999</v>
      </c>
      <c r="G78" s="102">
        <v>46099.436805555553</v>
      </c>
      <c r="H78" s="102">
        <v>46099.436805555553</v>
      </c>
      <c r="I78" s="153">
        <f t="shared" si="12"/>
        <v>5.5555555554747116E-2</v>
      </c>
      <c r="J78" s="103">
        <f t="shared" si="10"/>
        <v>79.999999998835847</v>
      </c>
      <c r="K78" s="153">
        <f t="shared" si="13"/>
        <v>5.5555555554747116E-2</v>
      </c>
      <c r="L78" s="103">
        <f t="shared" si="11"/>
        <v>79.999999998835847</v>
      </c>
      <c r="M78" s="139" t="s">
        <v>3487</v>
      </c>
      <c r="N78" s="100" t="s">
        <v>20</v>
      </c>
      <c r="O78" s="12" t="s">
        <v>20</v>
      </c>
      <c r="P78" s="83" t="s">
        <v>701</v>
      </c>
      <c r="Q78" s="37" t="s">
        <v>678</v>
      </c>
      <c r="R78" s="12"/>
      <c r="S78" s="38" t="str">
        <f t="shared" si="14"/>
        <v>ISLA</v>
      </c>
      <c r="T78" s="37" t="str">
        <f t="shared" si="15"/>
        <v>NON</v>
      </c>
      <c r="U78" s="12" t="s">
        <v>2675</v>
      </c>
    </row>
    <row r="79" spans="1:21" ht="20.6" x14ac:dyDescent="0.4">
      <c r="A79" s="37">
        <v>78</v>
      </c>
      <c r="B79" s="101" t="s">
        <v>3344</v>
      </c>
      <c r="C79" s="37" t="s">
        <v>2</v>
      </c>
      <c r="D79" s="37" t="s">
        <v>702</v>
      </c>
      <c r="E79" s="9" t="s">
        <v>3050</v>
      </c>
      <c r="F79" s="102">
        <v>46099.472222222219</v>
      </c>
      <c r="G79" s="102">
        <v>46099.555555555555</v>
      </c>
      <c r="H79" s="102">
        <v>46099.555555555555</v>
      </c>
      <c r="I79" s="153">
        <f t="shared" si="12"/>
        <v>8.3333333335758653E-2</v>
      </c>
      <c r="J79" s="103">
        <f t="shared" si="10"/>
        <v>120.00000000349246</v>
      </c>
      <c r="K79" s="153">
        <f t="shared" si="13"/>
        <v>8.3333333335758653E-2</v>
      </c>
      <c r="L79" s="103">
        <f t="shared" si="11"/>
        <v>120.00000000349246</v>
      </c>
      <c r="M79" s="139" t="s">
        <v>3461</v>
      </c>
      <c r="N79" s="100" t="s">
        <v>20</v>
      </c>
      <c r="O79" s="12" t="s">
        <v>20</v>
      </c>
      <c r="P79" s="83" t="s">
        <v>2684</v>
      </c>
      <c r="Q79" s="37" t="s">
        <v>678</v>
      </c>
      <c r="R79" s="12"/>
      <c r="S79" s="38" t="str">
        <f t="shared" si="14"/>
        <v>ISLA</v>
      </c>
      <c r="T79" s="37" t="str">
        <f t="shared" si="15"/>
        <v>NON</v>
      </c>
      <c r="U79" s="12" t="s">
        <v>2680</v>
      </c>
    </row>
    <row r="80" spans="1:21" x14ac:dyDescent="0.4">
      <c r="A80" s="37">
        <v>79</v>
      </c>
      <c r="B80" s="101" t="s">
        <v>3345</v>
      </c>
      <c r="C80" s="37" t="s">
        <v>2</v>
      </c>
      <c r="D80" s="37" t="s">
        <v>702</v>
      </c>
      <c r="E80" s="9" t="s">
        <v>937</v>
      </c>
      <c r="F80" s="102">
        <v>46099.538194444445</v>
      </c>
      <c r="G80" s="102">
        <v>46099.702777777777</v>
      </c>
      <c r="H80" s="102">
        <v>46099.702777777777</v>
      </c>
      <c r="I80" s="153">
        <f t="shared" si="12"/>
        <v>0.16458333333139308</v>
      </c>
      <c r="J80" s="103">
        <f t="shared" si="10"/>
        <v>236.99999999720603</v>
      </c>
      <c r="K80" s="153">
        <f t="shared" si="13"/>
        <v>0.16458333333139308</v>
      </c>
      <c r="L80" s="103">
        <f t="shared" si="11"/>
        <v>236.99999999720603</v>
      </c>
      <c r="M80" s="139" t="s">
        <v>3488</v>
      </c>
      <c r="N80" s="100" t="s">
        <v>20</v>
      </c>
      <c r="O80" s="12" t="s">
        <v>20</v>
      </c>
      <c r="P80" s="83" t="s">
        <v>3424</v>
      </c>
      <c r="Q80" s="37" t="s">
        <v>678</v>
      </c>
      <c r="R80" s="12"/>
      <c r="S80" s="38" t="str">
        <f t="shared" si="14"/>
        <v>ISLA</v>
      </c>
      <c r="T80" s="37" t="str">
        <f t="shared" si="15"/>
        <v>NON</v>
      </c>
      <c r="U80" s="12" t="s">
        <v>2680</v>
      </c>
    </row>
    <row r="81" spans="1:21" x14ac:dyDescent="0.4">
      <c r="A81" s="37">
        <v>80</v>
      </c>
      <c r="B81" s="101" t="s">
        <v>3346</v>
      </c>
      <c r="C81" s="37" t="s">
        <v>2</v>
      </c>
      <c r="D81" s="37" t="s">
        <v>702</v>
      </c>
      <c r="E81" s="9" t="s">
        <v>3287</v>
      </c>
      <c r="F81" s="102">
        <v>46099.597222222219</v>
      </c>
      <c r="G81" s="102">
        <v>46099.666666666664</v>
      </c>
      <c r="H81" s="102">
        <v>46099.666666666664</v>
      </c>
      <c r="I81" s="153">
        <f t="shared" si="12"/>
        <v>6.9444444445252884E-2</v>
      </c>
      <c r="J81" s="103">
        <f t="shared" si="10"/>
        <v>100.00000000116415</v>
      </c>
      <c r="K81" s="153">
        <f t="shared" si="13"/>
        <v>6.9444444445252884E-2</v>
      </c>
      <c r="L81" s="103">
        <f t="shared" si="11"/>
        <v>100.00000000116415</v>
      </c>
      <c r="M81" s="139" t="s">
        <v>3482</v>
      </c>
      <c r="N81" s="100" t="s">
        <v>20</v>
      </c>
      <c r="O81" s="12" t="s">
        <v>20</v>
      </c>
      <c r="P81" s="83" t="s">
        <v>2628</v>
      </c>
      <c r="Q81" s="37" t="s">
        <v>678</v>
      </c>
      <c r="R81" s="12"/>
      <c r="S81" s="38" t="str">
        <f t="shared" si="14"/>
        <v>ISLA</v>
      </c>
      <c r="T81" s="37" t="str">
        <f t="shared" si="15"/>
        <v>NON</v>
      </c>
      <c r="U81" s="12" t="s">
        <v>2675</v>
      </c>
    </row>
    <row r="82" spans="1:21" x14ac:dyDescent="0.4">
      <c r="A82" s="37">
        <v>81</v>
      </c>
      <c r="B82" s="101" t="s">
        <v>3347</v>
      </c>
      <c r="C82" s="37" t="s">
        <v>2</v>
      </c>
      <c r="D82" s="37" t="s">
        <v>702</v>
      </c>
      <c r="E82" s="9" t="s">
        <v>3306</v>
      </c>
      <c r="F82" s="102">
        <v>46099.928472222222</v>
      </c>
      <c r="G82" s="102">
        <v>46100.241666666669</v>
      </c>
      <c r="H82" s="102">
        <v>46100.241666666669</v>
      </c>
      <c r="I82" s="153">
        <f t="shared" si="12"/>
        <v>0.31319444444670808</v>
      </c>
      <c r="J82" s="103">
        <f t="shared" si="10"/>
        <v>451.00000000325963</v>
      </c>
      <c r="K82" s="153">
        <f t="shared" si="13"/>
        <v>0.31319444444670808</v>
      </c>
      <c r="L82" s="103">
        <f t="shared" si="11"/>
        <v>451.00000000325963</v>
      </c>
      <c r="M82" s="139" t="s">
        <v>3462</v>
      </c>
      <c r="N82" s="100" t="s">
        <v>20</v>
      </c>
      <c r="O82" s="12" t="s">
        <v>20</v>
      </c>
      <c r="P82" s="83" t="s">
        <v>3212</v>
      </c>
      <c r="Q82" s="37" t="s">
        <v>678</v>
      </c>
      <c r="R82" s="12"/>
      <c r="S82" s="38" t="str">
        <f t="shared" si="14"/>
        <v>OSLA</v>
      </c>
      <c r="T82" s="37" t="str">
        <f t="shared" si="15"/>
        <v>OUI</v>
      </c>
      <c r="U82" s="12" t="s">
        <v>2675</v>
      </c>
    </row>
    <row r="83" spans="1:21" x14ac:dyDescent="0.4">
      <c r="A83" s="37">
        <v>82</v>
      </c>
      <c r="B83" s="101" t="s">
        <v>3348</v>
      </c>
      <c r="C83" s="37" t="s">
        <v>2</v>
      </c>
      <c r="D83" s="37" t="s">
        <v>702</v>
      </c>
      <c r="E83" s="9" t="s">
        <v>2673</v>
      </c>
      <c r="F83" s="102">
        <v>46100.375</v>
      </c>
      <c r="G83" s="102">
        <v>46100.395833333336</v>
      </c>
      <c r="H83" s="102">
        <v>46100.395833333336</v>
      </c>
      <c r="I83" s="153">
        <f t="shared" si="12"/>
        <v>2.0833333335758653E-2</v>
      </c>
      <c r="J83" s="103">
        <f t="shared" si="10"/>
        <v>30.00000000349246</v>
      </c>
      <c r="K83" s="153">
        <f t="shared" si="13"/>
        <v>2.0833333335758653E-2</v>
      </c>
      <c r="L83" s="103">
        <f t="shared" si="11"/>
        <v>30.00000000349246</v>
      </c>
      <c r="M83" s="139" t="s">
        <v>3215</v>
      </c>
      <c r="N83" s="100" t="s">
        <v>20</v>
      </c>
      <c r="O83" s="12" t="s">
        <v>20</v>
      </c>
      <c r="P83" s="83" t="s">
        <v>2815</v>
      </c>
      <c r="Q83" s="37" t="s">
        <v>678</v>
      </c>
      <c r="R83" s="12"/>
      <c r="S83" s="38" t="str">
        <f t="shared" si="14"/>
        <v>ISLA</v>
      </c>
      <c r="T83" s="37" t="str">
        <f t="shared" si="15"/>
        <v>NON</v>
      </c>
      <c r="U83" s="12" t="s">
        <v>2680</v>
      </c>
    </row>
    <row r="84" spans="1:21" x14ac:dyDescent="0.4">
      <c r="A84" s="37">
        <v>83</v>
      </c>
      <c r="B84" s="101" t="s">
        <v>3349</v>
      </c>
      <c r="C84" s="37" t="s">
        <v>2</v>
      </c>
      <c r="D84" s="37" t="s">
        <v>702</v>
      </c>
      <c r="E84" s="9" t="s">
        <v>937</v>
      </c>
      <c r="F84" s="102">
        <v>46100.423611111109</v>
      </c>
      <c r="G84" s="102">
        <v>46100.534722222219</v>
      </c>
      <c r="H84" s="102">
        <v>46100.534722222219</v>
      </c>
      <c r="I84" s="153">
        <f t="shared" si="12"/>
        <v>0.11111111110949423</v>
      </c>
      <c r="J84" s="103">
        <f t="shared" si="10"/>
        <v>159.99999999767169</v>
      </c>
      <c r="K84" s="153">
        <f t="shared" si="13"/>
        <v>0.11111111110949423</v>
      </c>
      <c r="L84" s="103">
        <f t="shared" si="11"/>
        <v>159.99999999767169</v>
      </c>
      <c r="M84" s="139" t="s">
        <v>3488</v>
      </c>
      <c r="N84" s="100" t="s">
        <v>3489</v>
      </c>
      <c r="O84" s="12" t="s">
        <v>3490</v>
      </c>
      <c r="P84" s="83" t="s">
        <v>3424</v>
      </c>
      <c r="Q84" s="37" t="s">
        <v>678</v>
      </c>
      <c r="R84" s="12"/>
      <c r="S84" s="38" t="str">
        <f t="shared" si="14"/>
        <v>ISLA</v>
      </c>
      <c r="T84" s="37" t="str">
        <f t="shared" si="15"/>
        <v>NON</v>
      </c>
      <c r="U84" s="12" t="s">
        <v>2735</v>
      </c>
    </row>
    <row r="85" spans="1:21" x14ac:dyDescent="0.4">
      <c r="A85" s="37">
        <v>84</v>
      </c>
      <c r="B85" s="101" t="s">
        <v>3350</v>
      </c>
      <c r="C85" s="37" t="s">
        <v>2</v>
      </c>
      <c r="D85" s="37" t="s">
        <v>702</v>
      </c>
      <c r="E85" s="9" t="s">
        <v>3287</v>
      </c>
      <c r="F85" s="102">
        <v>46100.5625</v>
      </c>
      <c r="G85" s="102">
        <v>46101.104166666664</v>
      </c>
      <c r="H85" s="102">
        <v>46101.104166666664</v>
      </c>
      <c r="I85" s="153">
        <f t="shared" si="12"/>
        <v>0.54166666666424135</v>
      </c>
      <c r="J85" s="103">
        <f t="shared" si="10"/>
        <v>779.99999999650754</v>
      </c>
      <c r="K85" s="153">
        <f t="shared" si="13"/>
        <v>0.54166666666424135</v>
      </c>
      <c r="L85" s="103">
        <f t="shared" si="11"/>
        <v>779.99999999650754</v>
      </c>
      <c r="M85" s="139" t="s">
        <v>3199</v>
      </c>
      <c r="N85" s="100" t="s">
        <v>20</v>
      </c>
      <c r="O85" s="12" t="s">
        <v>20</v>
      </c>
      <c r="P85" s="83" t="s">
        <v>2628</v>
      </c>
      <c r="Q85" s="37" t="s">
        <v>678</v>
      </c>
      <c r="R85" s="12"/>
      <c r="S85" s="38" t="str">
        <f t="shared" si="14"/>
        <v>OSLA</v>
      </c>
      <c r="T85" s="37" t="str">
        <f t="shared" si="15"/>
        <v>NON</v>
      </c>
      <c r="U85" s="12" t="s">
        <v>2675</v>
      </c>
    </row>
    <row r="86" spans="1:21" x14ac:dyDescent="0.4">
      <c r="A86" s="37">
        <v>85</v>
      </c>
      <c r="B86" s="101" t="s">
        <v>3351</v>
      </c>
      <c r="C86" s="37" t="s">
        <v>2</v>
      </c>
      <c r="D86" s="37" t="s">
        <v>702</v>
      </c>
      <c r="E86" s="9" t="s">
        <v>2885</v>
      </c>
      <c r="F86" s="102">
        <v>46100.565972222219</v>
      </c>
      <c r="G86" s="102">
        <v>46100.635416666664</v>
      </c>
      <c r="H86" s="102">
        <v>46100.635416666664</v>
      </c>
      <c r="I86" s="153">
        <f t="shared" si="12"/>
        <v>6.9444444445252884E-2</v>
      </c>
      <c r="J86" s="103">
        <f t="shared" si="10"/>
        <v>100.00000000116415</v>
      </c>
      <c r="K86" s="153">
        <f t="shared" si="13"/>
        <v>6.9444444445252884E-2</v>
      </c>
      <c r="L86" s="103">
        <f t="shared" si="11"/>
        <v>100.00000000116415</v>
      </c>
      <c r="M86" s="139" t="s">
        <v>3491</v>
      </c>
      <c r="N86" s="100" t="s">
        <v>3492</v>
      </c>
      <c r="O86" s="12" t="s">
        <v>20</v>
      </c>
      <c r="P86" s="83" t="s">
        <v>2684</v>
      </c>
      <c r="Q86" s="37" t="s">
        <v>678</v>
      </c>
      <c r="R86" s="12"/>
      <c r="S86" s="38" t="str">
        <f t="shared" si="14"/>
        <v>ISLA</v>
      </c>
      <c r="T86" s="37" t="str">
        <f t="shared" si="15"/>
        <v>NON</v>
      </c>
      <c r="U86" s="12" t="s">
        <v>2680</v>
      </c>
    </row>
    <row r="87" spans="1:21" x14ac:dyDescent="0.4">
      <c r="A87" s="37">
        <v>86</v>
      </c>
      <c r="B87" s="101" t="s">
        <v>3352</v>
      </c>
      <c r="C87" s="37" t="s">
        <v>2</v>
      </c>
      <c r="D87" s="37" t="s">
        <v>702</v>
      </c>
      <c r="E87" s="9" t="s">
        <v>2755</v>
      </c>
      <c r="F87" s="102">
        <v>46100.569444444445</v>
      </c>
      <c r="G87" s="102">
        <v>46100.638888888891</v>
      </c>
      <c r="H87" s="102">
        <v>46100.638888888891</v>
      </c>
      <c r="I87" s="153">
        <f t="shared" si="12"/>
        <v>6.9444444445252884E-2</v>
      </c>
      <c r="J87" s="103">
        <f t="shared" si="10"/>
        <v>100.00000000116415</v>
      </c>
      <c r="K87" s="153">
        <f t="shared" si="13"/>
        <v>6.9444444445252884E-2</v>
      </c>
      <c r="L87" s="103">
        <f t="shared" si="11"/>
        <v>100.00000000116415</v>
      </c>
      <c r="M87" s="139" t="s">
        <v>3493</v>
      </c>
      <c r="N87" s="100" t="s">
        <v>20</v>
      </c>
      <c r="O87" s="12" t="s">
        <v>20</v>
      </c>
      <c r="P87" s="83" t="s">
        <v>3494</v>
      </c>
      <c r="Q87" s="37" t="s">
        <v>678</v>
      </c>
      <c r="R87" s="12"/>
      <c r="S87" s="38" t="str">
        <f t="shared" si="14"/>
        <v>ISLA</v>
      </c>
      <c r="T87" s="37" t="str">
        <f t="shared" si="15"/>
        <v>NON</v>
      </c>
      <c r="U87" s="12" t="s">
        <v>2680</v>
      </c>
    </row>
    <row r="88" spans="1:21" x14ac:dyDescent="0.4">
      <c r="A88" s="37">
        <v>87</v>
      </c>
      <c r="B88" s="101" t="s">
        <v>3353</v>
      </c>
      <c r="C88" s="37" t="s">
        <v>14</v>
      </c>
      <c r="D88" s="37" t="s">
        <v>702</v>
      </c>
      <c r="E88" s="9" t="s">
        <v>937</v>
      </c>
      <c r="F88" s="102">
        <v>46100.710416666669</v>
      </c>
      <c r="G88" s="102">
        <v>46101.40625</v>
      </c>
      <c r="H88" s="102">
        <v>46101.40625</v>
      </c>
      <c r="I88" s="153">
        <f t="shared" si="12"/>
        <v>0.69583333333139308</v>
      </c>
      <c r="J88" s="103">
        <f t="shared" si="10"/>
        <v>1001.999999997206</v>
      </c>
      <c r="K88" s="153">
        <f t="shared" si="13"/>
        <v>0.69583333333139308</v>
      </c>
      <c r="L88" s="103">
        <f t="shared" si="11"/>
        <v>1001.999999997206</v>
      </c>
      <c r="M88" s="139" t="s">
        <v>3414</v>
      </c>
      <c r="N88" s="100" t="s">
        <v>20</v>
      </c>
      <c r="O88" s="12" t="s">
        <v>20</v>
      </c>
      <c r="P88" s="83" t="s">
        <v>3424</v>
      </c>
      <c r="Q88" s="37" t="s">
        <v>678</v>
      </c>
      <c r="R88" s="12"/>
      <c r="S88" s="38" t="str">
        <f t="shared" si="14"/>
        <v>OSLA</v>
      </c>
      <c r="T88" s="37" t="str">
        <f t="shared" si="15"/>
        <v>OUI</v>
      </c>
      <c r="U88" s="12" t="s">
        <v>2680</v>
      </c>
    </row>
    <row r="89" spans="1:21" x14ac:dyDescent="0.4">
      <c r="A89" s="37">
        <v>88</v>
      </c>
      <c r="B89" s="101" t="s">
        <v>3354</v>
      </c>
      <c r="C89" s="37" t="s">
        <v>2</v>
      </c>
      <c r="D89" s="37" t="s">
        <v>702</v>
      </c>
      <c r="E89" s="9" t="s">
        <v>954</v>
      </c>
      <c r="F89" s="102">
        <v>46102.018750000003</v>
      </c>
      <c r="G89" s="102">
        <v>46102.180555555555</v>
      </c>
      <c r="H89" s="102">
        <v>46102.180555555555</v>
      </c>
      <c r="I89" s="153">
        <f t="shared" si="12"/>
        <v>0.16180555555183673</v>
      </c>
      <c r="J89" s="103">
        <f t="shared" si="10"/>
        <v>232.9999999946449</v>
      </c>
      <c r="K89" s="153">
        <f t="shared" si="13"/>
        <v>0.16180555555183673</v>
      </c>
      <c r="L89" s="103">
        <f t="shared" si="11"/>
        <v>232.9999999946449</v>
      </c>
      <c r="M89" s="139" t="s">
        <v>2996</v>
      </c>
      <c r="N89" s="100" t="s">
        <v>20</v>
      </c>
      <c r="O89" s="12" t="s">
        <v>20</v>
      </c>
      <c r="P89" s="83" t="s">
        <v>2997</v>
      </c>
      <c r="Q89" s="37" t="s">
        <v>678</v>
      </c>
      <c r="R89" s="12"/>
      <c r="S89" s="38" t="str">
        <f t="shared" si="14"/>
        <v>ISLA</v>
      </c>
      <c r="T89" s="37" t="str">
        <f t="shared" si="15"/>
        <v>NON</v>
      </c>
      <c r="U89" s="12" t="s">
        <v>2680</v>
      </c>
    </row>
    <row r="90" spans="1:21" x14ac:dyDescent="0.4">
      <c r="A90" s="37">
        <v>89</v>
      </c>
      <c r="B90" s="101" t="s">
        <v>3355</v>
      </c>
      <c r="C90" s="37" t="s">
        <v>2</v>
      </c>
      <c r="D90" s="37" t="s">
        <v>702</v>
      </c>
      <c r="E90" s="12" t="s">
        <v>2717</v>
      </c>
      <c r="F90" s="102">
        <v>46102.540277777778</v>
      </c>
      <c r="G90" s="102">
        <v>46102.8125</v>
      </c>
      <c r="H90" s="102">
        <v>46102.8125</v>
      </c>
      <c r="I90" s="153">
        <f t="shared" si="12"/>
        <v>0.27222222222189885</v>
      </c>
      <c r="J90" s="103">
        <f t="shared" si="10"/>
        <v>391.99999999953434</v>
      </c>
      <c r="K90" s="153">
        <f t="shared" si="13"/>
        <v>0.27222222222189885</v>
      </c>
      <c r="L90" s="103">
        <f t="shared" si="11"/>
        <v>391.99999999953434</v>
      </c>
      <c r="M90" s="139" t="s">
        <v>2718</v>
      </c>
      <c r="N90" s="9" t="s">
        <v>20</v>
      </c>
      <c r="O90" s="12" t="s">
        <v>20</v>
      </c>
      <c r="P90" s="83" t="s">
        <v>2846</v>
      </c>
      <c r="Q90" s="37" t="s">
        <v>678</v>
      </c>
      <c r="R90" s="12"/>
      <c r="S90" s="38" t="str">
        <f t="shared" si="14"/>
        <v>OSLA</v>
      </c>
      <c r="T90" s="37" t="str">
        <f t="shared" si="15"/>
        <v>OUI</v>
      </c>
      <c r="U90" s="12" t="s">
        <v>2680</v>
      </c>
    </row>
    <row r="91" spans="1:21" ht="20.6" x14ac:dyDescent="0.4">
      <c r="A91" s="37">
        <v>90</v>
      </c>
      <c r="B91" s="101" t="s">
        <v>3356</v>
      </c>
      <c r="C91" s="37" t="s">
        <v>2</v>
      </c>
      <c r="D91" s="37" t="s">
        <v>702</v>
      </c>
      <c r="E91" s="9" t="s">
        <v>3357</v>
      </c>
      <c r="F91" s="102">
        <v>46102.586805555555</v>
      </c>
      <c r="G91" s="102">
        <v>46102.729166666664</v>
      </c>
      <c r="H91" s="102">
        <v>46102.729166666664</v>
      </c>
      <c r="I91" s="153">
        <f t="shared" si="12"/>
        <v>0.14236111110949423</v>
      </c>
      <c r="J91" s="103">
        <f t="shared" si="10"/>
        <v>204.99999999767169</v>
      </c>
      <c r="K91" s="153">
        <f t="shared" si="13"/>
        <v>0.14236111110949423</v>
      </c>
      <c r="L91" s="103">
        <f t="shared" si="11"/>
        <v>204.99999999767169</v>
      </c>
      <c r="M91" s="139" t="s">
        <v>3495</v>
      </c>
      <c r="N91" s="100" t="s">
        <v>2903</v>
      </c>
      <c r="O91" s="12" t="s">
        <v>2744</v>
      </c>
      <c r="P91" s="83" t="s">
        <v>2628</v>
      </c>
      <c r="Q91" s="37" t="s">
        <v>678</v>
      </c>
      <c r="R91" s="12"/>
      <c r="S91" s="38" t="str">
        <f t="shared" si="14"/>
        <v>ISLA</v>
      </c>
      <c r="T91" s="37" t="str">
        <f t="shared" si="15"/>
        <v>NON</v>
      </c>
      <c r="U91" s="12" t="s">
        <v>2675</v>
      </c>
    </row>
    <row r="92" spans="1:21" x14ac:dyDescent="0.4">
      <c r="A92" s="37">
        <v>91</v>
      </c>
      <c r="B92" s="101" t="s">
        <v>3358</v>
      </c>
      <c r="C92" s="37" t="s">
        <v>2</v>
      </c>
      <c r="D92" s="37" t="s">
        <v>702</v>
      </c>
      <c r="E92" s="12" t="s">
        <v>2673</v>
      </c>
      <c r="F92" s="102">
        <v>46102.736111111109</v>
      </c>
      <c r="G92" s="102">
        <v>46102.868055555555</v>
      </c>
      <c r="H92" s="102">
        <v>46102.868055555555</v>
      </c>
      <c r="I92" s="153">
        <f t="shared" si="12"/>
        <v>0.13194444444525288</v>
      </c>
      <c r="J92" s="103">
        <f t="shared" si="10"/>
        <v>190.00000000116415</v>
      </c>
      <c r="K92" s="153">
        <f t="shared" si="13"/>
        <v>0.13194444444525288</v>
      </c>
      <c r="L92" s="103">
        <f t="shared" si="11"/>
        <v>190.00000000116415</v>
      </c>
      <c r="M92" s="139" t="s">
        <v>3215</v>
      </c>
      <c r="N92" s="100" t="s">
        <v>20</v>
      </c>
      <c r="O92" s="12" t="s">
        <v>20</v>
      </c>
      <c r="P92" s="83" t="s">
        <v>2815</v>
      </c>
      <c r="Q92" s="37" t="s">
        <v>678</v>
      </c>
      <c r="R92" s="12"/>
      <c r="S92" s="38" t="str">
        <f t="shared" si="14"/>
        <v>ISLA</v>
      </c>
      <c r="T92" s="37" t="str">
        <f t="shared" si="15"/>
        <v>NON</v>
      </c>
      <c r="U92" s="12" t="s">
        <v>2680</v>
      </c>
    </row>
    <row r="93" spans="1:21" ht="20.6" x14ac:dyDescent="0.4">
      <c r="A93" s="37">
        <v>92</v>
      </c>
      <c r="B93" s="101" t="s">
        <v>2706</v>
      </c>
      <c r="C93" s="37" t="s">
        <v>2</v>
      </c>
      <c r="D93" s="37" t="s">
        <v>702</v>
      </c>
      <c r="E93" s="12" t="s">
        <v>3252</v>
      </c>
      <c r="F93" s="102">
        <v>46103.041666666664</v>
      </c>
      <c r="G93" s="102">
        <v>46103.222222222219</v>
      </c>
      <c r="H93" s="102">
        <v>46103.222222222219</v>
      </c>
      <c r="I93" s="153">
        <f t="shared" si="12"/>
        <v>0.18055555555474712</v>
      </c>
      <c r="J93" s="103">
        <f t="shared" si="10"/>
        <v>259.99999999883585</v>
      </c>
      <c r="K93" s="153">
        <f t="shared" si="13"/>
        <v>0.18055555555474712</v>
      </c>
      <c r="L93" s="103">
        <f t="shared" si="11"/>
        <v>259.99999999883585</v>
      </c>
      <c r="M93" s="139" t="s">
        <v>2753</v>
      </c>
      <c r="N93" s="100" t="s">
        <v>20</v>
      </c>
      <c r="O93" s="12" t="s">
        <v>20</v>
      </c>
      <c r="P93" s="83" t="s">
        <v>2628</v>
      </c>
      <c r="Q93" s="37" t="s">
        <v>678</v>
      </c>
      <c r="R93" s="12"/>
      <c r="S93" s="38" t="str">
        <f t="shared" si="14"/>
        <v>OSLA</v>
      </c>
      <c r="T93" s="37" t="str">
        <f t="shared" si="15"/>
        <v>NON</v>
      </c>
      <c r="U93" s="12" t="s">
        <v>2675</v>
      </c>
    </row>
    <row r="94" spans="1:21" x14ac:dyDescent="0.4">
      <c r="A94" s="37">
        <v>93</v>
      </c>
      <c r="B94" s="101" t="s">
        <v>3359</v>
      </c>
      <c r="C94" s="37" t="s">
        <v>2</v>
      </c>
      <c r="D94" s="37" t="s">
        <v>702</v>
      </c>
      <c r="E94" s="9" t="s">
        <v>3275</v>
      </c>
      <c r="F94" s="102">
        <v>46103.515972222223</v>
      </c>
      <c r="G94" s="102">
        <v>46103.53402777778</v>
      </c>
      <c r="H94" s="102">
        <v>46103.53402777778</v>
      </c>
      <c r="I94" s="153">
        <f t="shared" si="12"/>
        <v>1.8055555556202307E-2</v>
      </c>
      <c r="J94" s="103">
        <f t="shared" si="10"/>
        <v>26.000000000931323</v>
      </c>
      <c r="K94" s="153">
        <f t="shared" si="13"/>
        <v>1.8055555556202307E-2</v>
      </c>
      <c r="L94" s="103">
        <f t="shared" si="11"/>
        <v>26.000000000931323</v>
      </c>
      <c r="M94" s="139" t="s">
        <v>2878</v>
      </c>
      <c r="N94" s="100" t="s">
        <v>20</v>
      </c>
      <c r="O94" s="12" t="s">
        <v>20</v>
      </c>
      <c r="P94" s="83" t="s">
        <v>3430</v>
      </c>
      <c r="Q94" s="37" t="s">
        <v>678</v>
      </c>
      <c r="R94" s="12"/>
      <c r="S94" s="38" t="str">
        <f t="shared" si="14"/>
        <v>ISLA</v>
      </c>
      <c r="T94" s="37" t="str">
        <f t="shared" si="15"/>
        <v>NON</v>
      </c>
      <c r="U94" s="12" t="s">
        <v>2680</v>
      </c>
    </row>
    <row r="95" spans="1:21" x14ac:dyDescent="0.4">
      <c r="A95" s="37">
        <v>94</v>
      </c>
      <c r="B95" s="101" t="s">
        <v>3360</v>
      </c>
      <c r="C95" s="37" t="s">
        <v>2</v>
      </c>
      <c r="D95" s="37" t="s">
        <v>702</v>
      </c>
      <c r="E95" s="12" t="s">
        <v>954</v>
      </c>
      <c r="F95" s="102">
        <v>46104.295138888891</v>
      </c>
      <c r="G95" s="102">
        <v>46104.337500000001</v>
      </c>
      <c r="H95" s="102">
        <v>46104.337500000001</v>
      </c>
      <c r="I95" s="153">
        <f t="shared" si="12"/>
        <v>4.2361111110949423E-2</v>
      </c>
      <c r="J95" s="103">
        <f t="shared" si="10"/>
        <v>60.999999999767169</v>
      </c>
      <c r="K95" s="153">
        <f t="shared" si="13"/>
        <v>4.2361111110949423E-2</v>
      </c>
      <c r="L95" s="103">
        <f t="shared" si="11"/>
        <v>60.999999999767169</v>
      </c>
      <c r="M95" s="139" t="s">
        <v>2996</v>
      </c>
      <c r="N95" s="9" t="s">
        <v>20</v>
      </c>
      <c r="O95" s="12" t="s">
        <v>20</v>
      </c>
      <c r="P95" s="37" t="s">
        <v>2997</v>
      </c>
      <c r="Q95" s="37" t="s">
        <v>678</v>
      </c>
      <c r="R95" s="12"/>
      <c r="S95" s="38" t="str">
        <f t="shared" si="14"/>
        <v>ISLA</v>
      </c>
      <c r="T95" s="37" t="str">
        <f t="shared" si="15"/>
        <v>NON</v>
      </c>
      <c r="U95" s="12" t="s">
        <v>2680</v>
      </c>
    </row>
    <row r="96" spans="1:21" x14ac:dyDescent="0.4">
      <c r="A96" s="37">
        <v>95</v>
      </c>
      <c r="B96" s="101" t="s">
        <v>3361</v>
      </c>
      <c r="C96" s="37" t="s">
        <v>14</v>
      </c>
      <c r="D96" s="37" t="s">
        <v>702</v>
      </c>
      <c r="E96" s="9" t="s">
        <v>937</v>
      </c>
      <c r="F96" s="102">
        <v>46104.420138888891</v>
      </c>
      <c r="G96" s="102">
        <v>46104.455555555556</v>
      </c>
      <c r="H96" s="102">
        <v>46104.455555555556</v>
      </c>
      <c r="I96" s="153">
        <f t="shared" si="12"/>
        <v>3.5416666665696539E-2</v>
      </c>
      <c r="J96" s="103">
        <f t="shared" si="10"/>
        <v>50.999999998603016</v>
      </c>
      <c r="K96" s="153">
        <f t="shared" si="13"/>
        <v>3.5416666665696539E-2</v>
      </c>
      <c r="L96" s="103">
        <f t="shared" si="11"/>
        <v>50.999999998603016</v>
      </c>
      <c r="M96" s="139" t="s">
        <v>3414</v>
      </c>
      <c r="N96" s="100" t="s">
        <v>20</v>
      </c>
      <c r="O96" s="9" t="s">
        <v>20</v>
      </c>
      <c r="P96" s="83" t="s">
        <v>3424</v>
      </c>
      <c r="Q96" s="37" t="s">
        <v>678</v>
      </c>
      <c r="R96" s="12"/>
      <c r="S96" s="38" t="str">
        <f t="shared" si="14"/>
        <v>ISLA</v>
      </c>
      <c r="T96" s="37" t="str">
        <f t="shared" si="15"/>
        <v>NON</v>
      </c>
      <c r="U96" s="12" t="s">
        <v>2680</v>
      </c>
    </row>
    <row r="97" spans="1:21" x14ac:dyDescent="0.4">
      <c r="A97" s="37">
        <v>96</v>
      </c>
      <c r="B97" s="101" t="s">
        <v>3362</v>
      </c>
      <c r="C97" s="37" t="s">
        <v>2</v>
      </c>
      <c r="D97" s="37" t="s">
        <v>702</v>
      </c>
      <c r="E97" s="12" t="s">
        <v>3275</v>
      </c>
      <c r="F97" s="102">
        <v>46104.458333333336</v>
      </c>
      <c r="G97" s="102">
        <v>46104.509027777778</v>
      </c>
      <c r="H97" s="102">
        <v>46104.509027777778</v>
      </c>
      <c r="I97" s="153">
        <f t="shared" si="12"/>
        <v>5.0694444442342501E-2</v>
      </c>
      <c r="J97" s="103">
        <f t="shared" si="10"/>
        <v>72.999999996973202</v>
      </c>
      <c r="K97" s="153">
        <f t="shared" si="13"/>
        <v>5.0694444442342501E-2</v>
      </c>
      <c r="L97" s="103">
        <f t="shared" si="11"/>
        <v>72.999999996973202</v>
      </c>
      <c r="M97" s="139" t="s">
        <v>2878</v>
      </c>
      <c r="N97" s="9" t="s">
        <v>20</v>
      </c>
      <c r="O97" s="12" t="s">
        <v>20</v>
      </c>
      <c r="P97" s="83" t="s">
        <v>3430</v>
      </c>
      <c r="Q97" s="37" t="s">
        <v>678</v>
      </c>
      <c r="R97" s="12"/>
      <c r="S97" s="38" t="str">
        <f t="shared" si="14"/>
        <v>ISLA</v>
      </c>
      <c r="T97" s="37" t="str">
        <f t="shared" si="15"/>
        <v>NON</v>
      </c>
      <c r="U97" s="12" t="s">
        <v>2680</v>
      </c>
    </row>
    <row r="98" spans="1:21" s="73" customFormat="1" x14ac:dyDescent="0.4">
      <c r="A98" s="37">
        <v>97</v>
      </c>
      <c r="B98" s="101" t="s">
        <v>3363</v>
      </c>
      <c r="C98" s="37" t="s">
        <v>2</v>
      </c>
      <c r="D98" s="37" t="s">
        <v>702</v>
      </c>
      <c r="E98" s="12" t="s">
        <v>954</v>
      </c>
      <c r="F98" s="102">
        <v>46104.518750000003</v>
      </c>
      <c r="G98" s="102">
        <v>46104.5625</v>
      </c>
      <c r="H98" s="102">
        <v>46104.5625</v>
      </c>
      <c r="I98" s="153">
        <f t="shared" si="12"/>
        <v>4.3749999997089617E-2</v>
      </c>
      <c r="J98" s="103">
        <f t="shared" si="10"/>
        <v>62.999999995809048</v>
      </c>
      <c r="K98" s="153">
        <f t="shared" si="13"/>
        <v>4.3749999997089617E-2</v>
      </c>
      <c r="L98" s="103">
        <f t="shared" si="11"/>
        <v>62.999999995809048</v>
      </c>
      <c r="M98" s="139" t="s">
        <v>2996</v>
      </c>
      <c r="N98" s="9" t="s">
        <v>20</v>
      </c>
      <c r="O98" s="12" t="s">
        <v>20</v>
      </c>
      <c r="P98" s="83" t="s">
        <v>2997</v>
      </c>
      <c r="Q98" s="37" t="s">
        <v>678</v>
      </c>
      <c r="R98" s="12"/>
      <c r="S98" s="38" t="str">
        <f t="shared" si="14"/>
        <v>ISLA</v>
      </c>
      <c r="T98" s="37" t="str">
        <f t="shared" si="15"/>
        <v>NON</v>
      </c>
      <c r="U98" s="12" t="s">
        <v>2680</v>
      </c>
    </row>
    <row r="99" spans="1:21" s="73" customFormat="1" x14ac:dyDescent="0.4">
      <c r="A99" s="37">
        <v>98</v>
      </c>
      <c r="B99" s="101" t="s">
        <v>3364</v>
      </c>
      <c r="C99" s="37" t="s">
        <v>2</v>
      </c>
      <c r="D99" s="37" t="s">
        <v>702</v>
      </c>
      <c r="E99" s="12" t="s">
        <v>2717</v>
      </c>
      <c r="F99" s="102">
        <v>46104.557638888888</v>
      </c>
      <c r="G99" s="102">
        <v>46104.60833333333</v>
      </c>
      <c r="H99" s="102">
        <v>46104.60833333333</v>
      </c>
      <c r="I99" s="153">
        <f t="shared" si="12"/>
        <v>5.0694444442342501E-2</v>
      </c>
      <c r="J99" s="103">
        <f t="shared" si="10"/>
        <v>72.999999996973202</v>
      </c>
      <c r="K99" s="153">
        <f t="shared" si="13"/>
        <v>5.0694444442342501E-2</v>
      </c>
      <c r="L99" s="103">
        <f t="shared" si="11"/>
        <v>72.999999996973202</v>
      </c>
      <c r="M99" s="139" t="s">
        <v>2718</v>
      </c>
      <c r="N99" s="9" t="s">
        <v>20</v>
      </c>
      <c r="O99" s="12" t="s">
        <v>20</v>
      </c>
      <c r="P99" s="83" t="s">
        <v>2846</v>
      </c>
      <c r="Q99" s="37" t="s">
        <v>678</v>
      </c>
      <c r="R99" s="12"/>
      <c r="S99" s="38" t="str">
        <f t="shared" si="14"/>
        <v>ISLA</v>
      </c>
      <c r="T99" s="37" t="str">
        <f t="shared" si="15"/>
        <v>NON</v>
      </c>
      <c r="U99" s="12" t="s">
        <v>2680</v>
      </c>
    </row>
    <row r="100" spans="1:21" s="73" customFormat="1" x14ac:dyDescent="0.4">
      <c r="A100" s="37">
        <v>99</v>
      </c>
      <c r="B100" s="101" t="s">
        <v>3365</v>
      </c>
      <c r="C100" s="37" t="s">
        <v>2</v>
      </c>
      <c r="D100" s="37" t="s">
        <v>702</v>
      </c>
      <c r="E100" s="12" t="s">
        <v>3258</v>
      </c>
      <c r="F100" s="102">
        <v>46104.625</v>
      </c>
      <c r="G100" s="102">
        <v>46104.673611111109</v>
      </c>
      <c r="H100" s="102">
        <v>46104.673611111109</v>
      </c>
      <c r="I100" s="153">
        <f t="shared" si="12"/>
        <v>4.8611111109494232E-2</v>
      </c>
      <c r="J100" s="103">
        <f t="shared" si="10"/>
        <v>69.999999997671694</v>
      </c>
      <c r="K100" s="153">
        <f t="shared" si="13"/>
        <v>4.8611111109494232E-2</v>
      </c>
      <c r="L100" s="103">
        <f t="shared" si="11"/>
        <v>69.999999997671694</v>
      </c>
      <c r="M100" s="139" t="s">
        <v>3496</v>
      </c>
      <c r="N100" s="9" t="s">
        <v>20</v>
      </c>
      <c r="O100" s="12" t="s">
        <v>20</v>
      </c>
      <c r="P100" s="83" t="s">
        <v>3241</v>
      </c>
      <c r="Q100" s="37" t="s">
        <v>678</v>
      </c>
      <c r="R100" s="12"/>
      <c r="S100" s="38" t="str">
        <f t="shared" si="14"/>
        <v>ISLA</v>
      </c>
      <c r="T100" s="37" t="str">
        <f t="shared" si="15"/>
        <v>NON</v>
      </c>
      <c r="U100" s="12" t="s">
        <v>2680</v>
      </c>
    </row>
    <row r="101" spans="1:21" s="73" customFormat="1" x14ac:dyDescent="0.4">
      <c r="A101" s="37">
        <v>100</v>
      </c>
      <c r="B101" s="101" t="s">
        <v>3366</v>
      </c>
      <c r="C101" s="37" t="s">
        <v>2</v>
      </c>
      <c r="D101" s="37" t="s">
        <v>702</v>
      </c>
      <c r="E101" s="12" t="s">
        <v>2854</v>
      </c>
      <c r="F101" s="102">
        <v>46104.892361111109</v>
      </c>
      <c r="G101" s="102">
        <v>46108.017361111109</v>
      </c>
      <c r="H101" s="102">
        <v>46108.017361111109</v>
      </c>
      <c r="I101" s="153">
        <f t="shared" si="12"/>
        <v>3.125</v>
      </c>
      <c r="J101" s="103">
        <f t="shared" si="10"/>
        <v>4500</v>
      </c>
      <c r="K101" s="153">
        <f t="shared" si="13"/>
        <v>3.125</v>
      </c>
      <c r="L101" s="103">
        <f t="shared" si="11"/>
        <v>4500</v>
      </c>
      <c r="M101" s="139" t="s">
        <v>3497</v>
      </c>
      <c r="N101" s="9" t="s">
        <v>20</v>
      </c>
      <c r="O101" s="12" t="s">
        <v>20</v>
      </c>
      <c r="P101" s="83" t="s">
        <v>2628</v>
      </c>
      <c r="Q101" s="37" t="s">
        <v>678</v>
      </c>
      <c r="R101" s="12"/>
      <c r="S101" s="38" t="str">
        <f t="shared" si="14"/>
        <v>OSLA</v>
      </c>
      <c r="T101" s="37" t="str">
        <f t="shared" si="15"/>
        <v>NON</v>
      </c>
      <c r="U101" s="12" t="s">
        <v>2675</v>
      </c>
    </row>
    <row r="102" spans="1:21" x14ac:dyDescent="0.4">
      <c r="A102" s="37">
        <v>101</v>
      </c>
      <c r="B102" s="101" t="s">
        <v>3367</v>
      </c>
      <c r="C102" s="37" t="s">
        <v>2</v>
      </c>
      <c r="D102" s="37" t="s">
        <v>702</v>
      </c>
      <c r="E102" s="12" t="s">
        <v>2773</v>
      </c>
      <c r="F102" s="102">
        <v>46104.981249999997</v>
      </c>
      <c r="G102" s="102">
        <v>46105.015972222223</v>
      </c>
      <c r="H102" s="102">
        <v>46105.015972222223</v>
      </c>
      <c r="I102" s="153">
        <f t="shared" si="12"/>
        <v>3.4722222226264421E-2</v>
      </c>
      <c r="J102" s="103">
        <f t="shared" si="10"/>
        <v>50.000000005820766</v>
      </c>
      <c r="K102" s="153">
        <f t="shared" si="13"/>
        <v>3.4722222226264421E-2</v>
      </c>
      <c r="L102" s="103">
        <f t="shared" si="11"/>
        <v>50.000000005820766</v>
      </c>
      <c r="M102" s="139" t="s">
        <v>3498</v>
      </c>
      <c r="N102" s="9" t="s">
        <v>20</v>
      </c>
      <c r="O102" s="12" t="s">
        <v>20</v>
      </c>
      <c r="P102" s="83" t="s">
        <v>2628</v>
      </c>
      <c r="Q102" s="37" t="s">
        <v>678</v>
      </c>
      <c r="R102" s="12"/>
      <c r="S102" s="38" t="str">
        <f t="shared" si="14"/>
        <v>ISLA</v>
      </c>
      <c r="T102" s="37" t="str">
        <f t="shared" si="15"/>
        <v>NON</v>
      </c>
      <c r="U102" s="12" t="s">
        <v>2675</v>
      </c>
    </row>
    <row r="103" spans="1:21" ht="20.6" x14ac:dyDescent="0.4">
      <c r="A103" s="37">
        <v>102</v>
      </c>
      <c r="B103" s="101" t="s">
        <v>3368</v>
      </c>
      <c r="C103" s="37" t="s">
        <v>2</v>
      </c>
      <c r="D103" s="37" t="s">
        <v>702</v>
      </c>
      <c r="E103" s="12" t="s">
        <v>3369</v>
      </c>
      <c r="F103" s="102">
        <v>46105.388888888891</v>
      </c>
      <c r="G103" s="102">
        <v>46107.377083333333</v>
      </c>
      <c r="H103" s="102">
        <v>46107.377083333333</v>
      </c>
      <c r="I103" s="153">
        <f t="shared" si="12"/>
        <v>1.9881944444423425</v>
      </c>
      <c r="J103" s="103">
        <f t="shared" si="10"/>
        <v>2862.9999999969732</v>
      </c>
      <c r="K103" s="153">
        <f t="shared" si="13"/>
        <v>1.9881944444423425</v>
      </c>
      <c r="L103" s="103">
        <f t="shared" si="11"/>
        <v>2862.9999999969732</v>
      </c>
      <c r="M103" s="139" t="s">
        <v>3499</v>
      </c>
      <c r="N103" s="9" t="s">
        <v>3500</v>
      </c>
      <c r="O103" s="12" t="s">
        <v>20</v>
      </c>
      <c r="P103" s="83" t="s">
        <v>2628</v>
      </c>
      <c r="Q103" s="37" t="s">
        <v>678</v>
      </c>
      <c r="R103" s="12"/>
      <c r="S103" s="38" t="str">
        <f t="shared" si="14"/>
        <v>OSLA</v>
      </c>
      <c r="T103" s="37" t="str">
        <f t="shared" si="15"/>
        <v>NON</v>
      </c>
      <c r="U103" s="12" t="s">
        <v>2675</v>
      </c>
    </row>
    <row r="104" spans="1:21" x14ac:dyDescent="0.4">
      <c r="A104" s="37">
        <v>103</v>
      </c>
      <c r="B104" s="101" t="s">
        <v>3370</v>
      </c>
      <c r="C104" s="37" t="s">
        <v>2</v>
      </c>
      <c r="D104" s="37" t="s">
        <v>702</v>
      </c>
      <c r="E104" s="12" t="s">
        <v>3371</v>
      </c>
      <c r="F104" s="102">
        <v>46105.392361111109</v>
      </c>
      <c r="G104" s="102">
        <v>46108.416666666664</v>
      </c>
      <c r="H104" s="102">
        <v>46108.416666666664</v>
      </c>
      <c r="I104" s="153">
        <f t="shared" si="12"/>
        <v>3.0243055555547471</v>
      </c>
      <c r="J104" s="103">
        <f t="shared" si="10"/>
        <v>4354.9999999988358</v>
      </c>
      <c r="K104" s="153">
        <f t="shared" si="13"/>
        <v>3.0243055555547471</v>
      </c>
      <c r="L104" s="103">
        <f t="shared" si="11"/>
        <v>4354.9999999988358</v>
      </c>
      <c r="M104" s="139" t="s">
        <v>3501</v>
      </c>
      <c r="N104" s="9" t="s">
        <v>3502</v>
      </c>
      <c r="O104" s="12" t="s">
        <v>3503</v>
      </c>
      <c r="P104" s="83" t="s">
        <v>2628</v>
      </c>
      <c r="Q104" s="37" t="s">
        <v>678</v>
      </c>
      <c r="R104" s="12"/>
      <c r="S104" s="38" t="str">
        <f t="shared" si="14"/>
        <v>OSLA</v>
      </c>
      <c r="T104" s="37" t="str">
        <f t="shared" si="15"/>
        <v>NON</v>
      </c>
      <c r="U104" s="12" t="s">
        <v>2675</v>
      </c>
    </row>
    <row r="105" spans="1:21" x14ac:dyDescent="0.4">
      <c r="A105" s="37">
        <v>104</v>
      </c>
      <c r="B105" s="101" t="s">
        <v>3372</v>
      </c>
      <c r="C105" s="37" t="s">
        <v>2</v>
      </c>
      <c r="D105" s="37" t="s">
        <v>702</v>
      </c>
      <c r="E105" s="12" t="s">
        <v>2808</v>
      </c>
      <c r="F105" s="102">
        <v>46106.270833333336</v>
      </c>
      <c r="G105" s="102">
        <v>46107.635416666664</v>
      </c>
      <c r="H105" s="102">
        <v>46107.635416666664</v>
      </c>
      <c r="I105" s="153">
        <f t="shared" si="12"/>
        <v>1.3645833333284827</v>
      </c>
      <c r="J105" s="103">
        <f t="shared" si="10"/>
        <v>1964.9999999930151</v>
      </c>
      <c r="K105" s="153">
        <f t="shared" si="13"/>
        <v>1.3645833333284827</v>
      </c>
      <c r="L105" s="103">
        <f t="shared" si="11"/>
        <v>1964.9999999930151</v>
      </c>
      <c r="M105" s="139" t="s">
        <v>3194</v>
      </c>
      <c r="N105" s="9" t="s">
        <v>20</v>
      </c>
      <c r="O105" s="12" t="s">
        <v>20</v>
      </c>
      <c r="P105" s="83" t="s">
        <v>2813</v>
      </c>
      <c r="Q105" s="37" t="s">
        <v>678</v>
      </c>
      <c r="R105" s="12"/>
      <c r="S105" s="38" t="str">
        <f t="shared" si="14"/>
        <v>OSLA</v>
      </c>
      <c r="T105" s="37" t="str">
        <f t="shared" si="15"/>
        <v>OUI</v>
      </c>
      <c r="U105" s="12" t="s">
        <v>2675</v>
      </c>
    </row>
    <row r="106" spans="1:21" x14ac:dyDescent="0.4">
      <c r="A106" s="37">
        <v>105</v>
      </c>
      <c r="B106" s="101" t="s">
        <v>3373</v>
      </c>
      <c r="C106" s="37" t="s">
        <v>2</v>
      </c>
      <c r="D106" s="37" t="s">
        <v>702</v>
      </c>
      <c r="E106" s="12" t="s">
        <v>2817</v>
      </c>
      <c r="F106" s="102">
        <v>46106.384722222225</v>
      </c>
      <c r="G106" s="102">
        <v>46106.450694444444</v>
      </c>
      <c r="H106" s="102">
        <v>46106.450694444444</v>
      </c>
      <c r="I106" s="153">
        <f t="shared" si="12"/>
        <v>6.5972222218988463E-2</v>
      </c>
      <c r="J106" s="103">
        <f t="shared" si="10"/>
        <v>94.999999995343387</v>
      </c>
      <c r="K106" s="153">
        <f t="shared" si="13"/>
        <v>6.5972222218988463E-2</v>
      </c>
      <c r="L106" s="103">
        <f t="shared" si="11"/>
        <v>94.999999995343387</v>
      </c>
      <c r="M106" s="139" t="s">
        <v>2990</v>
      </c>
      <c r="N106" s="9" t="s">
        <v>20</v>
      </c>
      <c r="O106" s="12" t="s">
        <v>20</v>
      </c>
      <c r="P106" s="83" t="s">
        <v>2819</v>
      </c>
      <c r="Q106" s="37" t="s">
        <v>678</v>
      </c>
      <c r="R106" s="12"/>
      <c r="S106" s="38" t="str">
        <f t="shared" si="14"/>
        <v>ISLA</v>
      </c>
      <c r="T106" s="37" t="str">
        <f t="shared" si="15"/>
        <v>NON</v>
      </c>
      <c r="U106" s="12" t="s">
        <v>2680</v>
      </c>
    </row>
    <row r="107" spans="1:21" x14ac:dyDescent="0.4">
      <c r="A107" s="37">
        <v>106</v>
      </c>
      <c r="B107" s="101" t="s">
        <v>3374</v>
      </c>
      <c r="C107" s="37" t="s">
        <v>2</v>
      </c>
      <c r="D107" s="37" t="s">
        <v>702</v>
      </c>
      <c r="E107" s="12" t="s">
        <v>2717</v>
      </c>
      <c r="F107" s="102">
        <v>46106.461805555555</v>
      </c>
      <c r="G107" s="102">
        <v>46106.65902777778</v>
      </c>
      <c r="H107" s="102">
        <v>46106.65902777778</v>
      </c>
      <c r="I107" s="153">
        <f t="shared" si="12"/>
        <v>0.19722222222480923</v>
      </c>
      <c r="J107" s="103">
        <f t="shared" si="10"/>
        <v>284.00000000372529</v>
      </c>
      <c r="K107" s="153">
        <f t="shared" si="13"/>
        <v>0.19722222222480923</v>
      </c>
      <c r="L107" s="103">
        <f t="shared" si="11"/>
        <v>284.00000000372529</v>
      </c>
      <c r="M107" s="139" t="s">
        <v>2718</v>
      </c>
      <c r="N107" s="9" t="s">
        <v>3504</v>
      </c>
      <c r="O107" s="12" t="s">
        <v>3505</v>
      </c>
      <c r="P107" s="83" t="s">
        <v>2846</v>
      </c>
      <c r="Q107" s="37" t="s">
        <v>678</v>
      </c>
      <c r="R107" s="12"/>
      <c r="S107" s="38" t="str">
        <f t="shared" si="14"/>
        <v>OSLA</v>
      </c>
      <c r="T107" s="37" t="str">
        <f t="shared" si="15"/>
        <v>OUI</v>
      </c>
      <c r="U107" s="12" t="s">
        <v>2680</v>
      </c>
    </row>
    <row r="108" spans="1:21" x14ac:dyDescent="0.4">
      <c r="A108" s="37">
        <v>107</v>
      </c>
      <c r="B108" s="101" t="s">
        <v>3375</v>
      </c>
      <c r="C108" s="37" t="s">
        <v>2</v>
      </c>
      <c r="D108" s="37" t="s">
        <v>702</v>
      </c>
      <c r="E108" s="12" t="s">
        <v>2811</v>
      </c>
      <c r="F108" s="102">
        <v>46106.506944444445</v>
      </c>
      <c r="G108" s="102">
        <v>46106.602777777778</v>
      </c>
      <c r="H108" s="102">
        <v>46106.602777777778</v>
      </c>
      <c r="I108" s="153">
        <f t="shared" si="12"/>
        <v>9.5833333332848269E-2</v>
      </c>
      <c r="J108" s="103">
        <f t="shared" si="10"/>
        <v>137.99999999930151</v>
      </c>
      <c r="K108" s="153">
        <f t="shared" si="13"/>
        <v>9.5833333332848269E-2</v>
      </c>
      <c r="L108" s="103">
        <f t="shared" si="11"/>
        <v>137.99999999930151</v>
      </c>
      <c r="M108" s="139" t="s">
        <v>2812</v>
      </c>
      <c r="N108" s="9" t="s">
        <v>20</v>
      </c>
      <c r="O108" s="12" t="s">
        <v>20</v>
      </c>
      <c r="P108" s="83" t="s">
        <v>2813</v>
      </c>
      <c r="Q108" s="37" t="s">
        <v>678</v>
      </c>
      <c r="R108" s="12"/>
      <c r="S108" s="38" t="str">
        <f t="shared" si="14"/>
        <v>ISLA</v>
      </c>
      <c r="T108" s="37" t="str">
        <f t="shared" si="15"/>
        <v>NON</v>
      </c>
      <c r="U108" s="12" t="s">
        <v>2680</v>
      </c>
    </row>
    <row r="109" spans="1:21" x14ac:dyDescent="0.4">
      <c r="A109" s="37">
        <v>108</v>
      </c>
      <c r="B109" s="101" t="s">
        <v>3376</v>
      </c>
      <c r="C109" s="37" t="s">
        <v>14</v>
      </c>
      <c r="D109" s="37" t="s">
        <v>702</v>
      </c>
      <c r="E109" s="12" t="s">
        <v>3021</v>
      </c>
      <c r="F109" s="102">
        <v>46106.802083333336</v>
      </c>
      <c r="G109" s="102">
        <v>46106.833333333336</v>
      </c>
      <c r="H109" s="102">
        <v>46106.833333333336</v>
      </c>
      <c r="I109" s="153">
        <f t="shared" si="12"/>
        <v>3.125E-2</v>
      </c>
      <c r="J109" s="103">
        <f t="shared" si="10"/>
        <v>45</v>
      </c>
      <c r="K109" s="153">
        <f t="shared" si="13"/>
        <v>3.125E-2</v>
      </c>
      <c r="L109" s="103">
        <f t="shared" si="11"/>
        <v>45</v>
      </c>
      <c r="M109" s="139" t="s">
        <v>3160</v>
      </c>
      <c r="N109" s="9" t="s">
        <v>20</v>
      </c>
      <c r="O109" s="12" t="s">
        <v>20</v>
      </c>
      <c r="P109" s="83" t="s">
        <v>2628</v>
      </c>
      <c r="Q109" s="37" t="s">
        <v>678</v>
      </c>
      <c r="R109" s="12"/>
      <c r="S109" s="38" t="str">
        <f t="shared" si="14"/>
        <v>ISLA</v>
      </c>
      <c r="T109" s="37" t="str">
        <f t="shared" si="15"/>
        <v>NON</v>
      </c>
      <c r="U109" s="12" t="s">
        <v>2675</v>
      </c>
    </row>
    <row r="110" spans="1:21" x14ac:dyDescent="0.4">
      <c r="A110" s="37">
        <v>109</v>
      </c>
      <c r="B110" s="101" t="s">
        <v>3377</v>
      </c>
      <c r="C110" s="37" t="s">
        <v>2</v>
      </c>
      <c r="D110" s="37" t="s">
        <v>702</v>
      </c>
      <c r="E110" s="12" t="s">
        <v>2677</v>
      </c>
      <c r="F110" s="102">
        <v>46106.82916666667</v>
      </c>
      <c r="G110" s="102">
        <v>46107.366666666669</v>
      </c>
      <c r="H110" s="102">
        <v>46107.366666666669</v>
      </c>
      <c r="I110" s="153">
        <f t="shared" si="12"/>
        <v>0.53749999999854481</v>
      </c>
      <c r="J110" s="103">
        <f t="shared" si="10"/>
        <v>773.99999999790452</v>
      </c>
      <c r="K110" s="153">
        <f t="shared" si="13"/>
        <v>0.53749999999854481</v>
      </c>
      <c r="L110" s="103">
        <f t="shared" si="11"/>
        <v>773.99999999790452</v>
      </c>
      <c r="M110" s="139" t="s">
        <v>3506</v>
      </c>
      <c r="N110" s="9" t="s">
        <v>20</v>
      </c>
      <c r="O110" s="12" t="s">
        <v>20</v>
      </c>
      <c r="P110" s="83" t="s">
        <v>3212</v>
      </c>
      <c r="Q110" s="37" t="s">
        <v>678</v>
      </c>
      <c r="R110" s="12"/>
      <c r="S110" s="38" t="str">
        <f t="shared" si="14"/>
        <v>OSLA</v>
      </c>
      <c r="T110" s="37" t="str">
        <f t="shared" si="15"/>
        <v>OUI</v>
      </c>
      <c r="U110" s="12" t="s">
        <v>2680</v>
      </c>
    </row>
    <row r="111" spans="1:21" x14ac:dyDescent="0.4">
      <c r="A111" s="37">
        <v>110</v>
      </c>
      <c r="B111" s="101" t="s">
        <v>3378</v>
      </c>
      <c r="C111" s="37" t="s">
        <v>2</v>
      </c>
      <c r="D111" s="37" t="s">
        <v>702</v>
      </c>
      <c r="E111" s="12" t="s">
        <v>954</v>
      </c>
      <c r="F111" s="102">
        <v>46107.006249999999</v>
      </c>
      <c r="G111" s="102">
        <v>46107.376388888886</v>
      </c>
      <c r="H111" s="102">
        <v>46107.376388888886</v>
      </c>
      <c r="I111" s="153">
        <f t="shared" si="12"/>
        <v>0.37013888888759539</v>
      </c>
      <c r="J111" s="103">
        <f t="shared" si="10"/>
        <v>532.99999999813735</v>
      </c>
      <c r="K111" s="153">
        <f t="shared" si="13"/>
        <v>0.37013888888759539</v>
      </c>
      <c r="L111" s="103">
        <f t="shared" si="11"/>
        <v>532.99999999813735</v>
      </c>
      <c r="M111" s="139" t="s">
        <v>2996</v>
      </c>
      <c r="N111" s="9" t="s">
        <v>20</v>
      </c>
      <c r="O111" s="12" t="s">
        <v>20</v>
      </c>
      <c r="P111" s="83" t="s">
        <v>2997</v>
      </c>
      <c r="Q111" s="37" t="s">
        <v>678</v>
      </c>
      <c r="R111" s="12"/>
      <c r="S111" s="38" t="str">
        <f t="shared" si="14"/>
        <v>OSLA</v>
      </c>
      <c r="T111" s="37" t="str">
        <f t="shared" si="15"/>
        <v>OUI</v>
      </c>
      <c r="U111" s="12" t="s">
        <v>2680</v>
      </c>
    </row>
    <row r="112" spans="1:21" ht="20.6" x14ac:dyDescent="0.4">
      <c r="A112" s="37">
        <v>111</v>
      </c>
      <c r="B112" s="101" t="s">
        <v>3379</v>
      </c>
      <c r="C112" s="37" t="s">
        <v>2</v>
      </c>
      <c r="D112" s="37" t="s">
        <v>702</v>
      </c>
      <c r="E112" s="12" t="s">
        <v>3129</v>
      </c>
      <c r="F112" s="102">
        <v>46107.582638888889</v>
      </c>
      <c r="G112" s="102">
        <v>46108.490972222222</v>
      </c>
      <c r="H112" s="102">
        <v>46108.490972222222</v>
      </c>
      <c r="I112" s="153">
        <f t="shared" si="12"/>
        <v>0.90833333333284827</v>
      </c>
      <c r="J112" s="103">
        <f t="shared" si="10"/>
        <v>1307.9999999993015</v>
      </c>
      <c r="K112" s="153">
        <f t="shared" si="13"/>
        <v>0.90833333333284827</v>
      </c>
      <c r="L112" s="103">
        <f t="shared" si="11"/>
        <v>1307.9999999993015</v>
      </c>
      <c r="M112" s="139" t="s">
        <v>3225</v>
      </c>
      <c r="N112" s="9" t="s">
        <v>3507</v>
      </c>
      <c r="O112" s="12" t="s">
        <v>3508</v>
      </c>
      <c r="P112" s="83" t="s">
        <v>3226</v>
      </c>
      <c r="Q112" s="37" t="s">
        <v>678</v>
      </c>
      <c r="R112" s="12"/>
      <c r="S112" s="38" t="str">
        <f t="shared" si="14"/>
        <v>OSLA</v>
      </c>
      <c r="T112" s="37" t="str">
        <f t="shared" si="15"/>
        <v>OUI</v>
      </c>
      <c r="U112" s="12" t="s">
        <v>2680</v>
      </c>
    </row>
    <row r="113" spans="1:21" x14ac:dyDescent="0.4">
      <c r="A113" s="37">
        <v>112</v>
      </c>
      <c r="B113" s="101" t="s">
        <v>3380</v>
      </c>
      <c r="C113" s="37" t="s">
        <v>2</v>
      </c>
      <c r="D113" s="37" t="s">
        <v>702</v>
      </c>
      <c r="E113" s="12" t="s">
        <v>2885</v>
      </c>
      <c r="F113" s="102">
        <v>46107.78125</v>
      </c>
      <c r="G113" s="102">
        <v>46107.819444444445</v>
      </c>
      <c r="H113" s="102">
        <v>46107.819444444445</v>
      </c>
      <c r="I113" s="153">
        <f t="shared" si="12"/>
        <v>3.8194444445252884E-2</v>
      </c>
      <c r="J113" s="103">
        <f t="shared" si="10"/>
        <v>55.000000001164153</v>
      </c>
      <c r="K113" s="153">
        <f t="shared" si="13"/>
        <v>3.8194444445252884E-2</v>
      </c>
      <c r="L113" s="103">
        <f t="shared" si="11"/>
        <v>55.000000001164153</v>
      </c>
      <c r="M113" s="139" t="s">
        <v>3509</v>
      </c>
      <c r="N113" s="9" t="s">
        <v>20</v>
      </c>
      <c r="O113" s="12" t="s">
        <v>20</v>
      </c>
      <c r="P113" s="83" t="s">
        <v>2684</v>
      </c>
      <c r="Q113" s="37" t="s">
        <v>678</v>
      </c>
      <c r="R113" s="12"/>
      <c r="S113" s="38" t="str">
        <f t="shared" si="14"/>
        <v>ISLA</v>
      </c>
      <c r="T113" s="37" t="str">
        <f t="shared" si="15"/>
        <v>NON</v>
      </c>
      <c r="U113" s="12" t="s">
        <v>2680</v>
      </c>
    </row>
    <row r="114" spans="1:21" x14ac:dyDescent="0.4">
      <c r="A114" s="37">
        <v>113</v>
      </c>
      <c r="B114" s="101" t="s">
        <v>3381</v>
      </c>
      <c r="C114" s="37" t="s">
        <v>2</v>
      </c>
      <c r="D114" s="37" t="s">
        <v>702</v>
      </c>
      <c r="E114" s="12" t="s">
        <v>2934</v>
      </c>
      <c r="F114" s="102">
        <v>46108.128472222219</v>
      </c>
      <c r="G114" s="102">
        <v>46108.331944444442</v>
      </c>
      <c r="H114" s="102">
        <v>46108.331944444442</v>
      </c>
      <c r="I114" s="153">
        <f t="shared" si="12"/>
        <v>0.20347222222335404</v>
      </c>
      <c r="J114" s="103">
        <f t="shared" si="10"/>
        <v>293.00000000162981</v>
      </c>
      <c r="K114" s="153">
        <f t="shared" si="13"/>
        <v>0.20347222222335404</v>
      </c>
      <c r="L114" s="103">
        <f t="shared" si="11"/>
        <v>293.00000000162981</v>
      </c>
      <c r="M114" s="139" t="s">
        <v>2935</v>
      </c>
      <c r="N114" s="9" t="s">
        <v>20</v>
      </c>
      <c r="O114" s="12" t="s">
        <v>20</v>
      </c>
      <c r="P114" s="83" t="s">
        <v>2936</v>
      </c>
      <c r="Q114" s="37" t="s">
        <v>678</v>
      </c>
      <c r="R114" s="12"/>
      <c r="S114" s="38" t="str">
        <f t="shared" si="14"/>
        <v>OSLA</v>
      </c>
      <c r="T114" s="37" t="str">
        <f t="shared" si="15"/>
        <v>OUI</v>
      </c>
      <c r="U114" s="12" t="s">
        <v>2680</v>
      </c>
    </row>
    <row r="115" spans="1:21" x14ac:dyDescent="0.4">
      <c r="A115" s="37">
        <v>114</v>
      </c>
      <c r="B115" s="101" t="s">
        <v>3382</v>
      </c>
      <c r="C115" s="37" t="s">
        <v>2</v>
      </c>
      <c r="D115" s="37" t="s">
        <v>702</v>
      </c>
      <c r="E115" s="12" t="s">
        <v>2827</v>
      </c>
      <c r="F115" s="102">
        <v>46108.129861111112</v>
      </c>
      <c r="G115" s="102">
        <v>46108.216666666667</v>
      </c>
      <c r="H115" s="102">
        <v>46108.216666666667</v>
      </c>
      <c r="I115" s="153">
        <f t="shared" si="12"/>
        <v>8.6805555554747116E-2</v>
      </c>
      <c r="J115" s="103">
        <f t="shared" si="10"/>
        <v>124.99999999883585</v>
      </c>
      <c r="K115" s="153">
        <f t="shared" si="13"/>
        <v>8.6805555554747116E-2</v>
      </c>
      <c r="L115" s="103">
        <f t="shared" si="11"/>
        <v>124.99999999883585</v>
      </c>
      <c r="M115" s="139" t="s">
        <v>2828</v>
      </c>
      <c r="N115" s="9" t="s">
        <v>20</v>
      </c>
      <c r="O115" s="12" t="s">
        <v>20</v>
      </c>
      <c r="P115" s="83" t="s">
        <v>2829</v>
      </c>
      <c r="Q115" s="37" t="s">
        <v>678</v>
      </c>
      <c r="R115" s="12"/>
      <c r="S115" s="38" t="str">
        <f t="shared" si="14"/>
        <v>ISLA</v>
      </c>
      <c r="T115" s="37" t="str">
        <f t="shared" si="15"/>
        <v>NON</v>
      </c>
      <c r="U115" s="12" t="s">
        <v>2680</v>
      </c>
    </row>
    <row r="116" spans="1:21" x14ac:dyDescent="0.4">
      <c r="A116" s="37">
        <v>115</v>
      </c>
      <c r="B116" s="101" t="s">
        <v>3383</v>
      </c>
      <c r="C116" s="37" t="s">
        <v>2</v>
      </c>
      <c r="D116" s="37" t="s">
        <v>702</v>
      </c>
      <c r="E116" s="12" t="s">
        <v>2717</v>
      </c>
      <c r="F116" s="102">
        <v>46108.267361111109</v>
      </c>
      <c r="G116" s="102">
        <v>46108.899305555555</v>
      </c>
      <c r="H116" s="102">
        <v>46108.899305555555</v>
      </c>
      <c r="I116" s="153">
        <f t="shared" si="12"/>
        <v>0.63194444444525288</v>
      </c>
      <c r="J116" s="103">
        <f t="shared" si="10"/>
        <v>910.00000000116415</v>
      </c>
      <c r="K116" s="153">
        <f t="shared" si="13"/>
        <v>0.63194444444525288</v>
      </c>
      <c r="L116" s="103">
        <f t="shared" si="11"/>
        <v>910.00000000116415</v>
      </c>
      <c r="M116" s="139" t="s">
        <v>2718</v>
      </c>
      <c r="N116" s="9" t="s">
        <v>3510</v>
      </c>
      <c r="O116" s="12" t="s">
        <v>3511</v>
      </c>
      <c r="P116" s="83" t="s">
        <v>2846</v>
      </c>
      <c r="Q116" s="37" t="s">
        <v>678</v>
      </c>
      <c r="R116" s="12"/>
      <c r="S116" s="38" t="str">
        <f t="shared" si="14"/>
        <v>OSLA</v>
      </c>
      <c r="T116" s="37" t="str">
        <f t="shared" si="15"/>
        <v>OUI</v>
      </c>
      <c r="U116" s="12" t="s">
        <v>2680</v>
      </c>
    </row>
    <row r="117" spans="1:21" ht="20.6" x14ac:dyDescent="0.4">
      <c r="A117" s="37">
        <v>116</v>
      </c>
      <c r="B117" s="101" t="s">
        <v>3384</v>
      </c>
      <c r="C117" s="37" t="s">
        <v>2</v>
      </c>
      <c r="D117" s="37" t="s">
        <v>702</v>
      </c>
      <c r="E117" s="12" t="s">
        <v>3385</v>
      </c>
      <c r="F117" s="102">
        <v>46108.395833333336</v>
      </c>
      <c r="G117" s="102">
        <v>46108.784722222219</v>
      </c>
      <c r="H117" s="102">
        <v>46108.784722222219</v>
      </c>
      <c r="I117" s="153">
        <f t="shared" si="12"/>
        <v>0.38888888888322981</v>
      </c>
      <c r="J117" s="103">
        <f t="shared" si="10"/>
        <v>559.99999999185093</v>
      </c>
      <c r="K117" s="153">
        <f t="shared" si="13"/>
        <v>0.38888888888322981</v>
      </c>
      <c r="L117" s="103">
        <f t="shared" si="11"/>
        <v>559.99999999185093</v>
      </c>
      <c r="M117" s="139" t="s">
        <v>3512</v>
      </c>
      <c r="N117" s="9" t="s">
        <v>3513</v>
      </c>
      <c r="O117" s="12" t="s">
        <v>3514</v>
      </c>
      <c r="P117" s="83" t="s">
        <v>2628</v>
      </c>
      <c r="Q117" s="37" t="s">
        <v>678</v>
      </c>
      <c r="R117" s="12"/>
      <c r="S117" s="38" t="str">
        <f t="shared" si="14"/>
        <v>OSLA</v>
      </c>
      <c r="T117" s="37" t="str">
        <f t="shared" si="15"/>
        <v>NON</v>
      </c>
      <c r="U117" s="12" t="s">
        <v>2675</v>
      </c>
    </row>
    <row r="118" spans="1:21" x14ac:dyDescent="0.4">
      <c r="A118" s="37">
        <v>117</v>
      </c>
      <c r="B118" s="101" t="s">
        <v>3386</v>
      </c>
      <c r="C118" s="37" t="s">
        <v>2</v>
      </c>
      <c r="D118" s="37" t="s">
        <v>702</v>
      </c>
      <c r="E118" s="12" t="s">
        <v>2827</v>
      </c>
      <c r="F118" s="102">
        <v>46108.926388888889</v>
      </c>
      <c r="G118" s="102">
        <v>46109.361111111109</v>
      </c>
      <c r="H118" s="102">
        <v>46109.361111111109</v>
      </c>
      <c r="I118" s="153">
        <f t="shared" si="12"/>
        <v>0.43472222222044365</v>
      </c>
      <c r="J118" s="103">
        <f t="shared" si="10"/>
        <v>625.99999999743886</v>
      </c>
      <c r="K118" s="153">
        <f t="shared" si="13"/>
        <v>0.43472222222044365</v>
      </c>
      <c r="L118" s="103">
        <f t="shared" si="11"/>
        <v>625.99999999743886</v>
      </c>
      <c r="M118" s="139" t="s">
        <v>2828</v>
      </c>
      <c r="N118" s="9" t="s">
        <v>20</v>
      </c>
      <c r="O118" s="12" t="s">
        <v>20</v>
      </c>
      <c r="P118" s="83" t="s">
        <v>2829</v>
      </c>
      <c r="Q118" s="37" t="s">
        <v>678</v>
      </c>
      <c r="R118" s="12"/>
      <c r="S118" s="38" t="str">
        <f t="shared" si="14"/>
        <v>OSLA</v>
      </c>
      <c r="T118" s="37" t="str">
        <f t="shared" si="15"/>
        <v>OUI</v>
      </c>
      <c r="U118" s="12" t="s">
        <v>2680</v>
      </c>
    </row>
    <row r="119" spans="1:21" x14ac:dyDescent="0.4">
      <c r="A119" s="37">
        <v>118</v>
      </c>
      <c r="B119" s="101" t="s">
        <v>3387</v>
      </c>
      <c r="C119" s="37" t="s">
        <v>14</v>
      </c>
      <c r="D119" s="37" t="s">
        <v>702</v>
      </c>
      <c r="E119" s="12" t="s">
        <v>2746</v>
      </c>
      <c r="F119" s="102">
        <v>46109.114583333336</v>
      </c>
      <c r="G119" s="102">
        <v>46109.413194444445</v>
      </c>
      <c r="H119" s="102">
        <v>46109.413194444445</v>
      </c>
      <c r="I119" s="153">
        <f t="shared" si="12"/>
        <v>0.29861111110949423</v>
      </c>
      <c r="J119" s="103">
        <f t="shared" si="10"/>
        <v>429.99999999767169</v>
      </c>
      <c r="K119" s="153">
        <f t="shared" si="13"/>
        <v>0.29861111110949423</v>
      </c>
      <c r="L119" s="103">
        <f t="shared" si="11"/>
        <v>429.99999999767169</v>
      </c>
      <c r="M119" s="139" t="s">
        <v>3515</v>
      </c>
      <c r="N119" s="9" t="s">
        <v>3516</v>
      </c>
      <c r="O119" s="12" t="s">
        <v>3517</v>
      </c>
      <c r="P119" s="83" t="s">
        <v>2628</v>
      </c>
      <c r="Q119" s="37" t="s">
        <v>678</v>
      </c>
      <c r="R119" s="12"/>
      <c r="S119" s="38" t="str">
        <f t="shared" si="14"/>
        <v>ISLA</v>
      </c>
      <c r="T119" s="37" t="str">
        <f t="shared" si="15"/>
        <v>NON</v>
      </c>
      <c r="U119" s="12" t="s">
        <v>2675</v>
      </c>
    </row>
    <row r="120" spans="1:21" ht="20.6" x14ac:dyDescent="0.4">
      <c r="A120" s="37">
        <v>119</v>
      </c>
      <c r="B120" s="101" t="s">
        <v>3388</v>
      </c>
      <c r="C120" s="37" t="s">
        <v>14</v>
      </c>
      <c r="D120" s="37" t="s">
        <v>702</v>
      </c>
      <c r="E120" s="12" t="s">
        <v>3389</v>
      </c>
      <c r="F120" s="102">
        <v>46109.409722222219</v>
      </c>
      <c r="G120" s="102">
        <v>46109.805555555555</v>
      </c>
      <c r="H120" s="102">
        <v>46109.805555555555</v>
      </c>
      <c r="I120" s="153">
        <f t="shared" si="12"/>
        <v>0.39583333333575865</v>
      </c>
      <c r="J120" s="103">
        <f t="shared" si="10"/>
        <v>570.00000000349246</v>
      </c>
      <c r="K120" s="153">
        <f t="shared" si="13"/>
        <v>0.39583333333575865</v>
      </c>
      <c r="L120" s="103">
        <f t="shared" si="11"/>
        <v>570.00000000349246</v>
      </c>
      <c r="M120" s="139" t="s">
        <v>3518</v>
      </c>
      <c r="N120" s="9" t="s">
        <v>3513</v>
      </c>
      <c r="O120" s="12" t="s">
        <v>3514</v>
      </c>
      <c r="P120" s="83" t="s">
        <v>2628</v>
      </c>
      <c r="Q120" s="37" t="s">
        <v>678</v>
      </c>
      <c r="R120" s="12"/>
      <c r="S120" s="38" t="str">
        <f t="shared" si="14"/>
        <v>OSLA</v>
      </c>
      <c r="T120" s="37" t="str">
        <f t="shared" si="15"/>
        <v>NON</v>
      </c>
      <c r="U120" s="12" t="s">
        <v>2675</v>
      </c>
    </row>
    <row r="121" spans="1:21" ht="20.6" x14ac:dyDescent="0.4">
      <c r="A121" s="37">
        <v>120</v>
      </c>
      <c r="B121" s="101" t="s">
        <v>3390</v>
      </c>
      <c r="C121" s="37" t="s">
        <v>2</v>
      </c>
      <c r="D121" s="37" t="s">
        <v>702</v>
      </c>
      <c r="E121" s="12" t="s">
        <v>3302</v>
      </c>
      <c r="F121" s="102">
        <v>46109.458333333336</v>
      </c>
      <c r="G121" s="102">
        <v>46109.936111111114</v>
      </c>
      <c r="H121" s="102">
        <v>46109.936111111114</v>
      </c>
      <c r="I121" s="153">
        <f t="shared" si="12"/>
        <v>0.47777777777810115</v>
      </c>
      <c r="J121" s="103">
        <f t="shared" si="10"/>
        <v>688.00000000046566</v>
      </c>
      <c r="K121" s="153">
        <f t="shared" si="13"/>
        <v>0.47777777777810115</v>
      </c>
      <c r="L121" s="103">
        <f t="shared" si="11"/>
        <v>688.00000000046566</v>
      </c>
      <c r="M121" s="139" t="s">
        <v>3519</v>
      </c>
      <c r="N121" s="9" t="s">
        <v>20</v>
      </c>
      <c r="O121" s="12" t="s">
        <v>20</v>
      </c>
      <c r="P121" s="83" t="s">
        <v>2813</v>
      </c>
      <c r="Q121" s="37" t="s">
        <v>678</v>
      </c>
      <c r="R121" s="12"/>
      <c r="S121" s="38" t="str">
        <f t="shared" si="14"/>
        <v>OSLA</v>
      </c>
      <c r="T121" s="37" t="str">
        <f t="shared" si="15"/>
        <v>OUI</v>
      </c>
      <c r="U121" s="12" t="s">
        <v>2680</v>
      </c>
    </row>
    <row r="122" spans="1:21" x14ac:dyDescent="0.4">
      <c r="A122" s="37">
        <v>121</v>
      </c>
      <c r="B122" s="101" t="s">
        <v>3391</v>
      </c>
      <c r="C122" s="37" t="s">
        <v>2</v>
      </c>
      <c r="D122" s="37" t="s">
        <v>702</v>
      </c>
      <c r="E122" s="12" t="s">
        <v>2970</v>
      </c>
      <c r="F122" s="102">
        <v>46109.555555555555</v>
      </c>
      <c r="G122" s="102">
        <v>46111.545138888891</v>
      </c>
      <c r="H122" s="102">
        <v>46111.545138888891</v>
      </c>
      <c r="I122" s="153">
        <f t="shared" si="12"/>
        <v>1.9895833333357587</v>
      </c>
      <c r="J122" s="103">
        <f t="shared" si="10"/>
        <v>2865.0000000034925</v>
      </c>
      <c r="K122" s="153">
        <f t="shared" si="13"/>
        <v>1.9895833333357587</v>
      </c>
      <c r="L122" s="103">
        <f t="shared" si="11"/>
        <v>2865.0000000034925</v>
      </c>
      <c r="M122" s="139" t="s">
        <v>2971</v>
      </c>
      <c r="N122" s="9" t="s">
        <v>20</v>
      </c>
      <c r="O122" s="12" t="s">
        <v>20</v>
      </c>
      <c r="P122" s="83" t="s">
        <v>2628</v>
      </c>
      <c r="Q122" s="37" t="s">
        <v>678</v>
      </c>
      <c r="R122" s="12"/>
      <c r="S122" s="38" t="str">
        <f t="shared" si="14"/>
        <v>OSLA</v>
      </c>
      <c r="T122" s="37" t="str">
        <f t="shared" si="15"/>
        <v>NON</v>
      </c>
      <c r="U122" s="12" t="s">
        <v>2675</v>
      </c>
    </row>
    <row r="123" spans="1:21" x14ac:dyDescent="0.4">
      <c r="A123" s="37">
        <v>122</v>
      </c>
      <c r="B123" s="101" t="s">
        <v>3392</v>
      </c>
      <c r="C123" s="37" t="s">
        <v>2</v>
      </c>
      <c r="D123" s="37" t="s">
        <v>702</v>
      </c>
      <c r="E123" s="12" t="s">
        <v>2831</v>
      </c>
      <c r="F123" s="102">
        <v>46109.873611111114</v>
      </c>
      <c r="G123" s="102">
        <v>46110.572916666664</v>
      </c>
      <c r="H123" s="102">
        <v>46110.572916666664</v>
      </c>
      <c r="I123" s="153">
        <f t="shared" si="12"/>
        <v>0.69930555555038154</v>
      </c>
      <c r="J123" s="103">
        <f t="shared" si="10"/>
        <v>1006.9999999925494</v>
      </c>
      <c r="K123" s="153">
        <f t="shared" si="13"/>
        <v>0.69930555555038154</v>
      </c>
      <c r="L123" s="103">
        <f t="shared" si="11"/>
        <v>1006.9999999925494</v>
      </c>
      <c r="M123" s="139" t="s">
        <v>3001</v>
      </c>
      <c r="N123" s="9" t="s">
        <v>20</v>
      </c>
      <c r="O123" s="12" t="s">
        <v>20</v>
      </c>
      <c r="P123" s="83" t="s">
        <v>2834</v>
      </c>
      <c r="Q123" s="37" t="s">
        <v>678</v>
      </c>
      <c r="R123" s="12"/>
      <c r="S123" s="38" t="str">
        <f t="shared" si="14"/>
        <v>OSLA</v>
      </c>
      <c r="T123" s="37" t="str">
        <f t="shared" si="15"/>
        <v>OUI</v>
      </c>
      <c r="U123" s="12" t="s">
        <v>2680</v>
      </c>
    </row>
    <row r="124" spans="1:21" ht="20.6" x14ac:dyDescent="0.4">
      <c r="A124" s="37">
        <v>123</v>
      </c>
      <c r="B124" s="101" t="s">
        <v>2706</v>
      </c>
      <c r="C124" s="37" t="s">
        <v>2</v>
      </c>
      <c r="D124" s="37" t="s">
        <v>702</v>
      </c>
      <c r="E124" s="12" t="s">
        <v>3252</v>
      </c>
      <c r="F124" s="102">
        <v>46110.044444444444</v>
      </c>
      <c r="G124" s="102">
        <v>46110.225694444445</v>
      </c>
      <c r="H124" s="102">
        <v>46110.225694444445</v>
      </c>
      <c r="I124" s="153">
        <f t="shared" si="12"/>
        <v>0.18125000000145519</v>
      </c>
      <c r="J124" s="103">
        <f t="shared" si="10"/>
        <v>261.00000000209548</v>
      </c>
      <c r="K124" s="153">
        <f t="shared" si="13"/>
        <v>0.18125000000145519</v>
      </c>
      <c r="L124" s="103">
        <f t="shared" si="11"/>
        <v>261.00000000209548</v>
      </c>
      <c r="M124" s="139" t="s">
        <v>3520</v>
      </c>
      <c r="N124" s="9" t="s">
        <v>20</v>
      </c>
      <c r="O124" s="12" t="s">
        <v>20</v>
      </c>
      <c r="P124" s="83" t="s">
        <v>2628</v>
      </c>
      <c r="Q124" s="37" t="s">
        <v>678</v>
      </c>
      <c r="R124" s="12"/>
      <c r="S124" s="38" t="str">
        <f t="shared" si="14"/>
        <v>OSLA</v>
      </c>
      <c r="T124" s="37" t="str">
        <f t="shared" si="15"/>
        <v>NON</v>
      </c>
      <c r="U124" s="12" t="s">
        <v>2675</v>
      </c>
    </row>
    <row r="125" spans="1:21" x14ac:dyDescent="0.4">
      <c r="A125" s="37">
        <v>124</v>
      </c>
      <c r="B125" s="101" t="s">
        <v>3393</v>
      </c>
      <c r="C125" s="37" t="s">
        <v>2</v>
      </c>
      <c r="D125" s="37" t="s">
        <v>702</v>
      </c>
      <c r="E125" s="12" t="s">
        <v>2918</v>
      </c>
      <c r="F125" s="102">
        <v>46110.311805555553</v>
      </c>
      <c r="G125" s="102">
        <v>46110.607638888891</v>
      </c>
      <c r="H125" s="102">
        <v>46110.607638888891</v>
      </c>
      <c r="I125" s="153">
        <f t="shared" si="12"/>
        <v>0.29583333333721384</v>
      </c>
      <c r="J125" s="103">
        <f t="shared" si="10"/>
        <v>426.00000000558794</v>
      </c>
      <c r="K125" s="153">
        <f t="shared" si="13"/>
        <v>0.29583333333721384</v>
      </c>
      <c r="L125" s="103">
        <f t="shared" si="11"/>
        <v>426.00000000558794</v>
      </c>
      <c r="M125" s="139" t="s">
        <v>3187</v>
      </c>
      <c r="N125" s="9" t="s">
        <v>3521</v>
      </c>
      <c r="O125" s="12" t="s">
        <v>2129</v>
      </c>
      <c r="P125" s="83" t="s">
        <v>2920</v>
      </c>
      <c r="Q125" s="37" t="s">
        <v>678</v>
      </c>
      <c r="R125" s="12"/>
      <c r="S125" s="38" t="str">
        <f t="shared" si="14"/>
        <v>OSLA</v>
      </c>
      <c r="T125" s="37" t="str">
        <f t="shared" si="15"/>
        <v>OUI</v>
      </c>
      <c r="U125" s="12" t="s">
        <v>2680</v>
      </c>
    </row>
    <row r="126" spans="1:21" x14ac:dyDescent="0.4">
      <c r="A126" s="37">
        <v>125</v>
      </c>
      <c r="B126" s="101" t="s">
        <v>3394</v>
      </c>
      <c r="C126" s="37" t="s">
        <v>2</v>
      </c>
      <c r="D126" s="37" t="s">
        <v>702</v>
      </c>
      <c r="E126" s="12" t="s">
        <v>3395</v>
      </c>
      <c r="F126" s="102">
        <v>46110.381944444445</v>
      </c>
      <c r="G126" s="102">
        <v>46110.510416666664</v>
      </c>
      <c r="H126" s="102">
        <v>46110.510416666664</v>
      </c>
      <c r="I126" s="153">
        <f t="shared" si="12"/>
        <v>0.12847222221898846</v>
      </c>
      <c r="J126" s="103">
        <f t="shared" si="10"/>
        <v>184.99999999534339</v>
      </c>
      <c r="K126" s="153">
        <f t="shared" si="13"/>
        <v>0.12847222221898846</v>
      </c>
      <c r="L126" s="103">
        <f t="shared" si="11"/>
        <v>184.99999999534339</v>
      </c>
      <c r="M126" s="139" t="s">
        <v>3522</v>
      </c>
      <c r="N126" s="9" t="s">
        <v>20</v>
      </c>
      <c r="O126" s="12" t="s">
        <v>20</v>
      </c>
      <c r="P126" s="83" t="s">
        <v>2628</v>
      </c>
      <c r="Q126" s="37" t="s">
        <v>678</v>
      </c>
      <c r="R126" s="12"/>
      <c r="S126" s="38" t="str">
        <f t="shared" si="14"/>
        <v>ISLA</v>
      </c>
      <c r="T126" s="37" t="str">
        <f t="shared" si="15"/>
        <v>NON</v>
      </c>
      <c r="U126" s="12" t="s">
        <v>2675</v>
      </c>
    </row>
    <row r="127" spans="1:21" ht="30.9" x14ac:dyDescent="0.4">
      <c r="A127" s="37">
        <v>126</v>
      </c>
      <c r="B127" s="101" t="s">
        <v>3396</v>
      </c>
      <c r="C127" s="37" t="s">
        <v>2</v>
      </c>
      <c r="D127" s="37" t="s">
        <v>702</v>
      </c>
      <c r="E127" s="12" t="s">
        <v>3397</v>
      </c>
      <c r="F127" s="102">
        <v>46110.506944444445</v>
      </c>
      <c r="G127" s="102">
        <v>46110.600694444445</v>
      </c>
      <c r="H127" s="102">
        <v>46110.600694444445</v>
      </c>
      <c r="I127" s="153">
        <f t="shared" si="12"/>
        <v>9.375E-2</v>
      </c>
      <c r="J127" s="103">
        <f t="shared" si="10"/>
        <v>135</v>
      </c>
      <c r="K127" s="153">
        <f t="shared" si="13"/>
        <v>9.375E-2</v>
      </c>
      <c r="L127" s="103">
        <f t="shared" si="11"/>
        <v>135</v>
      </c>
      <c r="M127" s="139" t="s">
        <v>3523</v>
      </c>
      <c r="N127" s="9" t="s">
        <v>3524</v>
      </c>
      <c r="O127" s="12" t="s">
        <v>3525</v>
      </c>
      <c r="P127" s="83" t="s">
        <v>707</v>
      </c>
      <c r="Q127" s="37" t="s">
        <v>678</v>
      </c>
      <c r="R127" s="12"/>
      <c r="S127" s="38" t="str">
        <f t="shared" si="14"/>
        <v>ISLA</v>
      </c>
      <c r="T127" s="37" t="str">
        <f t="shared" si="15"/>
        <v>NON</v>
      </c>
      <c r="U127" s="12" t="s">
        <v>2675</v>
      </c>
    </row>
    <row r="128" spans="1:21" x14ac:dyDescent="0.4">
      <c r="A128" s="37">
        <v>127</v>
      </c>
      <c r="B128" s="101" t="s">
        <v>3398</v>
      </c>
      <c r="C128" s="37" t="s">
        <v>2</v>
      </c>
      <c r="D128" s="37" t="s">
        <v>702</v>
      </c>
      <c r="E128" s="12" t="s">
        <v>2811</v>
      </c>
      <c r="F128" s="102">
        <v>46110.71597222222</v>
      </c>
      <c r="G128" s="102">
        <v>46110.951388888891</v>
      </c>
      <c r="H128" s="102">
        <v>46110.951388888891</v>
      </c>
      <c r="I128" s="153">
        <f t="shared" si="12"/>
        <v>0.23541666667006211</v>
      </c>
      <c r="J128" s="103">
        <f t="shared" si="10"/>
        <v>339.00000000488944</v>
      </c>
      <c r="K128" s="153">
        <f t="shared" si="13"/>
        <v>0.23541666667006211</v>
      </c>
      <c r="L128" s="103">
        <f t="shared" si="11"/>
        <v>339.00000000488944</v>
      </c>
      <c r="M128" s="139" t="s">
        <v>2947</v>
      </c>
      <c r="N128" s="9" t="s">
        <v>20</v>
      </c>
      <c r="O128" s="12" t="s">
        <v>20</v>
      </c>
      <c r="P128" s="83" t="s">
        <v>2813</v>
      </c>
      <c r="Q128" s="37" t="s">
        <v>678</v>
      </c>
      <c r="R128" s="12"/>
      <c r="S128" s="38" t="str">
        <f t="shared" si="14"/>
        <v>OSLA</v>
      </c>
      <c r="T128" s="37" t="str">
        <f t="shared" si="15"/>
        <v>OUI</v>
      </c>
      <c r="U128" s="12" t="s">
        <v>2680</v>
      </c>
    </row>
    <row r="129" spans="1:21" ht="20.6" x14ac:dyDescent="0.4">
      <c r="A129" s="37">
        <v>128</v>
      </c>
      <c r="B129" s="101" t="s">
        <v>3399</v>
      </c>
      <c r="C129" s="37" t="s">
        <v>2</v>
      </c>
      <c r="D129" s="37" t="s">
        <v>702</v>
      </c>
      <c r="E129" s="12" t="s">
        <v>3400</v>
      </c>
      <c r="F129" s="102">
        <v>46111.329861111109</v>
      </c>
      <c r="G129" s="102">
        <v>46112.770833333336</v>
      </c>
      <c r="H129" s="102">
        <v>46112.770833333336</v>
      </c>
      <c r="I129" s="153">
        <f t="shared" si="12"/>
        <v>1.4409722222262644</v>
      </c>
      <c r="J129" s="103">
        <f t="shared" si="10"/>
        <v>2075.0000000058208</v>
      </c>
      <c r="K129" s="153">
        <f t="shared" si="13"/>
        <v>1.4409722222262644</v>
      </c>
      <c r="L129" s="103">
        <f t="shared" si="11"/>
        <v>2075.0000000058208</v>
      </c>
      <c r="M129" s="139" t="s">
        <v>3526</v>
      </c>
      <c r="N129" s="9" t="s">
        <v>3527</v>
      </c>
      <c r="O129" s="12" t="s">
        <v>3528</v>
      </c>
      <c r="P129" s="83" t="s">
        <v>2628</v>
      </c>
      <c r="Q129" s="37" t="s">
        <v>678</v>
      </c>
      <c r="R129" s="12"/>
      <c r="S129" s="38" t="str">
        <f t="shared" si="14"/>
        <v>OSLA</v>
      </c>
      <c r="T129" s="37" t="str">
        <f t="shared" si="15"/>
        <v>NON</v>
      </c>
      <c r="U129" s="12" t="s">
        <v>2675</v>
      </c>
    </row>
    <row r="130" spans="1:21" x14ac:dyDescent="0.4">
      <c r="A130" s="37">
        <v>129</v>
      </c>
      <c r="B130" s="101" t="s">
        <v>3401</v>
      </c>
      <c r="C130" s="37" t="s">
        <v>2</v>
      </c>
      <c r="D130" s="37" t="s">
        <v>702</v>
      </c>
      <c r="E130" s="12" t="s">
        <v>2717</v>
      </c>
      <c r="F130" s="102">
        <v>46111.392361111109</v>
      </c>
      <c r="G130" s="102">
        <v>46112.60833333333</v>
      </c>
      <c r="H130" s="102">
        <v>46112.60833333333</v>
      </c>
      <c r="I130" s="153">
        <f t="shared" si="12"/>
        <v>1.2159722222204437</v>
      </c>
      <c r="J130" s="103">
        <f t="shared" ref="J130:J135" si="16">I130*1440</f>
        <v>1750.9999999974389</v>
      </c>
      <c r="K130" s="153">
        <f t="shared" si="13"/>
        <v>1.2159722222204437</v>
      </c>
      <c r="L130" s="103">
        <f t="shared" ref="L130:L135" si="17">K130*1440</f>
        <v>1750.9999999974389</v>
      </c>
      <c r="M130" s="139" t="s">
        <v>2718</v>
      </c>
      <c r="N130" s="9" t="s">
        <v>3529</v>
      </c>
      <c r="O130" s="12" t="s">
        <v>3530</v>
      </c>
      <c r="P130" s="83" t="s">
        <v>2846</v>
      </c>
      <c r="Q130" s="37" t="s">
        <v>678</v>
      </c>
      <c r="R130" s="12"/>
      <c r="S130" s="38" t="str">
        <f t="shared" si="14"/>
        <v>OSLA</v>
      </c>
      <c r="T130" s="37" t="str">
        <f t="shared" si="15"/>
        <v>OUI</v>
      </c>
      <c r="U130" s="12" t="s">
        <v>2735</v>
      </c>
    </row>
    <row r="131" spans="1:21" x14ac:dyDescent="0.4">
      <c r="A131" s="37">
        <v>130</v>
      </c>
      <c r="B131" s="101" t="s">
        <v>3402</v>
      </c>
      <c r="C131" s="37" t="s">
        <v>2</v>
      </c>
      <c r="D131" s="37" t="s">
        <v>702</v>
      </c>
      <c r="E131" s="12" t="s">
        <v>3062</v>
      </c>
      <c r="F131" s="102">
        <v>46111.503472222219</v>
      </c>
      <c r="G131" s="102">
        <v>46111.545138888891</v>
      </c>
      <c r="H131" s="102">
        <v>46111.545138888891</v>
      </c>
      <c r="I131" s="153">
        <f t="shared" ref="I131:I135" si="18">G131-F131</f>
        <v>4.1666666671517305E-2</v>
      </c>
      <c r="J131" s="103">
        <f t="shared" si="16"/>
        <v>60.000000006984919</v>
      </c>
      <c r="K131" s="153">
        <f t="shared" ref="K131:K135" si="19">H131-F131</f>
        <v>4.1666666671517305E-2</v>
      </c>
      <c r="L131" s="103">
        <f t="shared" si="17"/>
        <v>60.000000006984919</v>
      </c>
      <c r="M131" s="139" t="s">
        <v>3185</v>
      </c>
      <c r="N131" s="9" t="s">
        <v>20</v>
      </c>
      <c r="O131" s="12" t="s">
        <v>20</v>
      </c>
      <c r="P131" s="83" t="s">
        <v>2688</v>
      </c>
      <c r="Q131" s="37" t="s">
        <v>678</v>
      </c>
      <c r="R131" s="12"/>
      <c r="S131" s="38" t="str">
        <f t="shared" ref="S131:S135" si="20">IF(AND(C131="P1",J131&lt;=240),"ISLA",IF((AND(C131="P2",J131&lt;=480)),"ISLA",IF((AND(C131="P3",J131&lt;=2880)),"ISLA","OSLA")))</f>
        <v>ISLA</v>
      </c>
      <c r="T131" s="37" t="str">
        <f t="shared" ref="T131:T135" si="21">IF((AND(MID(P131,1,2)="IT",S131="OSLA")),"OUI","NON")</f>
        <v>NON</v>
      </c>
      <c r="U131" s="12" t="s">
        <v>2675</v>
      </c>
    </row>
    <row r="132" spans="1:21" ht="20.6" x14ac:dyDescent="0.4">
      <c r="A132" s="37">
        <v>131</v>
      </c>
      <c r="B132" s="101" t="s">
        <v>3403</v>
      </c>
      <c r="C132" s="37" t="s">
        <v>14</v>
      </c>
      <c r="D132" s="37" t="s">
        <v>702</v>
      </c>
      <c r="E132" s="12" t="s">
        <v>3021</v>
      </c>
      <c r="F132" s="102">
        <v>46111.517361111109</v>
      </c>
      <c r="G132" s="102">
        <v>46111.694444444445</v>
      </c>
      <c r="H132" s="102">
        <v>46111.694444444445</v>
      </c>
      <c r="I132" s="153">
        <f t="shared" si="18"/>
        <v>0.17708333333575865</v>
      </c>
      <c r="J132" s="103">
        <f t="shared" si="16"/>
        <v>255.00000000349246</v>
      </c>
      <c r="K132" s="153">
        <f t="shared" si="19"/>
        <v>0.17708333333575865</v>
      </c>
      <c r="L132" s="103">
        <f t="shared" si="17"/>
        <v>255.00000000349246</v>
      </c>
      <c r="M132" s="139" t="s">
        <v>3160</v>
      </c>
      <c r="N132" s="9" t="s">
        <v>3527</v>
      </c>
      <c r="O132" s="12" t="s">
        <v>3528</v>
      </c>
      <c r="P132" s="83" t="s">
        <v>2628</v>
      </c>
      <c r="Q132" s="37" t="s">
        <v>678</v>
      </c>
      <c r="R132" s="12"/>
      <c r="S132" s="38" t="str">
        <f t="shared" si="20"/>
        <v>ISLA</v>
      </c>
      <c r="T132" s="37" t="str">
        <f t="shared" si="21"/>
        <v>NON</v>
      </c>
      <c r="U132" s="12" t="s">
        <v>2675</v>
      </c>
    </row>
    <row r="133" spans="1:21" ht="20.6" x14ac:dyDescent="0.4">
      <c r="A133" s="37">
        <v>132</v>
      </c>
      <c r="B133" s="101" t="s">
        <v>3404</v>
      </c>
      <c r="C133" s="37" t="s">
        <v>14</v>
      </c>
      <c r="D133" s="37" t="s">
        <v>702</v>
      </c>
      <c r="E133" s="12" t="s">
        <v>3405</v>
      </c>
      <c r="F133" s="102">
        <v>46111.604166666664</v>
      </c>
      <c r="G133" s="102">
        <v>46111.694444444445</v>
      </c>
      <c r="H133" s="102">
        <v>46111.694444444445</v>
      </c>
      <c r="I133" s="153">
        <f t="shared" si="18"/>
        <v>9.0277777781011537E-2</v>
      </c>
      <c r="J133" s="103">
        <f t="shared" si="16"/>
        <v>130.00000000465661</v>
      </c>
      <c r="K133" s="153">
        <f t="shared" si="19"/>
        <v>9.0277777781011537E-2</v>
      </c>
      <c r="L133" s="103">
        <f t="shared" si="17"/>
        <v>130.00000000465661</v>
      </c>
      <c r="M133" s="139" t="s">
        <v>3531</v>
      </c>
      <c r="N133" s="9" t="s">
        <v>3532</v>
      </c>
      <c r="O133" s="12" t="s">
        <v>3528</v>
      </c>
      <c r="P133" s="83" t="s">
        <v>2628</v>
      </c>
      <c r="Q133" s="37" t="s">
        <v>678</v>
      </c>
      <c r="R133" s="12"/>
      <c r="S133" s="38" t="str">
        <f t="shared" si="20"/>
        <v>ISLA</v>
      </c>
      <c r="T133" s="37" t="str">
        <f t="shared" si="21"/>
        <v>NON</v>
      </c>
      <c r="U133" s="12" t="s">
        <v>2675</v>
      </c>
    </row>
    <row r="134" spans="1:21" x14ac:dyDescent="0.4">
      <c r="A134" s="37">
        <v>133</v>
      </c>
      <c r="B134" s="101" t="s">
        <v>3406</v>
      </c>
      <c r="C134" s="37" t="s">
        <v>2</v>
      </c>
      <c r="D134" s="37" t="s">
        <v>702</v>
      </c>
      <c r="E134" s="12" t="s">
        <v>2918</v>
      </c>
      <c r="F134" s="102">
        <v>46111.668749999997</v>
      </c>
      <c r="G134" s="102">
        <v>46111.7</v>
      </c>
      <c r="H134" s="102">
        <v>46111.7</v>
      </c>
      <c r="I134" s="153">
        <f t="shared" si="18"/>
        <v>3.125E-2</v>
      </c>
      <c r="J134" s="103">
        <f t="shared" si="16"/>
        <v>45</v>
      </c>
      <c r="K134" s="153">
        <f t="shared" si="19"/>
        <v>3.125E-2</v>
      </c>
      <c r="L134" s="103">
        <f t="shared" si="17"/>
        <v>45</v>
      </c>
      <c r="M134" s="139" t="s">
        <v>3187</v>
      </c>
      <c r="N134" s="9" t="s">
        <v>20</v>
      </c>
      <c r="O134" s="12" t="s">
        <v>20</v>
      </c>
      <c r="P134" s="83" t="s">
        <v>2920</v>
      </c>
      <c r="Q134" s="37" t="s">
        <v>678</v>
      </c>
      <c r="R134" s="12"/>
      <c r="S134" s="38" t="str">
        <f t="shared" si="20"/>
        <v>ISLA</v>
      </c>
      <c r="T134" s="37" t="str">
        <f t="shared" si="21"/>
        <v>NON</v>
      </c>
      <c r="U134" s="12" t="s">
        <v>2680</v>
      </c>
    </row>
    <row r="135" spans="1:21" x14ac:dyDescent="0.4">
      <c r="A135" s="37">
        <v>134</v>
      </c>
      <c r="B135" s="101" t="s">
        <v>3407</v>
      </c>
      <c r="C135" s="37" t="s">
        <v>2</v>
      </c>
      <c r="D135" s="37" t="s">
        <v>702</v>
      </c>
      <c r="E135" s="12" t="s">
        <v>2827</v>
      </c>
      <c r="F135" s="102">
        <v>46112.84375</v>
      </c>
      <c r="G135" s="102">
        <v>46112.882638888892</v>
      </c>
      <c r="H135" s="102">
        <v>46112.882638888892</v>
      </c>
      <c r="I135" s="153">
        <f t="shared" si="18"/>
        <v>3.888888889196096E-2</v>
      </c>
      <c r="J135" s="103">
        <f t="shared" si="16"/>
        <v>56.000000004423782</v>
      </c>
      <c r="K135" s="153">
        <f t="shared" si="19"/>
        <v>3.888888889196096E-2</v>
      </c>
      <c r="L135" s="103">
        <f t="shared" si="17"/>
        <v>56.000000004423782</v>
      </c>
      <c r="M135" s="139" t="s">
        <v>2828</v>
      </c>
      <c r="N135" s="9" t="s">
        <v>3533</v>
      </c>
      <c r="O135" s="12" t="s">
        <v>20</v>
      </c>
      <c r="P135" s="83" t="s">
        <v>2829</v>
      </c>
      <c r="Q135" s="37" t="s">
        <v>678</v>
      </c>
      <c r="R135" s="12"/>
      <c r="S135" s="38" t="str">
        <f t="shared" si="20"/>
        <v>ISLA</v>
      </c>
      <c r="T135" s="37" t="str">
        <f t="shared" si="21"/>
        <v>NON</v>
      </c>
      <c r="U135" s="12" t="s">
        <v>2680</v>
      </c>
    </row>
  </sheetData>
  <conditionalFormatting sqref="F2:L135">
    <cfRule type="cellIs" dxfId="20" priority="1" operator="equal">
      <formula>"NOK"</formula>
    </cfRule>
  </conditionalFormatting>
  <conditionalFormatting sqref="P48:P50">
    <cfRule type="cellIs" dxfId="19" priority="94" operator="equal">
      <formula>"NOK"</formula>
    </cfRule>
  </conditionalFormatting>
  <conditionalFormatting sqref="P57">
    <cfRule type="cellIs" dxfId="18" priority="31" operator="equal">
      <formula>"NOK"</formula>
    </cfRule>
  </conditionalFormatting>
  <pageMargins left="0.7" right="0.7" top="0.75" bottom="0.75" header="0.3" footer="0.3"/>
  <pageSetup paperSize="9" orientation="portrait" horizontalDpi="4294967295" verticalDpi="4294967295"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3"/>
  <dimension ref="A1:X138"/>
  <sheetViews>
    <sheetView workbookViewId="0">
      <selection activeCell="E2" sqref="E2"/>
    </sheetView>
  </sheetViews>
  <sheetFormatPr baseColWidth="10" defaultRowHeight="14.6" x14ac:dyDescent="0.4"/>
  <cols>
    <col min="1" max="1" width="5.84375" customWidth="1"/>
    <col min="2" max="2" width="9.84375" style="120" bestFit="1" customWidth="1"/>
    <col min="3" max="3" width="6.84375" bestFit="1" customWidth="1"/>
    <col min="4" max="4" width="9.07421875" bestFit="1" customWidth="1"/>
    <col min="5" max="5" width="40.84375" customWidth="1"/>
    <col min="6" max="6" width="13" customWidth="1"/>
    <col min="7" max="7" width="18.69140625" customWidth="1"/>
    <col min="8" max="8" width="14.53515625" customWidth="1"/>
    <col min="9" max="9" width="19.3046875" customWidth="1"/>
    <col min="10" max="12" width="10.07421875" customWidth="1"/>
    <col min="13" max="13" width="61.07421875" customWidth="1"/>
    <col min="14" max="14" width="38.84375" customWidth="1"/>
    <col min="15" max="15" width="42.84375" customWidth="1"/>
    <col min="16" max="16" width="9.4609375" style="191" bestFit="1" customWidth="1"/>
    <col min="17" max="17" width="7.07421875" style="120" bestFit="1" customWidth="1"/>
    <col min="18" max="18" width="15.3046875" bestFit="1" customWidth="1"/>
    <col min="19" max="19" width="5.07421875" bestFit="1" customWidth="1"/>
    <col min="20" max="20" width="12.69140625" bestFit="1" customWidth="1"/>
    <col min="21" max="21" width="7.4609375" bestFit="1" customWidth="1"/>
  </cols>
  <sheetData>
    <row r="1" spans="1:24" x14ac:dyDescent="0.4">
      <c r="A1" s="6" t="s">
        <v>0</v>
      </c>
      <c r="B1" s="7"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7" t="s">
        <v>684</v>
      </c>
      <c r="R1" s="7" t="s">
        <v>659</v>
      </c>
      <c r="S1" s="6" t="s">
        <v>888</v>
      </c>
      <c r="T1" s="156" t="s">
        <v>2627</v>
      </c>
      <c r="U1" s="156" t="s">
        <v>2630</v>
      </c>
      <c r="X1" s="129"/>
    </row>
    <row r="2" spans="1:24" ht="82.3" x14ac:dyDescent="0.4">
      <c r="A2" s="37">
        <v>1</v>
      </c>
      <c r="B2" s="12" t="s">
        <v>3539</v>
      </c>
      <c r="C2" s="37" t="s">
        <v>2</v>
      </c>
      <c r="D2" s="37" t="s">
        <v>702</v>
      </c>
      <c r="E2" s="9" t="s">
        <v>3540</v>
      </c>
      <c r="F2" s="102">
        <v>46111.104166666664</v>
      </c>
      <c r="G2" s="102">
        <v>46115.543749999997</v>
      </c>
      <c r="H2" s="102">
        <v>46115.543749999997</v>
      </c>
      <c r="I2" s="153">
        <f t="shared" ref="I2:I65" si="0">G2-F2</f>
        <v>4.4395833333328483</v>
      </c>
      <c r="J2" s="103">
        <f t="shared" ref="J2:J65" si="1">I2*1440</f>
        <v>6392.9999999993015</v>
      </c>
      <c r="K2" s="153">
        <f t="shared" ref="K2:K65" si="2">H2-F2</f>
        <v>4.4395833333328483</v>
      </c>
      <c r="L2" s="103">
        <f t="shared" ref="L2:L65" si="3">K2*1440</f>
        <v>6392.9999999993015</v>
      </c>
      <c r="M2" s="100" t="s">
        <v>3696</v>
      </c>
      <c r="N2" s="100" t="s">
        <v>3532</v>
      </c>
      <c r="O2" s="100" t="s">
        <v>3528</v>
      </c>
      <c r="P2" s="37" t="s">
        <v>2628</v>
      </c>
      <c r="Q2" s="37" t="s">
        <v>678</v>
      </c>
      <c r="R2" s="40"/>
      <c r="S2" s="38" t="str">
        <f t="shared" ref="S2:S65" si="4">IF(AND(C2="P1",J2&lt;=240),"ISLA",IF((AND(C2="P2",J2&lt;=480)),"ISLA",IF((AND(C2="P3",J2&lt;=2880)),"ISLA","OSLA")))</f>
        <v>OSLA</v>
      </c>
      <c r="T2" s="37" t="str">
        <f t="shared" ref="T2:T65" si="5">IF((AND(MID(P2,1,2)="IT",S2="OSLA")),"OUI","NON")</f>
        <v>NON</v>
      </c>
      <c r="U2" s="12" t="s">
        <v>2675</v>
      </c>
    </row>
    <row r="3" spans="1:24" x14ac:dyDescent="0.4">
      <c r="A3" s="37">
        <v>2</v>
      </c>
      <c r="B3" s="12" t="s">
        <v>3541</v>
      </c>
      <c r="C3" s="37" t="s">
        <v>2</v>
      </c>
      <c r="D3" s="37" t="s">
        <v>702</v>
      </c>
      <c r="E3" s="9" t="s">
        <v>3542</v>
      </c>
      <c r="F3" s="102">
        <v>46112.12777777778</v>
      </c>
      <c r="G3" s="102">
        <v>46113.542361111111</v>
      </c>
      <c r="H3" s="102">
        <v>46113.542361111111</v>
      </c>
      <c r="I3" s="153">
        <f t="shared" si="0"/>
        <v>1.4145833333313931</v>
      </c>
      <c r="J3" s="103">
        <f t="shared" si="1"/>
        <v>2036.999999997206</v>
      </c>
      <c r="K3" s="153">
        <f t="shared" si="2"/>
        <v>1.4145833333313931</v>
      </c>
      <c r="L3" s="103">
        <f t="shared" si="3"/>
        <v>2036.999999997206</v>
      </c>
      <c r="M3" s="100" t="s">
        <v>3697</v>
      </c>
      <c r="N3" s="100" t="s">
        <v>3698</v>
      </c>
      <c r="O3" s="100" t="s">
        <v>20</v>
      </c>
      <c r="P3" s="37" t="s">
        <v>3699</v>
      </c>
      <c r="Q3" s="37" t="s">
        <v>678</v>
      </c>
      <c r="R3" s="40"/>
      <c r="S3" s="38" t="str">
        <f t="shared" si="4"/>
        <v>OSLA</v>
      </c>
      <c r="T3" s="37" t="str">
        <f t="shared" si="5"/>
        <v>OUI</v>
      </c>
      <c r="U3" s="12" t="s">
        <v>2735</v>
      </c>
    </row>
    <row r="4" spans="1:24" x14ac:dyDescent="0.4">
      <c r="A4" s="37">
        <v>3</v>
      </c>
      <c r="B4" s="12" t="s">
        <v>3543</v>
      </c>
      <c r="C4" s="37" t="s">
        <v>2</v>
      </c>
      <c r="D4" s="37" t="s">
        <v>702</v>
      </c>
      <c r="E4" s="9" t="s">
        <v>3145</v>
      </c>
      <c r="F4" s="102">
        <v>46112.800694444442</v>
      </c>
      <c r="G4" s="102">
        <v>46114.716666666667</v>
      </c>
      <c r="H4" s="102">
        <v>46114.716666666667</v>
      </c>
      <c r="I4" s="153">
        <f t="shared" si="0"/>
        <v>1.9159722222248092</v>
      </c>
      <c r="J4" s="103">
        <f t="shared" si="1"/>
        <v>2759.0000000037253</v>
      </c>
      <c r="K4" s="153">
        <f t="shared" si="2"/>
        <v>1.9159722222248092</v>
      </c>
      <c r="L4" s="103">
        <f t="shared" si="3"/>
        <v>2759.0000000037253</v>
      </c>
      <c r="M4" s="100" t="s">
        <v>3700</v>
      </c>
      <c r="N4" s="100" t="s">
        <v>20</v>
      </c>
      <c r="O4" s="100" t="s">
        <v>20</v>
      </c>
      <c r="P4" s="37" t="s">
        <v>2628</v>
      </c>
      <c r="Q4" s="37" t="s">
        <v>678</v>
      </c>
      <c r="R4" s="40"/>
      <c r="S4" s="38" t="str">
        <f t="shared" si="4"/>
        <v>OSLA</v>
      </c>
      <c r="T4" s="37" t="str">
        <f t="shared" si="5"/>
        <v>NON</v>
      </c>
      <c r="U4" s="12" t="s">
        <v>2675</v>
      </c>
    </row>
    <row r="5" spans="1:24" x14ac:dyDescent="0.4">
      <c r="A5" s="37">
        <v>4</v>
      </c>
      <c r="B5" s="12" t="s">
        <v>3544</v>
      </c>
      <c r="C5" s="37" t="s">
        <v>2</v>
      </c>
      <c r="D5" s="37" t="s">
        <v>702</v>
      </c>
      <c r="E5" s="9" t="s">
        <v>3273</v>
      </c>
      <c r="F5" s="102">
        <v>46113.013888888891</v>
      </c>
      <c r="G5" s="102">
        <v>46113.475694444445</v>
      </c>
      <c r="H5" s="102">
        <v>46113.475694444445</v>
      </c>
      <c r="I5" s="153">
        <f t="shared" si="0"/>
        <v>0.46180555555474712</v>
      </c>
      <c r="J5" s="103">
        <f t="shared" si="1"/>
        <v>664.99999999883585</v>
      </c>
      <c r="K5" s="153">
        <f t="shared" si="2"/>
        <v>0.46180555555474712</v>
      </c>
      <c r="L5" s="103">
        <f t="shared" si="3"/>
        <v>664.99999999883585</v>
      </c>
      <c r="M5" s="100" t="s">
        <v>3701</v>
      </c>
      <c r="N5" s="100" t="s">
        <v>20</v>
      </c>
      <c r="O5" s="100" t="s">
        <v>20</v>
      </c>
      <c r="P5" s="37" t="s">
        <v>2628</v>
      </c>
      <c r="Q5" s="37" t="s">
        <v>678</v>
      </c>
      <c r="R5" s="144"/>
      <c r="S5" s="38" t="str">
        <f t="shared" si="4"/>
        <v>OSLA</v>
      </c>
      <c r="T5" s="37" t="str">
        <f t="shared" si="5"/>
        <v>NON</v>
      </c>
      <c r="U5" s="12" t="s">
        <v>2675</v>
      </c>
    </row>
    <row r="6" spans="1:24" x14ac:dyDescent="0.4">
      <c r="A6" s="37">
        <v>5</v>
      </c>
      <c r="B6" s="12" t="s">
        <v>3545</v>
      </c>
      <c r="C6" s="37" t="s">
        <v>2</v>
      </c>
      <c r="D6" s="37" t="s">
        <v>702</v>
      </c>
      <c r="E6" s="9" t="s">
        <v>2750</v>
      </c>
      <c r="F6" s="102">
        <v>46113.190972222219</v>
      </c>
      <c r="G6" s="102">
        <v>46113.701388888891</v>
      </c>
      <c r="H6" s="102">
        <v>46113.701388888891</v>
      </c>
      <c r="I6" s="153">
        <f t="shared" si="0"/>
        <v>0.51041666667151731</v>
      </c>
      <c r="J6" s="103">
        <f t="shared" si="1"/>
        <v>735.00000000698492</v>
      </c>
      <c r="K6" s="153">
        <f t="shared" si="2"/>
        <v>0.51041666667151731</v>
      </c>
      <c r="L6" s="103">
        <f t="shared" si="3"/>
        <v>735.00000000698492</v>
      </c>
      <c r="M6" s="100" t="s">
        <v>3702</v>
      </c>
      <c r="N6" s="100" t="s">
        <v>20</v>
      </c>
      <c r="O6" s="100" t="s">
        <v>20</v>
      </c>
      <c r="P6" s="37" t="s">
        <v>2628</v>
      </c>
      <c r="Q6" s="37" t="s">
        <v>678</v>
      </c>
      <c r="R6" s="40"/>
      <c r="S6" s="38" t="str">
        <f t="shared" si="4"/>
        <v>OSLA</v>
      </c>
      <c r="T6" s="37" t="str">
        <f t="shared" si="5"/>
        <v>NON</v>
      </c>
      <c r="U6" s="12" t="s">
        <v>2675</v>
      </c>
    </row>
    <row r="7" spans="1:24" x14ac:dyDescent="0.4">
      <c r="A7" s="37">
        <v>6</v>
      </c>
      <c r="B7" s="12" t="s">
        <v>3546</v>
      </c>
      <c r="C7" s="37" t="s">
        <v>2</v>
      </c>
      <c r="D7" s="37" t="s">
        <v>702</v>
      </c>
      <c r="E7" s="9" t="s">
        <v>299</v>
      </c>
      <c r="F7" s="102">
        <v>46113.190972222219</v>
      </c>
      <c r="G7" s="102">
        <v>46120.708333333336</v>
      </c>
      <c r="H7" s="102">
        <v>46120.708333333336</v>
      </c>
      <c r="I7" s="153">
        <f t="shared" si="0"/>
        <v>7.5173611111167702</v>
      </c>
      <c r="J7" s="103">
        <f t="shared" si="1"/>
        <v>10825.000000008149</v>
      </c>
      <c r="K7" s="153">
        <f t="shared" si="2"/>
        <v>7.5173611111167702</v>
      </c>
      <c r="L7" s="103">
        <f t="shared" si="3"/>
        <v>10825.000000008149</v>
      </c>
      <c r="M7" s="100" t="s">
        <v>2742</v>
      </c>
      <c r="N7" s="100" t="s">
        <v>20</v>
      </c>
      <c r="O7" s="100" t="s">
        <v>20</v>
      </c>
      <c r="P7" s="37" t="s">
        <v>2628</v>
      </c>
      <c r="Q7" s="37" t="s">
        <v>678</v>
      </c>
      <c r="R7" s="171"/>
      <c r="S7" s="38" t="str">
        <f t="shared" si="4"/>
        <v>OSLA</v>
      </c>
      <c r="T7" s="37" t="str">
        <f t="shared" si="5"/>
        <v>NON</v>
      </c>
      <c r="U7" s="12" t="s">
        <v>2675</v>
      </c>
    </row>
    <row r="8" spans="1:24" x14ac:dyDescent="0.4">
      <c r="A8" s="37">
        <v>7</v>
      </c>
      <c r="B8" s="12" t="s">
        <v>3547</v>
      </c>
      <c r="C8" s="37" t="s">
        <v>2</v>
      </c>
      <c r="D8" s="37" t="s">
        <v>702</v>
      </c>
      <c r="E8" s="9" t="s">
        <v>3548</v>
      </c>
      <c r="F8" s="102">
        <v>46113.25</v>
      </c>
      <c r="G8" s="102">
        <v>46113.341666666667</v>
      </c>
      <c r="H8" s="102">
        <v>46113.341666666667</v>
      </c>
      <c r="I8" s="153">
        <f t="shared" si="0"/>
        <v>9.1666666667151731E-2</v>
      </c>
      <c r="J8" s="103">
        <f t="shared" si="1"/>
        <v>132.00000000069849</v>
      </c>
      <c r="K8" s="153">
        <f t="shared" si="2"/>
        <v>9.1666666667151731E-2</v>
      </c>
      <c r="L8" s="103">
        <f t="shared" si="3"/>
        <v>132.00000000069849</v>
      </c>
      <c r="M8" s="100" t="s">
        <v>2878</v>
      </c>
      <c r="N8" s="100" t="s">
        <v>20</v>
      </c>
      <c r="O8" s="100" t="s">
        <v>20</v>
      </c>
      <c r="P8" s="37" t="s">
        <v>2798</v>
      </c>
      <c r="Q8" s="37" t="s">
        <v>678</v>
      </c>
      <c r="R8" s="171"/>
      <c r="S8" s="38" t="str">
        <f t="shared" si="4"/>
        <v>ISLA</v>
      </c>
      <c r="T8" s="37" t="str">
        <f t="shared" si="5"/>
        <v>NON</v>
      </c>
      <c r="U8" s="12" t="s">
        <v>2680</v>
      </c>
    </row>
    <row r="9" spans="1:24" x14ac:dyDescent="0.4">
      <c r="A9" s="37">
        <v>8</v>
      </c>
      <c r="B9" s="12" t="s">
        <v>3549</v>
      </c>
      <c r="C9" s="37" t="s">
        <v>2</v>
      </c>
      <c r="D9" s="37" t="s">
        <v>702</v>
      </c>
      <c r="E9" s="9" t="s">
        <v>3069</v>
      </c>
      <c r="F9" s="102">
        <v>46113.25</v>
      </c>
      <c r="G9" s="102">
        <v>46113.944444444445</v>
      </c>
      <c r="H9" s="102">
        <v>46113.944444444445</v>
      </c>
      <c r="I9" s="153">
        <f t="shared" si="0"/>
        <v>0.69444444444525288</v>
      </c>
      <c r="J9" s="103">
        <f t="shared" si="1"/>
        <v>1000.0000000011642</v>
      </c>
      <c r="K9" s="153">
        <f t="shared" si="2"/>
        <v>0.69444444444525288</v>
      </c>
      <c r="L9" s="103">
        <f t="shared" si="3"/>
        <v>1000.0000000011642</v>
      </c>
      <c r="M9" s="100" t="s">
        <v>3187</v>
      </c>
      <c r="N9" s="100" t="s">
        <v>3703</v>
      </c>
      <c r="O9" s="100" t="s">
        <v>20</v>
      </c>
      <c r="P9" s="37" t="s">
        <v>3704</v>
      </c>
      <c r="Q9" s="37" t="s">
        <v>678</v>
      </c>
      <c r="R9" s="171"/>
      <c r="S9" s="38" t="str">
        <f t="shared" si="4"/>
        <v>OSLA</v>
      </c>
      <c r="T9" s="37" t="str">
        <f t="shared" si="5"/>
        <v>OUI</v>
      </c>
      <c r="U9" s="12" t="s">
        <v>2680</v>
      </c>
    </row>
    <row r="10" spans="1:24" ht="20.6" x14ac:dyDescent="0.4">
      <c r="A10" s="37">
        <v>9</v>
      </c>
      <c r="B10" s="12" t="s">
        <v>3550</v>
      </c>
      <c r="C10" s="37" t="s">
        <v>2</v>
      </c>
      <c r="D10" s="37" t="s">
        <v>702</v>
      </c>
      <c r="E10" s="9" t="s">
        <v>3551</v>
      </c>
      <c r="F10" s="102">
        <v>46113.726388888892</v>
      </c>
      <c r="G10" s="102">
        <v>46113.743055555555</v>
      </c>
      <c r="H10" s="102">
        <v>46113.743055555555</v>
      </c>
      <c r="I10" s="153">
        <f t="shared" si="0"/>
        <v>1.6666666662786156E-2</v>
      </c>
      <c r="J10" s="103">
        <f t="shared" si="1"/>
        <v>23.999999994412065</v>
      </c>
      <c r="K10" s="153">
        <f t="shared" si="2"/>
        <v>1.6666666662786156E-2</v>
      </c>
      <c r="L10" s="103">
        <f t="shared" si="3"/>
        <v>23.999999994412065</v>
      </c>
      <c r="M10" s="100" t="s">
        <v>3705</v>
      </c>
      <c r="N10" s="100" t="s">
        <v>3706</v>
      </c>
      <c r="O10" s="100" t="s">
        <v>3707</v>
      </c>
      <c r="P10" s="37" t="s">
        <v>2628</v>
      </c>
      <c r="Q10" s="37" t="s">
        <v>678</v>
      </c>
      <c r="R10" s="171"/>
      <c r="S10" s="38" t="str">
        <f t="shared" si="4"/>
        <v>ISLA</v>
      </c>
      <c r="T10" s="37" t="str">
        <f t="shared" si="5"/>
        <v>NON</v>
      </c>
      <c r="U10" s="12" t="s">
        <v>2675</v>
      </c>
    </row>
    <row r="11" spans="1:24" x14ac:dyDescent="0.4">
      <c r="A11" s="37">
        <v>10</v>
      </c>
      <c r="B11" s="12" t="s">
        <v>3552</v>
      </c>
      <c r="C11" s="37" t="s">
        <v>2</v>
      </c>
      <c r="D11" s="37" t="s">
        <v>702</v>
      </c>
      <c r="E11" s="9" t="s">
        <v>2831</v>
      </c>
      <c r="F11" s="102">
        <v>46113.850694444445</v>
      </c>
      <c r="G11" s="102">
        <v>46114.069444444445</v>
      </c>
      <c r="H11" s="102">
        <v>46114.069444444445</v>
      </c>
      <c r="I11" s="153">
        <f t="shared" si="0"/>
        <v>0.21875</v>
      </c>
      <c r="J11" s="103">
        <f t="shared" si="1"/>
        <v>315</v>
      </c>
      <c r="K11" s="153">
        <f t="shared" si="2"/>
        <v>0.21875</v>
      </c>
      <c r="L11" s="103">
        <f t="shared" si="3"/>
        <v>315</v>
      </c>
      <c r="M11" s="100" t="s">
        <v>2832</v>
      </c>
      <c r="N11" s="100" t="s">
        <v>20</v>
      </c>
      <c r="O11" s="100" t="s">
        <v>20</v>
      </c>
      <c r="P11" s="37" t="s">
        <v>2834</v>
      </c>
      <c r="Q11" s="37" t="s">
        <v>678</v>
      </c>
      <c r="R11" s="171"/>
      <c r="S11" s="38" t="str">
        <f t="shared" si="4"/>
        <v>OSLA</v>
      </c>
      <c r="T11" s="37" t="str">
        <f t="shared" si="5"/>
        <v>OUI</v>
      </c>
      <c r="U11" s="12" t="s">
        <v>2680</v>
      </c>
    </row>
    <row r="12" spans="1:24" x14ac:dyDescent="0.4">
      <c r="A12" s="37">
        <v>11</v>
      </c>
      <c r="B12" s="12" t="s">
        <v>3553</v>
      </c>
      <c r="C12" s="37" t="s">
        <v>2</v>
      </c>
      <c r="D12" s="37" t="s">
        <v>702</v>
      </c>
      <c r="E12" s="9" t="s">
        <v>2831</v>
      </c>
      <c r="F12" s="102">
        <v>46114.298611111109</v>
      </c>
      <c r="G12" s="102">
        <v>46114.404166666667</v>
      </c>
      <c r="H12" s="102">
        <v>46114.404166666667</v>
      </c>
      <c r="I12" s="153">
        <f t="shared" si="0"/>
        <v>0.1055555555576575</v>
      </c>
      <c r="J12" s="103">
        <f t="shared" si="1"/>
        <v>152.0000000030268</v>
      </c>
      <c r="K12" s="153">
        <f t="shared" si="2"/>
        <v>0.1055555555576575</v>
      </c>
      <c r="L12" s="103">
        <f t="shared" si="3"/>
        <v>152.0000000030268</v>
      </c>
      <c r="M12" s="100" t="s">
        <v>2832</v>
      </c>
      <c r="N12" s="100" t="s">
        <v>20</v>
      </c>
      <c r="O12" s="100" t="s">
        <v>20</v>
      </c>
      <c r="P12" s="83" t="s">
        <v>2834</v>
      </c>
      <c r="Q12" s="37" t="s">
        <v>678</v>
      </c>
      <c r="R12" s="171"/>
      <c r="S12" s="38" t="str">
        <f t="shared" si="4"/>
        <v>ISLA</v>
      </c>
      <c r="T12" s="37" t="str">
        <f t="shared" si="5"/>
        <v>NON</v>
      </c>
      <c r="U12" s="12" t="s">
        <v>2680</v>
      </c>
    </row>
    <row r="13" spans="1:24" ht="123.45" x14ac:dyDescent="0.4">
      <c r="A13" s="37">
        <v>12</v>
      </c>
      <c r="B13" s="37" t="s">
        <v>3554</v>
      </c>
      <c r="C13" s="37" t="s">
        <v>2</v>
      </c>
      <c r="D13" s="37" t="s">
        <v>702</v>
      </c>
      <c r="E13" s="9" t="s">
        <v>3555</v>
      </c>
      <c r="F13" s="102">
        <v>46114.447916666664</v>
      </c>
      <c r="G13" s="102">
        <v>46114.527777777781</v>
      </c>
      <c r="H13" s="102">
        <v>46114.527777777781</v>
      </c>
      <c r="I13" s="153">
        <f t="shared" si="0"/>
        <v>7.9861111116770189E-2</v>
      </c>
      <c r="J13" s="103">
        <f t="shared" si="1"/>
        <v>115.00000000814907</v>
      </c>
      <c r="K13" s="153">
        <f t="shared" si="2"/>
        <v>7.9861111116770189E-2</v>
      </c>
      <c r="L13" s="103">
        <f t="shared" si="3"/>
        <v>115.00000000814907</v>
      </c>
      <c r="M13" s="100" t="s">
        <v>3708</v>
      </c>
      <c r="N13" s="100" t="s">
        <v>20</v>
      </c>
      <c r="O13" s="100" t="s">
        <v>20</v>
      </c>
      <c r="P13" s="37" t="s">
        <v>2628</v>
      </c>
      <c r="Q13" s="37" t="s">
        <v>678</v>
      </c>
      <c r="R13" s="171"/>
      <c r="S13" s="38" t="str">
        <f t="shared" si="4"/>
        <v>ISLA</v>
      </c>
      <c r="T13" s="37" t="str">
        <f t="shared" si="5"/>
        <v>NON</v>
      </c>
      <c r="U13" s="12" t="s">
        <v>2675</v>
      </c>
    </row>
    <row r="14" spans="1:24" x14ac:dyDescent="0.4">
      <c r="A14" s="37">
        <v>13</v>
      </c>
      <c r="B14" s="12" t="s">
        <v>3556</v>
      </c>
      <c r="C14" s="37" t="s">
        <v>2</v>
      </c>
      <c r="D14" s="37" t="s">
        <v>702</v>
      </c>
      <c r="E14" s="9" t="s">
        <v>3557</v>
      </c>
      <c r="F14" s="102">
        <v>46114.666666666664</v>
      </c>
      <c r="G14" s="102">
        <v>46114.940972222219</v>
      </c>
      <c r="H14" s="102">
        <v>46114.940972222219</v>
      </c>
      <c r="I14" s="153">
        <f t="shared" si="0"/>
        <v>0.27430555555474712</v>
      </c>
      <c r="J14" s="103">
        <f t="shared" si="1"/>
        <v>394.99999999883585</v>
      </c>
      <c r="K14" s="153">
        <f t="shared" si="2"/>
        <v>0.27430555555474712</v>
      </c>
      <c r="L14" s="103">
        <f t="shared" si="3"/>
        <v>394.99999999883585</v>
      </c>
      <c r="M14" s="100" t="s">
        <v>3709</v>
      </c>
      <c r="N14" s="100" t="s">
        <v>20</v>
      </c>
      <c r="O14" s="100" t="s">
        <v>20</v>
      </c>
      <c r="P14" s="37" t="s">
        <v>2628</v>
      </c>
      <c r="Q14" s="37" t="s">
        <v>678</v>
      </c>
      <c r="R14" s="172"/>
      <c r="S14" s="38" t="str">
        <f t="shared" si="4"/>
        <v>OSLA</v>
      </c>
      <c r="T14" s="37" t="str">
        <f t="shared" si="5"/>
        <v>NON</v>
      </c>
      <c r="U14" s="12" t="s">
        <v>2675</v>
      </c>
    </row>
    <row r="15" spans="1:24" x14ac:dyDescent="0.4">
      <c r="A15" s="37">
        <v>14</v>
      </c>
      <c r="B15" s="12" t="s">
        <v>3558</v>
      </c>
      <c r="C15" s="37" t="s">
        <v>2</v>
      </c>
      <c r="D15" s="37" t="s">
        <v>702</v>
      </c>
      <c r="E15" s="9" t="s">
        <v>2817</v>
      </c>
      <c r="F15" s="102">
        <v>46114.938888888886</v>
      </c>
      <c r="G15" s="102">
        <v>46115.395833333336</v>
      </c>
      <c r="H15" s="102">
        <v>46115.395833333336</v>
      </c>
      <c r="I15" s="153">
        <f t="shared" si="0"/>
        <v>0.45694444444961846</v>
      </c>
      <c r="J15" s="103">
        <f t="shared" si="1"/>
        <v>658.00000000745058</v>
      </c>
      <c r="K15" s="153">
        <f t="shared" si="2"/>
        <v>0.45694444444961846</v>
      </c>
      <c r="L15" s="103">
        <f t="shared" si="3"/>
        <v>658.00000000745058</v>
      </c>
      <c r="M15" s="100" t="s">
        <v>2990</v>
      </c>
      <c r="N15" s="100" t="s">
        <v>20</v>
      </c>
      <c r="O15" s="139" t="s">
        <v>20</v>
      </c>
      <c r="P15" s="37" t="s">
        <v>2819</v>
      </c>
      <c r="Q15" s="37" t="s">
        <v>678</v>
      </c>
      <c r="R15" s="144"/>
      <c r="S15" s="38" t="str">
        <f t="shared" si="4"/>
        <v>OSLA</v>
      </c>
      <c r="T15" s="37" t="str">
        <f t="shared" si="5"/>
        <v>OUI</v>
      </c>
      <c r="U15" s="12" t="s">
        <v>2680</v>
      </c>
    </row>
    <row r="16" spans="1:24" x14ac:dyDescent="0.4">
      <c r="A16" s="37">
        <v>15</v>
      </c>
      <c r="B16" s="12" t="s">
        <v>3559</v>
      </c>
      <c r="C16" s="37" t="s">
        <v>2</v>
      </c>
      <c r="D16" s="37" t="s">
        <v>702</v>
      </c>
      <c r="E16" s="9" t="s">
        <v>2781</v>
      </c>
      <c r="F16" s="102">
        <v>46115.017361111109</v>
      </c>
      <c r="G16" s="102">
        <v>46115.517361111109</v>
      </c>
      <c r="H16" s="102">
        <v>46115.517361111109</v>
      </c>
      <c r="I16" s="153">
        <f t="shared" si="0"/>
        <v>0.5</v>
      </c>
      <c r="J16" s="103">
        <f t="shared" si="1"/>
        <v>720</v>
      </c>
      <c r="K16" s="153">
        <f t="shared" si="2"/>
        <v>0.5</v>
      </c>
      <c r="L16" s="103">
        <f t="shared" si="3"/>
        <v>720</v>
      </c>
      <c r="M16" s="100" t="s">
        <v>3199</v>
      </c>
      <c r="N16" s="100" t="s">
        <v>3710</v>
      </c>
      <c r="O16" s="100" t="s">
        <v>3711</v>
      </c>
      <c r="P16" s="37" t="s">
        <v>2628</v>
      </c>
      <c r="Q16" s="37" t="s">
        <v>678</v>
      </c>
      <c r="R16" s="172"/>
      <c r="S16" s="38" t="str">
        <f t="shared" si="4"/>
        <v>OSLA</v>
      </c>
      <c r="T16" s="37" t="str">
        <f t="shared" si="5"/>
        <v>NON</v>
      </c>
      <c r="U16" s="12" t="s">
        <v>2675</v>
      </c>
    </row>
    <row r="17" spans="1:21" x14ac:dyDescent="0.4">
      <c r="A17" s="37">
        <v>16</v>
      </c>
      <c r="B17" s="12" t="s">
        <v>3560</v>
      </c>
      <c r="C17" s="37" t="s">
        <v>2</v>
      </c>
      <c r="D17" s="37" t="s">
        <v>702</v>
      </c>
      <c r="E17" s="9" t="s">
        <v>3030</v>
      </c>
      <c r="F17" s="102">
        <v>46115.017361111109</v>
      </c>
      <c r="G17" s="102">
        <v>46115.527777777781</v>
      </c>
      <c r="H17" s="102">
        <v>46115.527777777781</v>
      </c>
      <c r="I17" s="153">
        <f t="shared" si="0"/>
        <v>0.51041666667151731</v>
      </c>
      <c r="J17" s="103">
        <f t="shared" si="1"/>
        <v>735.00000000698492</v>
      </c>
      <c r="K17" s="153">
        <f t="shared" si="2"/>
        <v>0.51041666667151731</v>
      </c>
      <c r="L17" s="103">
        <f t="shared" si="3"/>
        <v>735.00000000698492</v>
      </c>
      <c r="M17" s="100" t="s">
        <v>3164</v>
      </c>
      <c r="N17" s="9" t="s">
        <v>3710</v>
      </c>
      <c r="O17" s="100" t="s">
        <v>3711</v>
      </c>
      <c r="P17" s="37" t="s">
        <v>2628</v>
      </c>
      <c r="Q17" s="37" t="s">
        <v>678</v>
      </c>
      <c r="R17" s="144"/>
      <c r="S17" s="38" t="str">
        <f t="shared" si="4"/>
        <v>OSLA</v>
      </c>
      <c r="T17" s="37" t="str">
        <f t="shared" si="5"/>
        <v>NON</v>
      </c>
      <c r="U17" s="12" t="s">
        <v>2675</v>
      </c>
    </row>
    <row r="18" spans="1:21" x14ac:dyDescent="0.4">
      <c r="A18" s="37">
        <v>17</v>
      </c>
      <c r="B18" s="12" t="s">
        <v>3561</v>
      </c>
      <c r="C18" s="37" t="s">
        <v>2</v>
      </c>
      <c r="D18" s="37" t="s">
        <v>702</v>
      </c>
      <c r="E18" s="9" t="s">
        <v>3820</v>
      </c>
      <c r="F18" s="102">
        <v>46115.600694444445</v>
      </c>
      <c r="G18" s="102">
        <v>46116.475694444445</v>
      </c>
      <c r="H18" s="102">
        <v>46116.475694444445</v>
      </c>
      <c r="I18" s="153">
        <f t="shared" si="0"/>
        <v>0.875</v>
      </c>
      <c r="J18" s="103">
        <f t="shared" si="1"/>
        <v>1260</v>
      </c>
      <c r="K18" s="153">
        <f t="shared" si="2"/>
        <v>0.875</v>
      </c>
      <c r="L18" s="103">
        <f t="shared" si="3"/>
        <v>1260</v>
      </c>
      <c r="M18" s="100" t="s">
        <v>3712</v>
      </c>
      <c r="N18" s="9" t="s">
        <v>3713</v>
      </c>
      <c r="O18" s="9" t="s">
        <v>2976</v>
      </c>
      <c r="P18" s="37" t="s">
        <v>2628</v>
      </c>
      <c r="Q18" s="37" t="s">
        <v>678</v>
      </c>
      <c r="R18" s="12"/>
      <c r="S18" s="38" t="str">
        <f t="shared" si="4"/>
        <v>OSLA</v>
      </c>
      <c r="T18" s="37" t="str">
        <f t="shared" si="5"/>
        <v>NON</v>
      </c>
      <c r="U18" s="12" t="s">
        <v>2675</v>
      </c>
    </row>
    <row r="19" spans="1:21" x14ac:dyDescent="0.4">
      <c r="A19" s="37">
        <v>18</v>
      </c>
      <c r="B19" s="12" t="s">
        <v>3563</v>
      </c>
      <c r="C19" s="37" t="s">
        <v>2</v>
      </c>
      <c r="D19" s="37" t="s">
        <v>702</v>
      </c>
      <c r="E19" s="9" t="s">
        <v>3564</v>
      </c>
      <c r="F19" s="102">
        <v>46116.215277777781</v>
      </c>
      <c r="G19" s="102">
        <v>46116.649305555555</v>
      </c>
      <c r="H19" s="102">
        <v>46116.649305555555</v>
      </c>
      <c r="I19" s="153">
        <f t="shared" si="0"/>
        <v>0.43402777777373558</v>
      </c>
      <c r="J19" s="103">
        <f t="shared" si="1"/>
        <v>624.99999999417923</v>
      </c>
      <c r="K19" s="153">
        <f t="shared" si="2"/>
        <v>0.43402777777373558</v>
      </c>
      <c r="L19" s="103">
        <f t="shared" si="3"/>
        <v>624.99999999417923</v>
      </c>
      <c r="M19" s="100" t="s">
        <v>2988</v>
      </c>
      <c r="N19" s="100" t="s">
        <v>3714</v>
      </c>
      <c r="O19" s="9" t="s">
        <v>20</v>
      </c>
      <c r="P19" s="37" t="s">
        <v>2684</v>
      </c>
      <c r="Q19" s="37" t="s">
        <v>678</v>
      </c>
      <c r="R19" s="12"/>
      <c r="S19" s="38" t="str">
        <f t="shared" si="4"/>
        <v>OSLA</v>
      </c>
      <c r="T19" s="37" t="str">
        <f t="shared" si="5"/>
        <v>OUI</v>
      </c>
      <c r="U19" s="12" t="s">
        <v>2680</v>
      </c>
    </row>
    <row r="20" spans="1:21" x14ac:dyDescent="0.4">
      <c r="A20" s="37">
        <v>19</v>
      </c>
      <c r="B20" s="12" t="s">
        <v>3565</v>
      </c>
      <c r="C20" s="37" t="s">
        <v>2</v>
      </c>
      <c r="D20" s="37" t="s">
        <v>702</v>
      </c>
      <c r="E20" s="9" t="s">
        <v>3566</v>
      </c>
      <c r="F20" s="102">
        <v>46116.308333333334</v>
      </c>
      <c r="G20" s="102">
        <v>46116.425694444442</v>
      </c>
      <c r="H20" s="102">
        <v>46116.425694444442</v>
      </c>
      <c r="I20" s="153">
        <f t="shared" si="0"/>
        <v>0.11736111110803904</v>
      </c>
      <c r="J20" s="103">
        <f t="shared" si="1"/>
        <v>168.99999999557622</v>
      </c>
      <c r="K20" s="153">
        <f t="shared" si="2"/>
        <v>0.11736111110803904</v>
      </c>
      <c r="L20" s="103">
        <f t="shared" si="3"/>
        <v>168.99999999557622</v>
      </c>
      <c r="M20" s="100" t="s">
        <v>2947</v>
      </c>
      <c r="N20" s="100" t="s">
        <v>20</v>
      </c>
      <c r="O20" s="9" t="s">
        <v>20</v>
      </c>
      <c r="P20" s="37" t="s">
        <v>2813</v>
      </c>
      <c r="Q20" s="37" t="s">
        <v>678</v>
      </c>
      <c r="R20" s="12"/>
      <c r="S20" s="38" t="str">
        <f t="shared" si="4"/>
        <v>ISLA</v>
      </c>
      <c r="T20" s="37" t="str">
        <f t="shared" si="5"/>
        <v>NON</v>
      </c>
      <c r="U20" s="12" t="s">
        <v>2680</v>
      </c>
    </row>
    <row r="21" spans="1:21" x14ac:dyDescent="0.4">
      <c r="A21" s="37">
        <v>20</v>
      </c>
      <c r="B21" s="12" t="s">
        <v>3567</v>
      </c>
      <c r="C21" s="37" t="s">
        <v>2</v>
      </c>
      <c r="D21" s="37" t="s">
        <v>702</v>
      </c>
      <c r="E21" s="9" t="s">
        <v>2717</v>
      </c>
      <c r="F21" s="102">
        <v>46116.572916666664</v>
      </c>
      <c r="G21" s="102">
        <v>46116.589583333334</v>
      </c>
      <c r="H21" s="102">
        <v>46116.589583333334</v>
      </c>
      <c r="I21" s="153">
        <f t="shared" si="0"/>
        <v>1.6666666670062114E-2</v>
      </c>
      <c r="J21" s="103">
        <f t="shared" si="1"/>
        <v>24.000000004889444</v>
      </c>
      <c r="K21" s="153">
        <f t="shared" si="2"/>
        <v>1.6666666670062114E-2</v>
      </c>
      <c r="L21" s="103">
        <f t="shared" si="3"/>
        <v>24.000000004889444</v>
      </c>
      <c r="M21" s="100" t="s">
        <v>2718</v>
      </c>
      <c r="N21" s="9" t="s">
        <v>20</v>
      </c>
      <c r="O21" s="9" t="s">
        <v>3715</v>
      </c>
      <c r="P21" s="37" t="s">
        <v>2846</v>
      </c>
      <c r="Q21" s="37" t="s">
        <v>678</v>
      </c>
      <c r="R21" s="12"/>
      <c r="S21" s="38" t="str">
        <f t="shared" si="4"/>
        <v>ISLA</v>
      </c>
      <c r="T21" s="37" t="str">
        <f t="shared" si="5"/>
        <v>NON</v>
      </c>
      <c r="U21" s="12" t="s">
        <v>2680</v>
      </c>
    </row>
    <row r="22" spans="1:21" x14ac:dyDescent="0.4">
      <c r="A22" s="37">
        <v>21</v>
      </c>
      <c r="B22" s="12" t="s">
        <v>3568</v>
      </c>
      <c r="C22" s="37" t="s">
        <v>2</v>
      </c>
      <c r="D22" s="37" t="s">
        <v>702</v>
      </c>
      <c r="E22" s="9" t="s">
        <v>2934</v>
      </c>
      <c r="F22" s="102">
        <v>46116.918055555558</v>
      </c>
      <c r="G22" s="102">
        <v>46117.459027777775</v>
      </c>
      <c r="H22" s="102">
        <v>46117.459027777775</v>
      </c>
      <c r="I22" s="153">
        <f t="shared" si="0"/>
        <v>0.54097222221753327</v>
      </c>
      <c r="J22" s="103">
        <f t="shared" si="1"/>
        <v>778.99999999324791</v>
      </c>
      <c r="K22" s="153">
        <f t="shared" si="2"/>
        <v>0.54097222221753327</v>
      </c>
      <c r="L22" s="103">
        <f t="shared" si="3"/>
        <v>778.99999999324791</v>
      </c>
      <c r="M22" s="100" t="s">
        <v>2935</v>
      </c>
      <c r="N22" s="100" t="s">
        <v>20</v>
      </c>
      <c r="O22" s="9" t="s">
        <v>20</v>
      </c>
      <c r="P22" s="37" t="s">
        <v>2936</v>
      </c>
      <c r="Q22" s="37" t="s">
        <v>678</v>
      </c>
      <c r="R22" s="12"/>
      <c r="S22" s="38" t="str">
        <f t="shared" si="4"/>
        <v>OSLA</v>
      </c>
      <c r="T22" s="37" t="str">
        <f t="shared" si="5"/>
        <v>OUI</v>
      </c>
      <c r="U22" s="12" t="s">
        <v>2680</v>
      </c>
    </row>
    <row r="23" spans="1:21" ht="20.6" x14ac:dyDescent="0.4">
      <c r="A23" s="37">
        <v>22</v>
      </c>
      <c r="B23" s="12" t="s">
        <v>2706</v>
      </c>
      <c r="C23" s="37" t="s">
        <v>2</v>
      </c>
      <c r="D23" s="37" t="s">
        <v>702</v>
      </c>
      <c r="E23" s="9" t="s">
        <v>3002</v>
      </c>
      <c r="F23" s="102">
        <v>46117.041666666664</v>
      </c>
      <c r="G23" s="102">
        <v>46117.229166666664</v>
      </c>
      <c r="H23" s="102">
        <v>46117.229166666664</v>
      </c>
      <c r="I23" s="153">
        <f t="shared" si="0"/>
        <v>0.1875</v>
      </c>
      <c r="J23" s="103">
        <f t="shared" si="1"/>
        <v>270</v>
      </c>
      <c r="K23" s="153">
        <f t="shared" si="2"/>
        <v>0.1875</v>
      </c>
      <c r="L23" s="103">
        <f t="shared" si="3"/>
        <v>270</v>
      </c>
      <c r="M23" s="100" t="s">
        <v>2753</v>
      </c>
      <c r="N23" s="100" t="s">
        <v>20</v>
      </c>
      <c r="O23" s="9" t="s">
        <v>20</v>
      </c>
      <c r="P23" s="37" t="s">
        <v>2628</v>
      </c>
      <c r="Q23" s="37" t="s">
        <v>678</v>
      </c>
      <c r="R23" s="12" t="s">
        <v>3239</v>
      </c>
      <c r="S23" s="38" t="str">
        <f t="shared" si="4"/>
        <v>OSLA</v>
      </c>
      <c r="T23" s="37" t="str">
        <f t="shared" si="5"/>
        <v>NON</v>
      </c>
      <c r="U23" s="12" t="s">
        <v>2675</v>
      </c>
    </row>
    <row r="24" spans="1:21" ht="20.6" x14ac:dyDescent="0.4">
      <c r="A24" s="37">
        <v>23</v>
      </c>
      <c r="B24" s="12" t="s">
        <v>3569</v>
      </c>
      <c r="C24" s="37" t="s">
        <v>2</v>
      </c>
      <c r="D24" s="37" t="s">
        <v>702</v>
      </c>
      <c r="E24" s="9" t="s">
        <v>3826</v>
      </c>
      <c r="F24" s="102">
        <v>46117.180555555555</v>
      </c>
      <c r="G24" s="102">
        <v>46117.319444444445</v>
      </c>
      <c r="H24" s="102">
        <v>46117.319444444445</v>
      </c>
      <c r="I24" s="153">
        <f t="shared" si="0"/>
        <v>0.13888888889050577</v>
      </c>
      <c r="J24" s="103">
        <f t="shared" si="1"/>
        <v>200.00000000232831</v>
      </c>
      <c r="K24" s="153">
        <f t="shared" si="2"/>
        <v>0.13888888889050577</v>
      </c>
      <c r="L24" s="103">
        <f t="shared" si="3"/>
        <v>200.00000000232831</v>
      </c>
      <c r="M24" s="100" t="s">
        <v>3716</v>
      </c>
      <c r="N24" s="9" t="s">
        <v>3717</v>
      </c>
      <c r="O24" s="9" t="s">
        <v>20</v>
      </c>
      <c r="P24" s="37" t="s">
        <v>3424</v>
      </c>
      <c r="Q24" s="37" t="s">
        <v>678</v>
      </c>
      <c r="R24" s="12"/>
      <c r="S24" s="38" t="str">
        <f t="shared" si="4"/>
        <v>ISLA</v>
      </c>
      <c r="T24" s="37" t="str">
        <f t="shared" si="5"/>
        <v>NON</v>
      </c>
      <c r="U24" s="12" t="s">
        <v>2680</v>
      </c>
    </row>
    <row r="25" spans="1:21" x14ac:dyDescent="0.4">
      <c r="A25" s="37">
        <v>24</v>
      </c>
      <c r="B25" s="12" t="s">
        <v>3570</v>
      </c>
      <c r="C25" s="37" t="s">
        <v>2</v>
      </c>
      <c r="D25" s="37" t="s">
        <v>702</v>
      </c>
      <c r="E25" s="9" t="s">
        <v>2868</v>
      </c>
      <c r="F25" s="102">
        <v>46117.678472222222</v>
      </c>
      <c r="G25" s="102">
        <v>46117.813888888886</v>
      </c>
      <c r="H25" s="102">
        <v>46117.813888888886</v>
      </c>
      <c r="I25" s="153">
        <f t="shared" si="0"/>
        <v>0.13541666666424135</v>
      </c>
      <c r="J25" s="103">
        <f t="shared" si="1"/>
        <v>194.99999999650754</v>
      </c>
      <c r="K25" s="153">
        <f t="shared" si="2"/>
        <v>0.13541666666424135</v>
      </c>
      <c r="L25" s="103">
        <f t="shared" si="3"/>
        <v>194.99999999650754</v>
      </c>
      <c r="M25" s="100" t="s">
        <v>2869</v>
      </c>
      <c r="N25" s="9" t="s">
        <v>20</v>
      </c>
      <c r="O25" s="9" t="s">
        <v>20</v>
      </c>
      <c r="P25" s="37" t="s">
        <v>2871</v>
      </c>
      <c r="Q25" s="37" t="s">
        <v>678</v>
      </c>
      <c r="R25" s="12"/>
      <c r="S25" s="38" t="str">
        <f t="shared" si="4"/>
        <v>ISLA</v>
      </c>
      <c r="T25" s="37" t="str">
        <f t="shared" si="5"/>
        <v>NON</v>
      </c>
      <c r="U25" s="12" t="s">
        <v>2680</v>
      </c>
    </row>
    <row r="26" spans="1:21" ht="72" x14ac:dyDescent="0.4">
      <c r="A26" s="37">
        <v>25</v>
      </c>
      <c r="B26" s="12" t="s">
        <v>3571</v>
      </c>
      <c r="C26" s="37" t="s">
        <v>2</v>
      </c>
      <c r="D26" s="37" t="s">
        <v>702</v>
      </c>
      <c r="E26" s="9" t="s">
        <v>3572</v>
      </c>
      <c r="F26" s="102">
        <v>46117.96875</v>
      </c>
      <c r="G26" s="102">
        <v>46121.399305555555</v>
      </c>
      <c r="H26" s="102">
        <v>46121.399305555555</v>
      </c>
      <c r="I26" s="153">
        <f t="shared" si="0"/>
        <v>3.4305555555547471</v>
      </c>
      <c r="J26" s="103">
        <f t="shared" si="1"/>
        <v>4939.9999999988358</v>
      </c>
      <c r="K26" s="153">
        <f t="shared" si="2"/>
        <v>3.4305555555547471</v>
      </c>
      <c r="L26" s="103">
        <f t="shared" si="3"/>
        <v>4939.9999999988358</v>
      </c>
      <c r="M26" s="100" t="s">
        <v>3718</v>
      </c>
      <c r="N26" s="100" t="s">
        <v>20</v>
      </c>
      <c r="O26" s="9" t="s">
        <v>20</v>
      </c>
      <c r="P26" s="37" t="s">
        <v>2628</v>
      </c>
      <c r="Q26" s="37" t="s">
        <v>678</v>
      </c>
      <c r="R26" s="12"/>
      <c r="S26" s="38" t="str">
        <f t="shared" si="4"/>
        <v>OSLA</v>
      </c>
      <c r="T26" s="37" t="str">
        <f t="shared" si="5"/>
        <v>NON</v>
      </c>
      <c r="U26" s="12" t="s">
        <v>2675</v>
      </c>
    </row>
    <row r="27" spans="1:21" ht="20.6" x14ac:dyDescent="0.4">
      <c r="A27" s="37">
        <v>26</v>
      </c>
      <c r="B27" s="12" t="s">
        <v>3573</v>
      </c>
      <c r="C27" s="37" t="s">
        <v>14</v>
      </c>
      <c r="D27" s="37" t="s">
        <v>702</v>
      </c>
      <c r="E27" s="9" t="s">
        <v>3574</v>
      </c>
      <c r="F27" s="102">
        <v>46118.90625</v>
      </c>
      <c r="G27" s="102">
        <v>46118.986111111109</v>
      </c>
      <c r="H27" s="102">
        <v>46118.986111111109</v>
      </c>
      <c r="I27" s="153">
        <f t="shared" si="0"/>
        <v>7.9861111109494232E-2</v>
      </c>
      <c r="J27" s="103">
        <f t="shared" si="1"/>
        <v>114.99999999767169</v>
      </c>
      <c r="K27" s="153">
        <f t="shared" si="2"/>
        <v>7.9861111109494232E-2</v>
      </c>
      <c r="L27" s="103">
        <f t="shared" si="3"/>
        <v>114.99999999767169</v>
      </c>
      <c r="M27" s="100" t="s">
        <v>3719</v>
      </c>
      <c r="N27" s="9" t="s">
        <v>3720</v>
      </c>
      <c r="O27" s="9" t="s">
        <v>20</v>
      </c>
      <c r="P27" s="37" t="s">
        <v>704</v>
      </c>
      <c r="Q27" s="37" t="s">
        <v>678</v>
      </c>
      <c r="R27" s="12"/>
      <c r="S27" s="38" t="str">
        <f t="shared" si="4"/>
        <v>ISLA</v>
      </c>
      <c r="T27" s="37" t="str">
        <f t="shared" si="5"/>
        <v>NON</v>
      </c>
      <c r="U27" s="12" t="s">
        <v>2675</v>
      </c>
    </row>
    <row r="28" spans="1:21" x14ac:dyDescent="0.4">
      <c r="A28" s="37">
        <v>27</v>
      </c>
      <c r="B28" s="12" t="s">
        <v>3575</v>
      </c>
      <c r="C28" s="37" t="s">
        <v>2</v>
      </c>
      <c r="D28" s="37" t="s">
        <v>702</v>
      </c>
      <c r="E28" s="9" t="s">
        <v>2831</v>
      </c>
      <c r="F28" s="102">
        <v>46119.338194444441</v>
      </c>
      <c r="G28" s="102">
        <v>46119.456250000003</v>
      </c>
      <c r="H28" s="102">
        <v>46119.456250000003</v>
      </c>
      <c r="I28" s="153">
        <f t="shared" si="0"/>
        <v>0.11805555556202307</v>
      </c>
      <c r="J28" s="103">
        <f t="shared" si="1"/>
        <v>170.00000000931323</v>
      </c>
      <c r="K28" s="153">
        <f t="shared" si="2"/>
        <v>0.11805555556202307</v>
      </c>
      <c r="L28" s="103">
        <f t="shared" si="3"/>
        <v>170.00000000931323</v>
      </c>
      <c r="M28" s="100" t="s">
        <v>2832</v>
      </c>
      <c r="N28" s="9" t="s">
        <v>20</v>
      </c>
      <c r="O28" s="9" t="s">
        <v>3721</v>
      </c>
      <c r="P28" s="37" t="s">
        <v>2834</v>
      </c>
      <c r="Q28" s="37" t="s">
        <v>678</v>
      </c>
      <c r="R28" s="12"/>
      <c r="S28" s="38" t="str">
        <f t="shared" si="4"/>
        <v>ISLA</v>
      </c>
      <c r="T28" s="37" t="str">
        <f t="shared" si="5"/>
        <v>NON</v>
      </c>
      <c r="U28" s="12" t="s">
        <v>2680</v>
      </c>
    </row>
    <row r="29" spans="1:21" x14ac:dyDescent="0.4">
      <c r="A29" s="37">
        <v>28</v>
      </c>
      <c r="B29" s="12" t="s">
        <v>3576</v>
      </c>
      <c r="C29" s="37" t="s">
        <v>2</v>
      </c>
      <c r="D29" s="37" t="s">
        <v>702</v>
      </c>
      <c r="E29" s="9" t="s">
        <v>937</v>
      </c>
      <c r="F29" s="102">
        <v>46119.395833333336</v>
      </c>
      <c r="G29" s="102">
        <v>46120.00277777778</v>
      </c>
      <c r="H29" s="102">
        <v>46120.00277777778</v>
      </c>
      <c r="I29" s="153">
        <f t="shared" si="0"/>
        <v>0.60694444444379769</v>
      </c>
      <c r="J29" s="103">
        <f t="shared" si="1"/>
        <v>873.99999999906868</v>
      </c>
      <c r="K29" s="153">
        <f t="shared" si="2"/>
        <v>0.60694444444379769</v>
      </c>
      <c r="L29" s="103">
        <f t="shared" si="3"/>
        <v>873.99999999906868</v>
      </c>
      <c r="M29" s="100" t="s">
        <v>3414</v>
      </c>
      <c r="N29" s="9" t="s">
        <v>20</v>
      </c>
      <c r="O29" s="9" t="s">
        <v>20</v>
      </c>
      <c r="P29" s="37" t="s">
        <v>3424</v>
      </c>
      <c r="Q29" s="37" t="s">
        <v>678</v>
      </c>
      <c r="R29" s="12"/>
      <c r="S29" s="38" t="str">
        <f t="shared" si="4"/>
        <v>OSLA</v>
      </c>
      <c r="T29" s="37" t="str">
        <f t="shared" si="5"/>
        <v>OUI</v>
      </c>
      <c r="U29" s="12" t="s">
        <v>2680</v>
      </c>
    </row>
    <row r="30" spans="1:21" x14ac:dyDescent="0.4">
      <c r="A30" s="37">
        <v>29</v>
      </c>
      <c r="B30" s="12" t="s">
        <v>3577</v>
      </c>
      <c r="C30" s="37" t="s">
        <v>2</v>
      </c>
      <c r="D30" s="37" t="s">
        <v>702</v>
      </c>
      <c r="E30" s="9" t="s">
        <v>3548</v>
      </c>
      <c r="F30" s="102">
        <v>46119.515972222223</v>
      </c>
      <c r="G30" s="102">
        <v>46119.545138888891</v>
      </c>
      <c r="H30" s="102">
        <v>46119.545138888891</v>
      </c>
      <c r="I30" s="153">
        <f t="shared" si="0"/>
        <v>2.9166666667151731E-2</v>
      </c>
      <c r="J30" s="103">
        <f t="shared" si="1"/>
        <v>42.000000000698492</v>
      </c>
      <c r="K30" s="153">
        <f t="shared" si="2"/>
        <v>2.9166666667151731E-2</v>
      </c>
      <c r="L30" s="103">
        <f t="shared" si="3"/>
        <v>42.000000000698492</v>
      </c>
      <c r="M30" s="100" t="s">
        <v>2878</v>
      </c>
      <c r="N30" s="9" t="s">
        <v>20</v>
      </c>
      <c r="O30" s="9" t="s">
        <v>20</v>
      </c>
      <c r="P30" s="37" t="s">
        <v>2798</v>
      </c>
      <c r="Q30" s="37" t="s">
        <v>678</v>
      </c>
      <c r="R30" s="12"/>
      <c r="S30" s="38" t="str">
        <f t="shared" si="4"/>
        <v>ISLA</v>
      </c>
      <c r="T30" s="37" t="str">
        <f t="shared" si="5"/>
        <v>NON</v>
      </c>
      <c r="U30" s="12" t="s">
        <v>2680</v>
      </c>
    </row>
    <row r="31" spans="1:21" x14ac:dyDescent="0.4">
      <c r="A31" s="37">
        <v>30</v>
      </c>
      <c r="B31" s="12" t="s">
        <v>3578</v>
      </c>
      <c r="C31" s="37" t="s">
        <v>14</v>
      </c>
      <c r="D31" s="37" t="s">
        <v>702</v>
      </c>
      <c r="E31" s="9" t="s">
        <v>3574</v>
      </c>
      <c r="F31" s="102">
        <v>46119.856249999997</v>
      </c>
      <c r="G31" s="102">
        <v>46120.375</v>
      </c>
      <c r="H31" s="102">
        <v>46120.375</v>
      </c>
      <c r="I31" s="153">
        <f t="shared" si="0"/>
        <v>0.51875000000291038</v>
      </c>
      <c r="J31" s="103">
        <f t="shared" si="1"/>
        <v>747.00000000419095</v>
      </c>
      <c r="K31" s="153">
        <f t="shared" si="2"/>
        <v>0.51875000000291038</v>
      </c>
      <c r="L31" s="103">
        <f t="shared" si="3"/>
        <v>747.00000000419095</v>
      </c>
      <c r="M31" s="100" t="s">
        <v>3719</v>
      </c>
      <c r="N31" s="100" t="s">
        <v>3720</v>
      </c>
      <c r="O31" s="9" t="s">
        <v>20</v>
      </c>
      <c r="P31" s="37" t="s">
        <v>704</v>
      </c>
      <c r="Q31" s="37" t="s">
        <v>678</v>
      </c>
      <c r="R31" s="12"/>
      <c r="S31" s="38" t="str">
        <f t="shared" si="4"/>
        <v>OSLA</v>
      </c>
      <c r="T31" s="37" t="str">
        <f t="shared" si="5"/>
        <v>NON</v>
      </c>
      <c r="U31" s="12" t="s">
        <v>2675</v>
      </c>
    </row>
    <row r="32" spans="1:21" x14ac:dyDescent="0.4">
      <c r="A32" s="37">
        <v>31</v>
      </c>
      <c r="B32" s="12" t="s">
        <v>3579</v>
      </c>
      <c r="C32" s="37" t="s">
        <v>2</v>
      </c>
      <c r="D32" s="37" t="s">
        <v>702</v>
      </c>
      <c r="E32" s="9" t="s">
        <v>3580</v>
      </c>
      <c r="F32" s="102">
        <v>46119.904861111114</v>
      </c>
      <c r="G32" s="102">
        <v>46134.541666666664</v>
      </c>
      <c r="H32" s="102">
        <v>46134.542361111111</v>
      </c>
      <c r="I32" s="153">
        <f t="shared" si="0"/>
        <v>14.636805555550382</v>
      </c>
      <c r="J32" s="103">
        <f t="shared" si="1"/>
        <v>21076.999999992549</v>
      </c>
      <c r="K32" s="153">
        <f t="shared" si="2"/>
        <v>14.63749999999709</v>
      </c>
      <c r="L32" s="103">
        <f t="shared" si="3"/>
        <v>21077.999999995809</v>
      </c>
      <c r="M32" s="100" t="s">
        <v>3722</v>
      </c>
      <c r="N32" s="9" t="s">
        <v>3723</v>
      </c>
      <c r="O32" s="9" t="s">
        <v>3724</v>
      </c>
      <c r="P32" s="37" t="s">
        <v>2628</v>
      </c>
      <c r="Q32" s="37" t="s">
        <v>678</v>
      </c>
      <c r="R32" s="12"/>
      <c r="S32" s="38" t="str">
        <f t="shared" si="4"/>
        <v>OSLA</v>
      </c>
      <c r="T32" s="37" t="str">
        <f t="shared" si="5"/>
        <v>NON</v>
      </c>
      <c r="U32" s="12" t="s">
        <v>2675</v>
      </c>
    </row>
    <row r="33" spans="1:21" x14ac:dyDescent="0.4">
      <c r="A33" s="37">
        <v>32</v>
      </c>
      <c r="B33" s="12" t="s">
        <v>3581</v>
      </c>
      <c r="C33" s="37" t="s">
        <v>2</v>
      </c>
      <c r="D33" s="37" t="s">
        <v>702</v>
      </c>
      <c r="E33" s="9" t="s">
        <v>3582</v>
      </c>
      <c r="F33" s="102">
        <v>46119.923611111109</v>
      </c>
      <c r="G33" s="102">
        <v>46120.100694444445</v>
      </c>
      <c r="H33" s="102">
        <v>46120.100694444445</v>
      </c>
      <c r="I33" s="153">
        <f t="shared" si="0"/>
        <v>0.17708333333575865</v>
      </c>
      <c r="J33" s="103">
        <f t="shared" si="1"/>
        <v>255.00000000349246</v>
      </c>
      <c r="K33" s="153">
        <f t="shared" si="2"/>
        <v>0.17708333333575865</v>
      </c>
      <c r="L33" s="103">
        <f t="shared" si="3"/>
        <v>255.00000000349246</v>
      </c>
      <c r="M33" s="100" t="s">
        <v>2805</v>
      </c>
      <c r="N33" s="9" t="s">
        <v>20</v>
      </c>
      <c r="O33" s="9" t="s">
        <v>20</v>
      </c>
      <c r="P33" s="37" t="s">
        <v>707</v>
      </c>
      <c r="Q33" s="37" t="s">
        <v>678</v>
      </c>
      <c r="R33" s="12"/>
      <c r="S33" s="38" t="str">
        <f t="shared" si="4"/>
        <v>OSLA</v>
      </c>
      <c r="T33" s="37" t="str">
        <f t="shared" si="5"/>
        <v>NON</v>
      </c>
      <c r="U33" s="12" t="s">
        <v>2675</v>
      </c>
    </row>
    <row r="34" spans="1:21" x14ac:dyDescent="0.4">
      <c r="A34" s="37">
        <v>33</v>
      </c>
      <c r="B34" s="12" t="s">
        <v>3583</v>
      </c>
      <c r="C34" s="37" t="s">
        <v>2</v>
      </c>
      <c r="D34" s="37" t="s">
        <v>702</v>
      </c>
      <c r="E34" s="9" t="s">
        <v>3069</v>
      </c>
      <c r="F34" s="102">
        <v>46120.038888888892</v>
      </c>
      <c r="G34" s="102">
        <v>46120.39166666667</v>
      </c>
      <c r="H34" s="102">
        <v>46120.39166666667</v>
      </c>
      <c r="I34" s="153">
        <f t="shared" si="0"/>
        <v>0.35277777777810115</v>
      </c>
      <c r="J34" s="103">
        <f t="shared" si="1"/>
        <v>508.00000000046566</v>
      </c>
      <c r="K34" s="153">
        <f t="shared" si="2"/>
        <v>0.35277777777810115</v>
      </c>
      <c r="L34" s="103">
        <f t="shared" si="3"/>
        <v>508.00000000046566</v>
      </c>
      <c r="M34" s="100" t="s">
        <v>3187</v>
      </c>
      <c r="N34" s="100" t="s">
        <v>20</v>
      </c>
      <c r="O34" s="9" t="s">
        <v>20</v>
      </c>
      <c r="P34" s="37" t="s">
        <v>3704</v>
      </c>
      <c r="Q34" s="37" t="s">
        <v>678</v>
      </c>
      <c r="R34" s="12"/>
      <c r="S34" s="38" t="str">
        <f t="shared" si="4"/>
        <v>OSLA</v>
      </c>
      <c r="T34" s="37" t="str">
        <f t="shared" si="5"/>
        <v>OUI</v>
      </c>
      <c r="U34" s="12" t="s">
        <v>2680</v>
      </c>
    </row>
    <row r="35" spans="1:21" x14ac:dyDescent="0.4">
      <c r="A35" s="37">
        <v>34</v>
      </c>
      <c r="B35" s="12" t="s">
        <v>3584</v>
      </c>
      <c r="C35" s="37" t="s">
        <v>2</v>
      </c>
      <c r="D35" s="37" t="s">
        <v>702</v>
      </c>
      <c r="E35" s="9" t="s">
        <v>2934</v>
      </c>
      <c r="F35" s="102">
        <v>46120.257638888892</v>
      </c>
      <c r="G35" s="102">
        <v>46120.279166666667</v>
      </c>
      <c r="H35" s="102">
        <v>46120.279166666667</v>
      </c>
      <c r="I35" s="153">
        <f t="shared" si="0"/>
        <v>2.1527777775190771E-2</v>
      </c>
      <c r="J35" s="103">
        <f t="shared" si="1"/>
        <v>30.99999999627471</v>
      </c>
      <c r="K35" s="153">
        <f t="shared" si="2"/>
        <v>2.1527777775190771E-2</v>
      </c>
      <c r="L35" s="103">
        <f t="shared" si="3"/>
        <v>30.99999999627471</v>
      </c>
      <c r="M35" s="100" t="s">
        <v>2935</v>
      </c>
      <c r="N35" s="9" t="s">
        <v>20</v>
      </c>
      <c r="O35" s="9" t="s">
        <v>20</v>
      </c>
      <c r="P35" s="37" t="s">
        <v>2936</v>
      </c>
      <c r="Q35" s="37" t="s">
        <v>678</v>
      </c>
      <c r="R35" s="12"/>
      <c r="S35" s="38" t="str">
        <f t="shared" si="4"/>
        <v>ISLA</v>
      </c>
      <c r="T35" s="37" t="str">
        <f t="shared" si="5"/>
        <v>NON</v>
      </c>
      <c r="U35" s="12" t="s">
        <v>2680</v>
      </c>
    </row>
    <row r="36" spans="1:21" x14ac:dyDescent="0.4">
      <c r="A36" s="37">
        <v>35</v>
      </c>
      <c r="B36" s="12" t="s">
        <v>3585</v>
      </c>
      <c r="C36" s="37" t="s">
        <v>2</v>
      </c>
      <c r="D36" s="37" t="s">
        <v>702</v>
      </c>
      <c r="E36" s="9" t="s">
        <v>3821</v>
      </c>
      <c r="F36" s="102">
        <v>46120.416666666664</v>
      </c>
      <c r="G36" s="102">
        <v>46120.472222222219</v>
      </c>
      <c r="H36" s="102">
        <v>46120.472222222219</v>
      </c>
      <c r="I36" s="153">
        <f t="shared" si="0"/>
        <v>5.5555555554747116E-2</v>
      </c>
      <c r="J36" s="103">
        <f t="shared" si="1"/>
        <v>79.999999998835847</v>
      </c>
      <c r="K36" s="153">
        <f t="shared" si="2"/>
        <v>5.5555555554747116E-2</v>
      </c>
      <c r="L36" s="103">
        <f t="shared" si="3"/>
        <v>79.999999998835847</v>
      </c>
      <c r="M36" s="100" t="s">
        <v>3725</v>
      </c>
      <c r="N36" s="100" t="s">
        <v>3726</v>
      </c>
      <c r="O36" s="9" t="s">
        <v>20</v>
      </c>
      <c r="P36" s="37" t="s">
        <v>701</v>
      </c>
      <c r="Q36" s="37" t="s">
        <v>678</v>
      </c>
      <c r="R36" s="12"/>
      <c r="S36" s="38" t="str">
        <f t="shared" si="4"/>
        <v>ISLA</v>
      </c>
      <c r="T36" s="37" t="str">
        <f t="shared" si="5"/>
        <v>NON</v>
      </c>
      <c r="U36" s="12" t="s">
        <v>2735</v>
      </c>
    </row>
    <row r="37" spans="1:21" x14ac:dyDescent="0.4">
      <c r="A37" s="37">
        <v>36</v>
      </c>
      <c r="B37" s="12" t="s">
        <v>3586</v>
      </c>
      <c r="C37" s="37" t="s">
        <v>2</v>
      </c>
      <c r="D37" s="37" t="s">
        <v>702</v>
      </c>
      <c r="E37" s="9" t="s">
        <v>3587</v>
      </c>
      <c r="F37" s="102">
        <v>46120.621527777781</v>
      </c>
      <c r="G37" s="102">
        <v>46121.427083333336</v>
      </c>
      <c r="H37" s="102">
        <v>46121.427083333336</v>
      </c>
      <c r="I37" s="153">
        <f t="shared" si="0"/>
        <v>0.80555555555474712</v>
      </c>
      <c r="J37" s="103">
        <f t="shared" si="1"/>
        <v>1159.9999999988358</v>
      </c>
      <c r="K37" s="153">
        <f t="shared" si="2"/>
        <v>0.80555555555474712</v>
      </c>
      <c r="L37" s="103">
        <f t="shared" si="3"/>
        <v>1159.9999999988358</v>
      </c>
      <c r="M37" s="100" t="s">
        <v>3727</v>
      </c>
      <c r="N37" s="100" t="s">
        <v>2766</v>
      </c>
      <c r="O37" s="9" t="s">
        <v>3728</v>
      </c>
      <c r="P37" s="37" t="s">
        <v>2628</v>
      </c>
      <c r="Q37" s="37" t="s">
        <v>678</v>
      </c>
      <c r="R37" s="12"/>
      <c r="S37" s="38" t="str">
        <f t="shared" si="4"/>
        <v>OSLA</v>
      </c>
      <c r="T37" s="37" t="str">
        <f t="shared" si="5"/>
        <v>NON</v>
      </c>
      <c r="U37" s="12" t="s">
        <v>2675</v>
      </c>
    </row>
    <row r="38" spans="1:21" ht="20.6" x14ac:dyDescent="0.4">
      <c r="A38" s="37">
        <v>37</v>
      </c>
      <c r="B38" s="12" t="s">
        <v>3588</v>
      </c>
      <c r="C38" s="37" t="s">
        <v>14</v>
      </c>
      <c r="D38" s="37" t="s">
        <v>702</v>
      </c>
      <c r="E38" s="9" t="s">
        <v>3574</v>
      </c>
      <c r="F38" s="102">
        <v>46120.833333333336</v>
      </c>
      <c r="G38" s="102">
        <v>46121.079861111109</v>
      </c>
      <c r="H38" s="102">
        <v>46121.079861111109</v>
      </c>
      <c r="I38" s="153">
        <f t="shared" si="0"/>
        <v>0.24652777777373558</v>
      </c>
      <c r="J38" s="103">
        <f t="shared" si="1"/>
        <v>354.99999999417923</v>
      </c>
      <c r="K38" s="153">
        <f t="shared" si="2"/>
        <v>0.24652777777373558</v>
      </c>
      <c r="L38" s="103">
        <f t="shared" si="3"/>
        <v>354.99999999417923</v>
      </c>
      <c r="M38" s="100" t="s">
        <v>3719</v>
      </c>
      <c r="N38" s="9" t="s">
        <v>3720</v>
      </c>
      <c r="O38" s="9" t="s">
        <v>3729</v>
      </c>
      <c r="P38" s="37" t="s">
        <v>3730</v>
      </c>
      <c r="Q38" s="37" t="s">
        <v>678</v>
      </c>
      <c r="R38" s="12"/>
      <c r="S38" s="38" t="str">
        <f t="shared" si="4"/>
        <v>ISLA</v>
      </c>
      <c r="T38" s="37" t="str">
        <f t="shared" si="5"/>
        <v>NON</v>
      </c>
      <c r="U38" s="12" t="s">
        <v>2675</v>
      </c>
    </row>
    <row r="39" spans="1:21" x14ac:dyDescent="0.4">
      <c r="A39" s="37">
        <v>38</v>
      </c>
      <c r="B39" s="12" t="s">
        <v>3589</v>
      </c>
      <c r="C39" s="37" t="s">
        <v>2</v>
      </c>
      <c r="D39" s="37" t="s">
        <v>702</v>
      </c>
      <c r="E39" s="9" t="s">
        <v>2808</v>
      </c>
      <c r="F39" s="102">
        <v>46121.013888888891</v>
      </c>
      <c r="G39" s="102">
        <v>46121.96875</v>
      </c>
      <c r="H39" s="102">
        <v>46121.96875</v>
      </c>
      <c r="I39" s="153">
        <f t="shared" si="0"/>
        <v>0.95486111110949423</v>
      </c>
      <c r="J39" s="103">
        <f t="shared" si="1"/>
        <v>1374.9999999976717</v>
      </c>
      <c r="K39" s="153">
        <f t="shared" si="2"/>
        <v>0.95486111110949423</v>
      </c>
      <c r="L39" s="103">
        <f t="shared" si="3"/>
        <v>1374.9999999976717</v>
      </c>
      <c r="M39" s="100" t="s">
        <v>3189</v>
      </c>
      <c r="N39" s="100" t="s">
        <v>3731</v>
      </c>
      <c r="O39" s="9" t="s">
        <v>3732</v>
      </c>
      <c r="P39" s="37" t="s">
        <v>707</v>
      </c>
      <c r="Q39" s="37" t="s">
        <v>678</v>
      </c>
      <c r="R39" s="172"/>
      <c r="S39" s="38" t="str">
        <f t="shared" si="4"/>
        <v>OSLA</v>
      </c>
      <c r="T39" s="37" t="str">
        <f t="shared" si="5"/>
        <v>NON</v>
      </c>
      <c r="U39" s="12" t="s">
        <v>2675</v>
      </c>
    </row>
    <row r="40" spans="1:21" x14ac:dyDescent="0.4">
      <c r="A40" s="37">
        <v>39</v>
      </c>
      <c r="B40" s="12" t="s">
        <v>3590</v>
      </c>
      <c r="C40" s="37" t="s">
        <v>2</v>
      </c>
      <c r="D40" s="37" t="s">
        <v>702</v>
      </c>
      <c r="E40" s="9" t="s">
        <v>3261</v>
      </c>
      <c r="F40" s="102">
        <v>46121.03125</v>
      </c>
      <c r="G40" s="102">
        <v>46121.055555555555</v>
      </c>
      <c r="H40" s="102">
        <v>46121.055555555555</v>
      </c>
      <c r="I40" s="153">
        <f t="shared" si="0"/>
        <v>2.4305555554747116E-2</v>
      </c>
      <c r="J40" s="103">
        <f t="shared" si="1"/>
        <v>34.999999998835847</v>
      </c>
      <c r="K40" s="153">
        <f t="shared" si="2"/>
        <v>2.4305555554747116E-2</v>
      </c>
      <c r="L40" s="103">
        <f t="shared" si="3"/>
        <v>34.999999998835847</v>
      </c>
      <c r="M40" s="100" t="s">
        <v>3733</v>
      </c>
      <c r="N40" s="100" t="s">
        <v>20</v>
      </c>
      <c r="O40" s="9" t="s">
        <v>20</v>
      </c>
      <c r="P40" s="37" t="s">
        <v>707</v>
      </c>
      <c r="Q40" s="37" t="s">
        <v>678</v>
      </c>
      <c r="R40" s="12"/>
      <c r="S40" s="38" t="str">
        <f t="shared" si="4"/>
        <v>ISLA</v>
      </c>
      <c r="T40" s="37" t="str">
        <f t="shared" si="5"/>
        <v>NON</v>
      </c>
      <c r="U40" s="12" t="s">
        <v>2675</v>
      </c>
    </row>
    <row r="41" spans="1:21" x14ac:dyDescent="0.4">
      <c r="A41" s="37">
        <v>40</v>
      </c>
      <c r="B41" s="12" t="s">
        <v>3591</v>
      </c>
      <c r="C41" s="37" t="s">
        <v>2</v>
      </c>
      <c r="D41" s="37" t="s">
        <v>702</v>
      </c>
      <c r="E41" s="9" t="s">
        <v>299</v>
      </c>
      <c r="F41" s="102">
        <v>46121.375</v>
      </c>
      <c r="G41" s="102">
        <v>46125.75</v>
      </c>
      <c r="H41" s="102">
        <v>46125.75</v>
      </c>
      <c r="I41" s="153">
        <f t="shared" si="0"/>
        <v>4.375</v>
      </c>
      <c r="J41" s="103">
        <f t="shared" si="1"/>
        <v>6300</v>
      </c>
      <c r="K41" s="153">
        <f t="shared" si="2"/>
        <v>4.375</v>
      </c>
      <c r="L41" s="103">
        <f t="shared" si="3"/>
        <v>6300</v>
      </c>
      <c r="M41" s="100" t="s">
        <v>2742</v>
      </c>
      <c r="N41" s="9" t="s">
        <v>20</v>
      </c>
      <c r="O41" s="9" t="s">
        <v>20</v>
      </c>
      <c r="P41" s="37" t="s">
        <v>2628</v>
      </c>
      <c r="Q41" s="37" t="s">
        <v>678</v>
      </c>
      <c r="R41" s="12"/>
      <c r="S41" s="38" t="str">
        <f t="shared" si="4"/>
        <v>OSLA</v>
      </c>
      <c r="T41" s="37" t="str">
        <f t="shared" si="5"/>
        <v>NON</v>
      </c>
      <c r="U41" s="12" t="s">
        <v>2675</v>
      </c>
    </row>
    <row r="42" spans="1:21" x14ac:dyDescent="0.4">
      <c r="A42" s="37">
        <v>41</v>
      </c>
      <c r="B42" s="12" t="s">
        <v>3592</v>
      </c>
      <c r="C42" s="37" t="s">
        <v>2</v>
      </c>
      <c r="D42" s="37" t="s">
        <v>702</v>
      </c>
      <c r="E42" s="9" t="s">
        <v>3548</v>
      </c>
      <c r="F42" s="102">
        <v>46121.383333333331</v>
      </c>
      <c r="G42" s="102">
        <v>46121.472916666666</v>
      </c>
      <c r="H42" s="102">
        <v>46121.472916666666</v>
      </c>
      <c r="I42" s="153">
        <f t="shared" si="0"/>
        <v>8.9583333334303461E-2</v>
      </c>
      <c r="J42" s="103">
        <f t="shared" si="1"/>
        <v>129.00000000139698</v>
      </c>
      <c r="K42" s="153">
        <f t="shared" si="2"/>
        <v>8.9583333334303461E-2</v>
      </c>
      <c r="L42" s="103">
        <f t="shared" si="3"/>
        <v>129.00000000139698</v>
      </c>
      <c r="M42" s="100" t="s">
        <v>2878</v>
      </c>
      <c r="N42" s="9" t="s">
        <v>20</v>
      </c>
      <c r="O42" s="9" t="s">
        <v>20</v>
      </c>
      <c r="P42" s="37" t="s">
        <v>2798</v>
      </c>
      <c r="Q42" s="37" t="s">
        <v>678</v>
      </c>
      <c r="R42" s="12"/>
      <c r="S42" s="38" t="str">
        <f t="shared" si="4"/>
        <v>ISLA</v>
      </c>
      <c r="T42" s="37" t="str">
        <f t="shared" si="5"/>
        <v>NON</v>
      </c>
      <c r="U42" s="12" t="s">
        <v>2680</v>
      </c>
    </row>
    <row r="43" spans="1:21" x14ac:dyDescent="0.4">
      <c r="A43" s="37">
        <v>42</v>
      </c>
      <c r="B43" s="12" t="s">
        <v>3593</v>
      </c>
      <c r="C43" s="37" t="s">
        <v>2</v>
      </c>
      <c r="D43" s="37" t="s">
        <v>702</v>
      </c>
      <c r="E43" s="9" t="s">
        <v>2673</v>
      </c>
      <c r="F43" s="102">
        <v>46121.482638888891</v>
      </c>
      <c r="G43" s="102">
        <v>46121.920138888891</v>
      </c>
      <c r="H43" s="102">
        <v>46121.920138888891</v>
      </c>
      <c r="I43" s="153">
        <f t="shared" si="0"/>
        <v>0.4375</v>
      </c>
      <c r="J43" s="103">
        <f t="shared" si="1"/>
        <v>630</v>
      </c>
      <c r="K43" s="153">
        <f t="shared" si="2"/>
        <v>0.4375</v>
      </c>
      <c r="L43" s="103">
        <f t="shared" si="3"/>
        <v>630</v>
      </c>
      <c r="M43" s="100" t="s">
        <v>3215</v>
      </c>
      <c r="N43" s="9" t="s">
        <v>20</v>
      </c>
      <c r="O43" s="9" t="s">
        <v>20</v>
      </c>
      <c r="P43" s="37" t="s">
        <v>2815</v>
      </c>
      <c r="Q43" s="37" t="s">
        <v>678</v>
      </c>
      <c r="R43" s="12"/>
      <c r="S43" s="38" t="str">
        <f t="shared" si="4"/>
        <v>OSLA</v>
      </c>
      <c r="T43" s="37" t="str">
        <f t="shared" si="5"/>
        <v>OUI</v>
      </c>
      <c r="U43" s="12" t="s">
        <v>2680</v>
      </c>
    </row>
    <row r="44" spans="1:21" x14ac:dyDescent="0.4">
      <c r="A44" s="37">
        <v>43</v>
      </c>
      <c r="B44" s="12" t="s">
        <v>3594</v>
      </c>
      <c r="C44" s="37" t="s">
        <v>2</v>
      </c>
      <c r="D44" s="37" t="s">
        <v>702</v>
      </c>
      <c r="E44" s="9" t="s">
        <v>2717</v>
      </c>
      <c r="F44" s="102">
        <v>46121.521527777775</v>
      </c>
      <c r="G44" s="102">
        <v>46121.546527777777</v>
      </c>
      <c r="H44" s="102">
        <v>46121.546527777777</v>
      </c>
      <c r="I44" s="153">
        <f t="shared" si="0"/>
        <v>2.5000000001455192E-2</v>
      </c>
      <c r="J44" s="103">
        <f t="shared" si="1"/>
        <v>36.000000002095476</v>
      </c>
      <c r="K44" s="153">
        <f t="shared" si="2"/>
        <v>2.5000000001455192E-2</v>
      </c>
      <c r="L44" s="103">
        <f t="shared" si="3"/>
        <v>36.000000002095476</v>
      </c>
      <c r="M44" s="100" t="s">
        <v>2718</v>
      </c>
      <c r="N44" s="100" t="s">
        <v>20</v>
      </c>
      <c r="O44" s="9" t="s">
        <v>3734</v>
      </c>
      <c r="P44" s="37" t="s">
        <v>2846</v>
      </c>
      <c r="Q44" s="37" t="s">
        <v>678</v>
      </c>
      <c r="R44" s="172"/>
      <c r="S44" s="38" t="str">
        <f t="shared" si="4"/>
        <v>ISLA</v>
      </c>
      <c r="T44" s="37" t="str">
        <f t="shared" si="5"/>
        <v>NON</v>
      </c>
      <c r="U44" s="12" t="s">
        <v>2680</v>
      </c>
    </row>
    <row r="45" spans="1:21" x14ac:dyDescent="0.4">
      <c r="A45" s="37">
        <v>44</v>
      </c>
      <c r="B45" s="101" t="s">
        <v>3595</v>
      </c>
      <c r="C45" s="37" t="s">
        <v>2</v>
      </c>
      <c r="D45" s="37" t="s">
        <v>702</v>
      </c>
      <c r="E45" s="9" t="s">
        <v>2686</v>
      </c>
      <c r="F45" s="102">
        <v>46121.791666666664</v>
      </c>
      <c r="G45" s="102">
        <v>46121.836805555555</v>
      </c>
      <c r="H45" s="102">
        <v>46121.836805555555</v>
      </c>
      <c r="I45" s="153">
        <f t="shared" si="0"/>
        <v>4.5138888890505768E-2</v>
      </c>
      <c r="J45" s="103">
        <f t="shared" si="1"/>
        <v>65.000000002328306</v>
      </c>
      <c r="K45" s="153">
        <f t="shared" si="2"/>
        <v>4.5138888890505768E-2</v>
      </c>
      <c r="L45" s="103">
        <f t="shared" si="3"/>
        <v>65.000000002328306</v>
      </c>
      <c r="M45" s="100" t="s">
        <v>3155</v>
      </c>
      <c r="N45" s="9" t="s">
        <v>20</v>
      </c>
      <c r="O45" s="9" t="s">
        <v>20</v>
      </c>
      <c r="P45" s="83" t="s">
        <v>2688</v>
      </c>
      <c r="Q45" s="37" t="s">
        <v>678</v>
      </c>
      <c r="R45" s="12"/>
      <c r="S45" s="38" t="str">
        <f t="shared" si="4"/>
        <v>ISLA</v>
      </c>
      <c r="T45" s="37" t="str">
        <f t="shared" si="5"/>
        <v>NON</v>
      </c>
      <c r="U45" s="12" t="s">
        <v>2680</v>
      </c>
    </row>
    <row r="46" spans="1:21" x14ac:dyDescent="0.4">
      <c r="A46" s="37">
        <v>45</v>
      </c>
      <c r="B46" s="12" t="s">
        <v>3596</v>
      </c>
      <c r="C46" s="37" t="s">
        <v>2</v>
      </c>
      <c r="D46" s="37" t="s">
        <v>702</v>
      </c>
      <c r="E46" s="9" t="s">
        <v>3069</v>
      </c>
      <c r="F46" s="102">
        <v>46122.004166666666</v>
      </c>
      <c r="G46" s="102">
        <v>46122.526388888888</v>
      </c>
      <c r="H46" s="102">
        <v>46122.526388888888</v>
      </c>
      <c r="I46" s="153">
        <f t="shared" si="0"/>
        <v>0.52222222222189885</v>
      </c>
      <c r="J46" s="103">
        <f t="shared" si="1"/>
        <v>751.99999999953434</v>
      </c>
      <c r="K46" s="153">
        <f t="shared" si="2"/>
        <v>0.52222222222189885</v>
      </c>
      <c r="L46" s="103">
        <f t="shared" si="3"/>
        <v>751.99999999953434</v>
      </c>
      <c r="M46" s="100" t="s">
        <v>3187</v>
      </c>
      <c r="N46" s="9" t="s">
        <v>20</v>
      </c>
      <c r="O46" s="9" t="s">
        <v>3735</v>
      </c>
      <c r="P46" s="37" t="s">
        <v>3704</v>
      </c>
      <c r="Q46" s="37" t="s">
        <v>678</v>
      </c>
      <c r="R46" s="12"/>
      <c r="S46" s="38" t="str">
        <f t="shared" si="4"/>
        <v>OSLA</v>
      </c>
      <c r="T46" s="37" t="str">
        <f t="shared" si="5"/>
        <v>OUI</v>
      </c>
      <c r="U46" s="12" t="s">
        <v>2680</v>
      </c>
    </row>
    <row r="47" spans="1:21" ht="20.6" x14ac:dyDescent="0.4">
      <c r="A47" s="37">
        <v>46</v>
      </c>
      <c r="B47" s="12" t="s">
        <v>3597</v>
      </c>
      <c r="C47" s="37" t="s">
        <v>2</v>
      </c>
      <c r="D47" s="37" t="s">
        <v>702</v>
      </c>
      <c r="E47" s="9" t="s">
        <v>2717</v>
      </c>
      <c r="F47" s="102">
        <v>46122.373611111114</v>
      </c>
      <c r="G47" s="102">
        <v>46122.46875</v>
      </c>
      <c r="H47" s="102">
        <v>46122.46875</v>
      </c>
      <c r="I47" s="153">
        <f t="shared" si="0"/>
        <v>9.5138888886140194E-2</v>
      </c>
      <c r="J47" s="103">
        <f t="shared" si="1"/>
        <v>136.99999999604188</v>
      </c>
      <c r="K47" s="153">
        <f t="shared" si="2"/>
        <v>9.5138888886140194E-2</v>
      </c>
      <c r="L47" s="103">
        <f t="shared" si="3"/>
        <v>136.99999999604188</v>
      </c>
      <c r="M47" s="100" t="s">
        <v>2718</v>
      </c>
      <c r="N47" s="100" t="s">
        <v>20</v>
      </c>
      <c r="O47" s="9" t="s">
        <v>3736</v>
      </c>
      <c r="P47" s="37" t="s">
        <v>2846</v>
      </c>
      <c r="Q47" s="37" t="s">
        <v>678</v>
      </c>
      <c r="R47" s="12"/>
      <c r="S47" s="38" t="str">
        <f t="shared" si="4"/>
        <v>ISLA</v>
      </c>
      <c r="T47" s="37" t="str">
        <f t="shared" si="5"/>
        <v>NON</v>
      </c>
      <c r="U47" s="12" t="s">
        <v>2680</v>
      </c>
    </row>
    <row r="48" spans="1:21" x14ac:dyDescent="0.4">
      <c r="A48" s="37">
        <v>47</v>
      </c>
      <c r="B48" s="37" t="s">
        <v>3598</v>
      </c>
      <c r="C48" s="37" t="s">
        <v>2</v>
      </c>
      <c r="D48" s="37" t="s">
        <v>702</v>
      </c>
      <c r="E48" s="9" t="s">
        <v>2673</v>
      </c>
      <c r="F48" s="102">
        <v>46122.46875</v>
      </c>
      <c r="G48" s="102">
        <v>46122.913194444445</v>
      </c>
      <c r="H48" s="102">
        <v>46122.913194444445</v>
      </c>
      <c r="I48" s="153">
        <f t="shared" si="0"/>
        <v>0.44444444444525288</v>
      </c>
      <c r="J48" s="103">
        <f t="shared" si="1"/>
        <v>640.00000000116415</v>
      </c>
      <c r="K48" s="153">
        <f t="shared" si="2"/>
        <v>0.44444444444525288</v>
      </c>
      <c r="L48" s="103">
        <f t="shared" si="3"/>
        <v>640.00000000116415</v>
      </c>
      <c r="M48" s="100" t="s">
        <v>3737</v>
      </c>
      <c r="N48" s="100" t="s">
        <v>20</v>
      </c>
      <c r="O48" s="12" t="s">
        <v>20</v>
      </c>
      <c r="P48" s="83" t="s">
        <v>2815</v>
      </c>
      <c r="Q48" s="37" t="s">
        <v>678</v>
      </c>
      <c r="R48" s="9"/>
      <c r="S48" s="38" t="str">
        <f t="shared" si="4"/>
        <v>OSLA</v>
      </c>
      <c r="T48" s="37" t="str">
        <f t="shared" si="5"/>
        <v>OUI</v>
      </c>
      <c r="U48" s="12" t="s">
        <v>2680</v>
      </c>
    </row>
    <row r="49" spans="1:21" ht="20.6" x14ac:dyDescent="0.4">
      <c r="A49" s="37">
        <v>48</v>
      </c>
      <c r="B49" s="12" t="s">
        <v>3599</v>
      </c>
      <c r="C49" s="37" t="s">
        <v>2</v>
      </c>
      <c r="D49" s="37" t="s">
        <v>702</v>
      </c>
      <c r="E49" s="9" t="s">
        <v>3822</v>
      </c>
      <c r="F49" s="83">
        <v>46122.836111111108</v>
      </c>
      <c r="G49" s="83">
        <v>46123.025694444441</v>
      </c>
      <c r="H49" s="83">
        <v>46123.025694444441</v>
      </c>
      <c r="I49" s="153">
        <f t="shared" si="0"/>
        <v>0.18958333333284827</v>
      </c>
      <c r="J49" s="103">
        <f t="shared" si="1"/>
        <v>272.99999999930151</v>
      </c>
      <c r="K49" s="153">
        <f t="shared" si="2"/>
        <v>0.18958333333284827</v>
      </c>
      <c r="L49" s="103">
        <f t="shared" si="3"/>
        <v>272.99999999930151</v>
      </c>
      <c r="M49" s="12" t="s">
        <v>3738</v>
      </c>
      <c r="N49" s="9" t="s">
        <v>20</v>
      </c>
      <c r="O49" s="9" t="s">
        <v>20</v>
      </c>
      <c r="P49" s="37" t="s">
        <v>3212</v>
      </c>
      <c r="Q49" s="37" t="s">
        <v>678</v>
      </c>
      <c r="R49" s="12"/>
      <c r="S49" s="38" t="str">
        <f t="shared" si="4"/>
        <v>OSLA</v>
      </c>
      <c r="T49" s="37" t="str">
        <f t="shared" si="5"/>
        <v>OUI</v>
      </c>
      <c r="U49" s="12" t="s">
        <v>2680</v>
      </c>
    </row>
    <row r="50" spans="1:21" x14ac:dyDescent="0.4">
      <c r="A50" s="37">
        <v>49</v>
      </c>
      <c r="B50" s="101" t="s">
        <v>3600</v>
      </c>
      <c r="C50" s="37" t="s">
        <v>2</v>
      </c>
      <c r="D50" s="37" t="s">
        <v>702</v>
      </c>
      <c r="E50" s="9" t="s">
        <v>937</v>
      </c>
      <c r="F50" s="102">
        <v>46123.003472222219</v>
      </c>
      <c r="G50" s="102">
        <v>46125.67083333333</v>
      </c>
      <c r="H50" s="102">
        <v>46125.67083333333</v>
      </c>
      <c r="I50" s="153">
        <f t="shared" si="0"/>
        <v>2.6673611111109494</v>
      </c>
      <c r="J50" s="103">
        <f t="shared" si="1"/>
        <v>3840.9999999997672</v>
      </c>
      <c r="K50" s="153">
        <f t="shared" si="2"/>
        <v>2.6673611111109494</v>
      </c>
      <c r="L50" s="103">
        <f t="shared" si="3"/>
        <v>3840.9999999997672</v>
      </c>
      <c r="M50" s="12" t="s">
        <v>3414</v>
      </c>
      <c r="N50" s="100" t="s">
        <v>20</v>
      </c>
      <c r="O50" s="9" t="s">
        <v>20</v>
      </c>
      <c r="P50" s="37" t="s">
        <v>3424</v>
      </c>
      <c r="Q50" s="37" t="s">
        <v>678</v>
      </c>
      <c r="R50" s="12"/>
      <c r="S50" s="38" t="str">
        <f t="shared" si="4"/>
        <v>OSLA</v>
      </c>
      <c r="T50" s="37" t="str">
        <f t="shared" si="5"/>
        <v>OUI</v>
      </c>
      <c r="U50" s="12" t="s">
        <v>2680</v>
      </c>
    </row>
    <row r="51" spans="1:21" x14ac:dyDescent="0.4">
      <c r="A51" s="37">
        <v>50</v>
      </c>
      <c r="B51" s="12" t="s">
        <v>3601</v>
      </c>
      <c r="C51" s="37" t="s">
        <v>2</v>
      </c>
      <c r="D51" s="37" t="s">
        <v>702</v>
      </c>
      <c r="E51" s="9" t="s">
        <v>954</v>
      </c>
      <c r="F51" s="83">
        <v>46123.022916666669</v>
      </c>
      <c r="G51" s="83">
        <v>46123.040277777778</v>
      </c>
      <c r="H51" s="83">
        <v>46123.040277777778</v>
      </c>
      <c r="I51" s="153">
        <f t="shared" si="0"/>
        <v>1.7361111109494232E-2</v>
      </c>
      <c r="J51" s="103">
        <f t="shared" si="1"/>
        <v>24.999999997671694</v>
      </c>
      <c r="K51" s="153">
        <f t="shared" si="2"/>
        <v>1.7361111109494232E-2</v>
      </c>
      <c r="L51" s="103">
        <f t="shared" si="3"/>
        <v>24.999999997671694</v>
      </c>
      <c r="M51" s="12" t="s">
        <v>2996</v>
      </c>
      <c r="N51" s="9" t="s">
        <v>20</v>
      </c>
      <c r="O51" s="9" t="s">
        <v>20</v>
      </c>
      <c r="P51" s="37" t="s">
        <v>2997</v>
      </c>
      <c r="Q51" s="37" t="s">
        <v>678</v>
      </c>
      <c r="R51" s="12"/>
      <c r="S51" s="38" t="str">
        <f t="shared" si="4"/>
        <v>ISLA</v>
      </c>
      <c r="T51" s="37" t="str">
        <f t="shared" si="5"/>
        <v>NON</v>
      </c>
      <c r="U51" s="12" t="s">
        <v>2680</v>
      </c>
    </row>
    <row r="52" spans="1:21" x14ac:dyDescent="0.4">
      <c r="A52" s="37">
        <v>51</v>
      </c>
      <c r="B52" s="37" t="s">
        <v>3602</v>
      </c>
      <c r="C52" s="37" t="s">
        <v>2</v>
      </c>
      <c r="D52" s="37" t="s">
        <v>702</v>
      </c>
      <c r="E52" s="9" t="s">
        <v>2677</v>
      </c>
      <c r="F52" s="102">
        <v>46123.1875</v>
      </c>
      <c r="G52" s="102">
        <v>46123.409722222219</v>
      </c>
      <c r="H52" s="102">
        <v>46123.409722222219</v>
      </c>
      <c r="I52" s="153">
        <f t="shared" si="0"/>
        <v>0.22222222221898846</v>
      </c>
      <c r="J52" s="103">
        <f t="shared" si="1"/>
        <v>319.99999999534339</v>
      </c>
      <c r="K52" s="153">
        <f t="shared" si="2"/>
        <v>0.22222222221898846</v>
      </c>
      <c r="L52" s="103">
        <f t="shared" si="3"/>
        <v>319.99999999534339</v>
      </c>
      <c r="M52" s="12" t="s">
        <v>3739</v>
      </c>
      <c r="N52" s="100" t="s">
        <v>3740</v>
      </c>
      <c r="O52" s="9" t="s">
        <v>3741</v>
      </c>
      <c r="P52" s="37" t="s">
        <v>3212</v>
      </c>
      <c r="Q52" s="37" t="s">
        <v>678</v>
      </c>
      <c r="R52" s="144"/>
      <c r="S52" s="38" t="str">
        <f t="shared" si="4"/>
        <v>OSLA</v>
      </c>
      <c r="T52" s="37" t="str">
        <f t="shared" si="5"/>
        <v>OUI</v>
      </c>
      <c r="U52" s="12" t="s">
        <v>2680</v>
      </c>
    </row>
    <row r="53" spans="1:21" x14ac:dyDescent="0.4">
      <c r="A53" s="37">
        <v>52</v>
      </c>
      <c r="B53" s="101" t="s">
        <v>3603</v>
      </c>
      <c r="C53" s="37" t="s">
        <v>2</v>
      </c>
      <c r="D53" s="37" t="s">
        <v>702</v>
      </c>
      <c r="E53" s="9" t="s">
        <v>954</v>
      </c>
      <c r="F53" s="102">
        <v>46123.229166666664</v>
      </c>
      <c r="G53" s="102">
        <v>46123.253472222219</v>
      </c>
      <c r="H53" s="102">
        <v>46123.253472222219</v>
      </c>
      <c r="I53" s="153">
        <f t="shared" si="0"/>
        <v>2.4305555554747116E-2</v>
      </c>
      <c r="J53" s="103">
        <f t="shared" si="1"/>
        <v>34.999999998835847</v>
      </c>
      <c r="K53" s="153">
        <f t="shared" si="2"/>
        <v>2.4305555554747116E-2</v>
      </c>
      <c r="L53" s="103">
        <f t="shared" si="3"/>
        <v>34.999999998835847</v>
      </c>
      <c r="M53" s="100" t="s">
        <v>2996</v>
      </c>
      <c r="N53" s="100" t="s">
        <v>20</v>
      </c>
      <c r="O53" s="100" t="s">
        <v>20</v>
      </c>
      <c r="P53" s="37" t="s">
        <v>2997</v>
      </c>
      <c r="Q53" s="37" t="s">
        <v>678</v>
      </c>
      <c r="R53" s="144"/>
      <c r="S53" s="38" t="str">
        <f t="shared" si="4"/>
        <v>ISLA</v>
      </c>
      <c r="T53" s="37" t="str">
        <f t="shared" si="5"/>
        <v>NON</v>
      </c>
      <c r="U53" s="12" t="s">
        <v>2680</v>
      </c>
    </row>
    <row r="54" spans="1:21" ht="20.6" x14ac:dyDescent="0.4">
      <c r="A54" s="37">
        <v>53</v>
      </c>
      <c r="B54" s="101" t="s">
        <v>2706</v>
      </c>
      <c r="C54" s="37" t="s">
        <v>2</v>
      </c>
      <c r="D54" s="37" t="s">
        <v>702</v>
      </c>
      <c r="E54" s="9" t="s">
        <v>3002</v>
      </c>
      <c r="F54" s="102">
        <v>46124.041666666664</v>
      </c>
      <c r="G54" s="102">
        <v>46124.225694444445</v>
      </c>
      <c r="H54" s="102">
        <v>46124.225694444445</v>
      </c>
      <c r="I54" s="153">
        <f t="shared" si="0"/>
        <v>0.18402777778101154</v>
      </c>
      <c r="J54" s="103">
        <f t="shared" si="1"/>
        <v>265.00000000465661</v>
      </c>
      <c r="K54" s="153">
        <f t="shared" si="2"/>
        <v>0.18402777778101154</v>
      </c>
      <c r="L54" s="103">
        <f t="shared" si="3"/>
        <v>265.00000000465661</v>
      </c>
      <c r="M54" s="100" t="s">
        <v>2753</v>
      </c>
      <c r="N54" s="139" t="s">
        <v>20</v>
      </c>
      <c r="O54" s="100" t="s">
        <v>20</v>
      </c>
      <c r="P54" s="37" t="s">
        <v>2628</v>
      </c>
      <c r="Q54" s="37" t="s">
        <v>678</v>
      </c>
      <c r="R54" s="12" t="s">
        <v>3239</v>
      </c>
      <c r="S54" s="38" t="str">
        <f t="shared" si="4"/>
        <v>OSLA</v>
      </c>
      <c r="T54" s="37" t="str">
        <f t="shared" si="5"/>
        <v>NON</v>
      </c>
      <c r="U54" s="12" t="s">
        <v>2675</v>
      </c>
    </row>
    <row r="55" spans="1:21" x14ac:dyDescent="0.4">
      <c r="A55" s="37">
        <v>54</v>
      </c>
      <c r="B55" s="101" t="s">
        <v>3604</v>
      </c>
      <c r="C55" s="37" t="s">
        <v>2</v>
      </c>
      <c r="D55" s="37" t="s">
        <v>702</v>
      </c>
      <c r="E55" s="9" t="s">
        <v>954</v>
      </c>
      <c r="F55" s="102">
        <v>46124.21875</v>
      </c>
      <c r="G55" s="102">
        <v>46124.262499999997</v>
      </c>
      <c r="H55" s="102">
        <v>46124.262499999997</v>
      </c>
      <c r="I55" s="153">
        <f t="shared" si="0"/>
        <v>4.3749999997089617E-2</v>
      </c>
      <c r="J55" s="103">
        <f t="shared" si="1"/>
        <v>62.999999995809048</v>
      </c>
      <c r="K55" s="153">
        <f t="shared" si="2"/>
        <v>4.3749999997089617E-2</v>
      </c>
      <c r="L55" s="103">
        <f t="shared" si="3"/>
        <v>62.999999995809048</v>
      </c>
      <c r="M55" s="12" t="s">
        <v>2996</v>
      </c>
      <c r="N55" s="100" t="s">
        <v>20</v>
      </c>
      <c r="O55" s="9" t="s">
        <v>20</v>
      </c>
      <c r="P55" s="37" t="s">
        <v>2997</v>
      </c>
      <c r="Q55" s="37" t="s">
        <v>678</v>
      </c>
      <c r="R55" s="12"/>
      <c r="S55" s="38" t="str">
        <f t="shared" si="4"/>
        <v>ISLA</v>
      </c>
      <c r="T55" s="37" t="str">
        <f t="shared" si="5"/>
        <v>NON</v>
      </c>
      <c r="U55" s="12" t="s">
        <v>2680</v>
      </c>
    </row>
    <row r="56" spans="1:21" ht="20.6" x14ac:dyDescent="0.4">
      <c r="A56" s="37">
        <v>55</v>
      </c>
      <c r="B56" s="101" t="s">
        <v>3605</v>
      </c>
      <c r="C56" s="37" t="s">
        <v>2</v>
      </c>
      <c r="D56" s="37" t="s">
        <v>702</v>
      </c>
      <c r="E56" s="9" t="s">
        <v>2831</v>
      </c>
      <c r="F56" s="102">
        <v>46124.318055555559</v>
      </c>
      <c r="G56" s="102">
        <v>46124.734027777777</v>
      </c>
      <c r="H56" s="102">
        <v>46124.734027777777</v>
      </c>
      <c r="I56" s="153">
        <f t="shared" si="0"/>
        <v>0.41597222221753327</v>
      </c>
      <c r="J56" s="103">
        <f t="shared" si="1"/>
        <v>598.99999999324791</v>
      </c>
      <c r="K56" s="153">
        <f t="shared" si="2"/>
        <v>0.41597222221753327</v>
      </c>
      <c r="L56" s="103">
        <f t="shared" si="3"/>
        <v>598.99999999324791</v>
      </c>
      <c r="M56" s="100" t="s">
        <v>2832</v>
      </c>
      <c r="N56" s="139" t="s">
        <v>3742</v>
      </c>
      <c r="O56" s="9" t="s">
        <v>3743</v>
      </c>
      <c r="P56" s="37" t="s">
        <v>2834</v>
      </c>
      <c r="Q56" s="37" t="s">
        <v>678</v>
      </c>
      <c r="R56" s="144"/>
      <c r="S56" s="38" t="str">
        <f t="shared" si="4"/>
        <v>OSLA</v>
      </c>
      <c r="T56" s="37" t="str">
        <f t="shared" si="5"/>
        <v>OUI</v>
      </c>
      <c r="U56" s="12" t="s">
        <v>2735</v>
      </c>
    </row>
    <row r="57" spans="1:21" ht="20.6" x14ac:dyDescent="0.4">
      <c r="A57" s="37">
        <v>56</v>
      </c>
      <c r="B57" s="101" t="s">
        <v>3606</v>
      </c>
      <c r="C57" s="37" t="s">
        <v>2</v>
      </c>
      <c r="D57" s="37" t="s">
        <v>702</v>
      </c>
      <c r="E57" s="9" t="s">
        <v>3290</v>
      </c>
      <c r="F57" s="102">
        <v>46124.423611111109</v>
      </c>
      <c r="G57" s="102">
        <v>46124.454861111109</v>
      </c>
      <c r="H57" s="102">
        <v>46124.454861111109</v>
      </c>
      <c r="I57" s="153">
        <f t="shared" si="0"/>
        <v>3.125E-2</v>
      </c>
      <c r="J57" s="103">
        <f t="shared" si="1"/>
        <v>45</v>
      </c>
      <c r="K57" s="153">
        <f t="shared" si="2"/>
        <v>3.125E-2</v>
      </c>
      <c r="L57" s="103">
        <f t="shared" si="3"/>
        <v>45</v>
      </c>
      <c r="M57" s="100" t="s">
        <v>3744</v>
      </c>
      <c r="N57" s="100" t="s">
        <v>20</v>
      </c>
      <c r="O57" s="9" t="s">
        <v>20</v>
      </c>
      <c r="P57" s="37" t="s">
        <v>2628</v>
      </c>
      <c r="Q57" s="37" t="s">
        <v>678</v>
      </c>
      <c r="R57" s="9"/>
      <c r="S57" s="38" t="str">
        <f t="shared" si="4"/>
        <v>ISLA</v>
      </c>
      <c r="T57" s="37" t="str">
        <f t="shared" si="5"/>
        <v>NON</v>
      </c>
      <c r="U57" s="12" t="s">
        <v>2675</v>
      </c>
    </row>
    <row r="58" spans="1:21" x14ac:dyDescent="0.4">
      <c r="A58" s="37">
        <v>57</v>
      </c>
      <c r="B58" s="101" t="s">
        <v>3607</v>
      </c>
      <c r="C58" s="37" t="s">
        <v>2</v>
      </c>
      <c r="D58" s="37" t="s">
        <v>702</v>
      </c>
      <c r="E58" s="9" t="s">
        <v>3608</v>
      </c>
      <c r="F58" s="102">
        <v>46124.423611111109</v>
      </c>
      <c r="G58" s="102">
        <v>46124.454861111109</v>
      </c>
      <c r="H58" s="102">
        <v>46124.454861111109</v>
      </c>
      <c r="I58" s="153">
        <f t="shared" si="0"/>
        <v>3.125E-2</v>
      </c>
      <c r="J58" s="103">
        <f t="shared" si="1"/>
        <v>45</v>
      </c>
      <c r="K58" s="153">
        <f t="shared" si="2"/>
        <v>3.125E-2</v>
      </c>
      <c r="L58" s="103">
        <f t="shared" si="3"/>
        <v>45</v>
      </c>
      <c r="M58" s="139" t="s">
        <v>3745</v>
      </c>
      <c r="N58" s="100" t="s">
        <v>20</v>
      </c>
      <c r="O58" s="9" t="s">
        <v>20</v>
      </c>
      <c r="P58" s="83" t="s">
        <v>2628</v>
      </c>
      <c r="Q58" s="37" t="s">
        <v>678</v>
      </c>
      <c r="R58" s="12"/>
      <c r="S58" s="38" t="str">
        <f t="shared" si="4"/>
        <v>ISLA</v>
      </c>
      <c r="T58" s="37" t="str">
        <f t="shared" si="5"/>
        <v>NON</v>
      </c>
      <c r="U58" s="12" t="s">
        <v>2675</v>
      </c>
    </row>
    <row r="59" spans="1:21" ht="195.45" x14ac:dyDescent="0.4">
      <c r="A59" s="37">
        <v>58</v>
      </c>
      <c r="B59" s="101" t="s">
        <v>3609</v>
      </c>
      <c r="C59" s="37" t="s">
        <v>2</v>
      </c>
      <c r="D59" s="37" t="s">
        <v>702</v>
      </c>
      <c r="E59" s="9" t="s">
        <v>3610</v>
      </c>
      <c r="F59" s="102">
        <v>46125.423611111109</v>
      </c>
      <c r="G59" s="102">
        <v>46125.538194444445</v>
      </c>
      <c r="H59" s="102">
        <v>46125.538194444445</v>
      </c>
      <c r="I59" s="153">
        <f t="shared" si="0"/>
        <v>0.11458333333575865</v>
      </c>
      <c r="J59" s="103">
        <f t="shared" si="1"/>
        <v>165.00000000349246</v>
      </c>
      <c r="K59" s="153">
        <f t="shared" si="2"/>
        <v>0.11458333333575865</v>
      </c>
      <c r="L59" s="103">
        <f t="shared" si="3"/>
        <v>165.00000000349246</v>
      </c>
      <c r="M59" s="139" t="s">
        <v>3746</v>
      </c>
      <c r="N59" s="9" t="s">
        <v>3747</v>
      </c>
      <c r="O59" s="9" t="s">
        <v>3748</v>
      </c>
      <c r="P59" s="83" t="s">
        <v>2628</v>
      </c>
      <c r="Q59" s="37" t="s">
        <v>678</v>
      </c>
      <c r="R59" s="12"/>
      <c r="S59" s="38" t="str">
        <f t="shared" si="4"/>
        <v>ISLA</v>
      </c>
      <c r="T59" s="37" t="str">
        <f t="shared" si="5"/>
        <v>NON</v>
      </c>
      <c r="U59" s="12" t="s">
        <v>2675</v>
      </c>
    </row>
    <row r="60" spans="1:21" ht="20.6" x14ac:dyDescent="0.4">
      <c r="A60" s="37">
        <v>59</v>
      </c>
      <c r="B60" s="101" t="s">
        <v>3611</v>
      </c>
      <c r="C60" s="37" t="s">
        <v>2</v>
      </c>
      <c r="D60" s="37" t="s">
        <v>702</v>
      </c>
      <c r="E60" s="9" t="s">
        <v>2750</v>
      </c>
      <c r="F60" s="102">
        <v>46125.486111111109</v>
      </c>
      <c r="G60" s="102">
        <v>46125.711805555555</v>
      </c>
      <c r="H60" s="102">
        <v>46125.711805555555</v>
      </c>
      <c r="I60" s="153">
        <f t="shared" si="0"/>
        <v>0.22569444444525288</v>
      </c>
      <c r="J60" s="103">
        <f t="shared" si="1"/>
        <v>325.00000000116415</v>
      </c>
      <c r="K60" s="153">
        <f t="shared" si="2"/>
        <v>0.22569444444525288</v>
      </c>
      <c r="L60" s="103">
        <f t="shared" si="3"/>
        <v>325.00000000116415</v>
      </c>
      <c r="M60" s="139" t="s">
        <v>3749</v>
      </c>
      <c r="N60" s="100" t="s">
        <v>3750</v>
      </c>
      <c r="O60" s="9" t="s">
        <v>3751</v>
      </c>
      <c r="P60" s="83" t="s">
        <v>707</v>
      </c>
      <c r="Q60" s="37" t="s">
        <v>678</v>
      </c>
      <c r="R60" s="12"/>
      <c r="S60" s="38" t="str">
        <f t="shared" si="4"/>
        <v>OSLA</v>
      </c>
      <c r="T60" s="37" t="str">
        <f t="shared" si="5"/>
        <v>NON</v>
      </c>
      <c r="U60" s="12" t="s">
        <v>2675</v>
      </c>
    </row>
    <row r="61" spans="1:21" ht="30.9" x14ac:dyDescent="0.4">
      <c r="A61" s="37">
        <v>60</v>
      </c>
      <c r="B61" s="101" t="s">
        <v>3612</v>
      </c>
      <c r="C61" s="37" t="s">
        <v>2</v>
      </c>
      <c r="D61" s="37" t="s">
        <v>702</v>
      </c>
      <c r="E61" s="9" t="s">
        <v>3613</v>
      </c>
      <c r="F61" s="102">
        <v>46125.545138888891</v>
      </c>
      <c r="G61" s="102">
        <v>46125.659722222219</v>
      </c>
      <c r="H61" s="102">
        <v>46125.659722222219</v>
      </c>
      <c r="I61" s="153">
        <f t="shared" si="0"/>
        <v>0.11458333332848269</v>
      </c>
      <c r="J61" s="103">
        <f t="shared" si="1"/>
        <v>164.99999999301508</v>
      </c>
      <c r="K61" s="153">
        <f t="shared" si="2"/>
        <v>0.11458333332848269</v>
      </c>
      <c r="L61" s="103">
        <f t="shared" si="3"/>
        <v>164.99999999301508</v>
      </c>
      <c r="M61" s="139" t="s">
        <v>3752</v>
      </c>
      <c r="N61" s="9" t="s">
        <v>20</v>
      </c>
      <c r="O61" s="9" t="s">
        <v>20</v>
      </c>
      <c r="P61" s="83" t="s">
        <v>2628</v>
      </c>
      <c r="Q61" s="37" t="s">
        <v>678</v>
      </c>
      <c r="R61" s="12"/>
      <c r="S61" s="38" t="str">
        <f t="shared" si="4"/>
        <v>ISLA</v>
      </c>
      <c r="T61" s="37" t="str">
        <f t="shared" si="5"/>
        <v>NON</v>
      </c>
      <c r="U61" s="12" t="s">
        <v>2675</v>
      </c>
    </row>
    <row r="62" spans="1:21" x14ac:dyDescent="0.4">
      <c r="A62" s="37">
        <v>61</v>
      </c>
      <c r="B62" s="101" t="s">
        <v>3614</v>
      </c>
      <c r="C62" s="37" t="s">
        <v>2</v>
      </c>
      <c r="D62" s="37" t="s">
        <v>702</v>
      </c>
      <c r="E62" s="9" t="s">
        <v>3395</v>
      </c>
      <c r="F62" s="102">
        <v>46125.680555555555</v>
      </c>
      <c r="G62" s="102">
        <v>46125.71875</v>
      </c>
      <c r="H62" s="102">
        <v>46125.71875</v>
      </c>
      <c r="I62" s="153">
        <f t="shared" si="0"/>
        <v>3.8194444445252884E-2</v>
      </c>
      <c r="J62" s="103">
        <f t="shared" si="1"/>
        <v>55.000000001164153</v>
      </c>
      <c r="K62" s="153">
        <f t="shared" si="2"/>
        <v>3.8194444445252884E-2</v>
      </c>
      <c r="L62" s="103">
        <f t="shared" si="3"/>
        <v>55.000000001164153</v>
      </c>
      <c r="M62" s="139" t="s">
        <v>3753</v>
      </c>
      <c r="N62" s="100" t="s">
        <v>20</v>
      </c>
      <c r="O62" s="12" t="s">
        <v>20</v>
      </c>
      <c r="P62" s="83" t="s">
        <v>2628</v>
      </c>
      <c r="Q62" s="37" t="s">
        <v>678</v>
      </c>
      <c r="R62" s="12"/>
      <c r="S62" s="38" t="str">
        <f t="shared" si="4"/>
        <v>ISLA</v>
      </c>
      <c r="T62" s="37" t="str">
        <f t="shared" si="5"/>
        <v>NON</v>
      </c>
      <c r="U62" s="12" t="s">
        <v>2675</v>
      </c>
    </row>
    <row r="63" spans="1:21" x14ac:dyDescent="0.4">
      <c r="A63" s="37">
        <v>62</v>
      </c>
      <c r="B63" s="101" t="s">
        <v>3615</v>
      </c>
      <c r="C63" s="37" t="s">
        <v>2</v>
      </c>
      <c r="D63" s="37" t="s">
        <v>702</v>
      </c>
      <c r="E63" s="9" t="s">
        <v>3069</v>
      </c>
      <c r="F63" s="102">
        <v>46125.791666666664</v>
      </c>
      <c r="G63" s="102">
        <v>46126.288888888892</v>
      </c>
      <c r="H63" s="102">
        <v>46126.288888888892</v>
      </c>
      <c r="I63" s="153">
        <f t="shared" si="0"/>
        <v>0.49722222222771961</v>
      </c>
      <c r="J63" s="103">
        <f t="shared" si="1"/>
        <v>716.00000000791624</v>
      </c>
      <c r="K63" s="153">
        <f t="shared" si="2"/>
        <v>0.49722222222771961</v>
      </c>
      <c r="L63" s="103">
        <f t="shared" si="3"/>
        <v>716.00000000791624</v>
      </c>
      <c r="M63" s="139" t="s">
        <v>3187</v>
      </c>
      <c r="N63" s="9" t="s">
        <v>20</v>
      </c>
      <c r="O63" s="12" t="s">
        <v>20</v>
      </c>
      <c r="P63" s="83" t="s">
        <v>3704</v>
      </c>
      <c r="Q63" s="37" t="s">
        <v>678</v>
      </c>
      <c r="R63" s="12"/>
      <c r="S63" s="38" t="str">
        <f t="shared" si="4"/>
        <v>OSLA</v>
      </c>
      <c r="T63" s="37" t="str">
        <f t="shared" si="5"/>
        <v>OUI</v>
      </c>
      <c r="U63" s="12" t="s">
        <v>2680</v>
      </c>
    </row>
    <row r="64" spans="1:21" x14ac:dyDescent="0.4">
      <c r="A64" s="37">
        <v>63</v>
      </c>
      <c r="B64" s="101" t="s">
        <v>3616</v>
      </c>
      <c r="C64" s="37" t="s">
        <v>2</v>
      </c>
      <c r="D64" s="37" t="s">
        <v>702</v>
      </c>
      <c r="E64" s="9" t="s">
        <v>3258</v>
      </c>
      <c r="F64" s="102">
        <v>46126.222222222219</v>
      </c>
      <c r="G64" s="102">
        <v>46126.402777777781</v>
      </c>
      <c r="H64" s="102">
        <v>46126.402777777781</v>
      </c>
      <c r="I64" s="153">
        <f t="shared" si="0"/>
        <v>0.18055555556202307</v>
      </c>
      <c r="J64" s="103">
        <f t="shared" si="1"/>
        <v>260.00000000931323</v>
      </c>
      <c r="K64" s="153">
        <f t="shared" si="2"/>
        <v>0.18055555556202307</v>
      </c>
      <c r="L64" s="103">
        <f t="shared" si="3"/>
        <v>260.00000000931323</v>
      </c>
      <c r="M64" s="139" t="s">
        <v>3496</v>
      </c>
      <c r="N64" s="9" t="s">
        <v>20</v>
      </c>
      <c r="O64" s="9" t="s">
        <v>20</v>
      </c>
      <c r="P64" s="83" t="s">
        <v>3754</v>
      </c>
      <c r="Q64" s="37" t="s">
        <v>678</v>
      </c>
      <c r="R64" s="12"/>
      <c r="S64" s="38" t="str">
        <f t="shared" si="4"/>
        <v>OSLA</v>
      </c>
      <c r="T64" s="37" t="str">
        <f t="shared" si="5"/>
        <v>OUI</v>
      </c>
      <c r="U64" s="12" t="s">
        <v>2680</v>
      </c>
    </row>
    <row r="65" spans="1:21" x14ac:dyDescent="0.4">
      <c r="A65" s="37">
        <v>64</v>
      </c>
      <c r="B65" s="101" t="s">
        <v>3617</v>
      </c>
      <c r="C65" s="37" t="s">
        <v>2</v>
      </c>
      <c r="D65" s="37" t="s">
        <v>702</v>
      </c>
      <c r="E65" s="9" t="s">
        <v>3030</v>
      </c>
      <c r="F65" s="102">
        <v>46126.493055555555</v>
      </c>
      <c r="G65" s="102">
        <v>46126.6875</v>
      </c>
      <c r="H65" s="102">
        <v>46126.6875</v>
      </c>
      <c r="I65" s="153">
        <f t="shared" si="0"/>
        <v>0.19444444444525288</v>
      </c>
      <c r="J65" s="103">
        <f t="shared" si="1"/>
        <v>280.00000000116415</v>
      </c>
      <c r="K65" s="153">
        <f t="shared" si="2"/>
        <v>0.19444444444525288</v>
      </c>
      <c r="L65" s="103">
        <f t="shared" si="3"/>
        <v>280.00000000116415</v>
      </c>
      <c r="M65" s="139" t="s">
        <v>3164</v>
      </c>
      <c r="N65" s="100" t="s">
        <v>3755</v>
      </c>
      <c r="O65" s="12" t="s">
        <v>3756</v>
      </c>
      <c r="P65" s="83" t="s">
        <v>2628</v>
      </c>
      <c r="Q65" s="37" t="s">
        <v>678</v>
      </c>
      <c r="R65" s="12"/>
      <c r="S65" s="38" t="str">
        <f t="shared" si="4"/>
        <v>OSLA</v>
      </c>
      <c r="T65" s="37" t="str">
        <f t="shared" si="5"/>
        <v>NON</v>
      </c>
      <c r="U65" s="12" t="s">
        <v>2675</v>
      </c>
    </row>
    <row r="66" spans="1:21" x14ac:dyDescent="0.4">
      <c r="A66" s="37">
        <v>65</v>
      </c>
      <c r="B66" s="101" t="s">
        <v>3618</v>
      </c>
      <c r="C66" s="37" t="s">
        <v>2</v>
      </c>
      <c r="D66" s="37" t="s">
        <v>702</v>
      </c>
      <c r="E66" s="9" t="s">
        <v>2673</v>
      </c>
      <c r="F66" s="102">
        <v>46126.5</v>
      </c>
      <c r="G66" s="102">
        <v>46126.805555555555</v>
      </c>
      <c r="H66" s="102">
        <v>46126.805555555555</v>
      </c>
      <c r="I66" s="153">
        <f t="shared" ref="I66:I129" si="6">G66-F66</f>
        <v>0.30555555555474712</v>
      </c>
      <c r="J66" s="103">
        <f t="shared" ref="J66:J129" si="7">I66*1440</f>
        <v>439.99999999883585</v>
      </c>
      <c r="K66" s="153">
        <f t="shared" ref="K66:K129" si="8">H66-F66</f>
        <v>0.30555555555474712</v>
      </c>
      <c r="L66" s="103">
        <f t="shared" ref="L66:L129" si="9">K66*1440</f>
        <v>439.99999999883585</v>
      </c>
      <c r="M66" s="139" t="s">
        <v>3757</v>
      </c>
      <c r="N66" s="100" t="s">
        <v>20</v>
      </c>
      <c r="O66" s="12" t="s">
        <v>20</v>
      </c>
      <c r="P66" s="83" t="s">
        <v>2815</v>
      </c>
      <c r="Q66" s="37" t="s">
        <v>678</v>
      </c>
      <c r="R66" s="12"/>
      <c r="S66" s="38" t="str">
        <f t="shared" ref="S66:S129" si="10">IF(AND(C66="P1",J66&lt;=240),"ISLA",IF((AND(C66="P2",J66&lt;=480)),"ISLA",IF((AND(C66="P3",J66&lt;=2880)),"ISLA","OSLA")))</f>
        <v>OSLA</v>
      </c>
      <c r="T66" s="37" t="str">
        <f t="shared" ref="T66:T129" si="11">IF((AND(MID(P66,1,2)="IT",S66="OSLA")),"OUI","NON")</f>
        <v>OUI</v>
      </c>
      <c r="U66" s="12" t="s">
        <v>2680</v>
      </c>
    </row>
    <row r="67" spans="1:21" ht="20.6" x14ac:dyDescent="0.4">
      <c r="A67" s="37">
        <v>66</v>
      </c>
      <c r="B67" s="101" t="s">
        <v>3619</v>
      </c>
      <c r="C67" s="37" t="s">
        <v>2</v>
      </c>
      <c r="D67" s="37" t="s">
        <v>702</v>
      </c>
      <c r="E67" s="9" t="s">
        <v>3290</v>
      </c>
      <c r="F67" s="102">
        <v>46126.6875</v>
      </c>
      <c r="G67" s="102">
        <v>46126.833333333336</v>
      </c>
      <c r="H67" s="102">
        <v>46126.833333333336</v>
      </c>
      <c r="I67" s="153">
        <f t="shared" si="6"/>
        <v>0.14583333333575865</v>
      </c>
      <c r="J67" s="103">
        <f t="shared" si="7"/>
        <v>210.00000000349246</v>
      </c>
      <c r="K67" s="153">
        <f t="shared" si="8"/>
        <v>0.14583333333575865</v>
      </c>
      <c r="L67" s="103">
        <f t="shared" si="9"/>
        <v>210.00000000349246</v>
      </c>
      <c r="M67" s="139" t="s">
        <v>2728</v>
      </c>
      <c r="N67" s="100" t="s">
        <v>20</v>
      </c>
      <c r="O67" s="12" t="s">
        <v>20</v>
      </c>
      <c r="P67" s="83" t="s">
        <v>2628</v>
      </c>
      <c r="Q67" s="37" t="s">
        <v>678</v>
      </c>
      <c r="R67" s="12"/>
      <c r="S67" s="38" t="str">
        <f t="shared" si="10"/>
        <v>ISLA</v>
      </c>
      <c r="T67" s="37" t="str">
        <f t="shared" si="11"/>
        <v>NON</v>
      </c>
      <c r="U67" s="12" t="s">
        <v>2675</v>
      </c>
    </row>
    <row r="68" spans="1:21" ht="20.6" x14ac:dyDescent="0.4">
      <c r="A68" s="37">
        <v>67</v>
      </c>
      <c r="B68" s="101" t="s">
        <v>3620</v>
      </c>
      <c r="C68" s="37" t="s">
        <v>2</v>
      </c>
      <c r="D68" s="37" t="s">
        <v>702</v>
      </c>
      <c r="E68" s="9" t="s">
        <v>3621</v>
      </c>
      <c r="F68" s="102">
        <v>46126.753472222219</v>
      </c>
      <c r="G68" s="102">
        <v>46127.371527777781</v>
      </c>
      <c r="H68" s="102">
        <v>46127.371527777781</v>
      </c>
      <c r="I68" s="153">
        <f t="shared" si="6"/>
        <v>0.61805555556202307</v>
      </c>
      <c r="J68" s="103">
        <f t="shared" si="7"/>
        <v>890.00000000931323</v>
      </c>
      <c r="K68" s="153">
        <f t="shared" si="8"/>
        <v>0.61805555556202307</v>
      </c>
      <c r="L68" s="103">
        <f t="shared" si="9"/>
        <v>890.00000000931323</v>
      </c>
      <c r="M68" s="139" t="s">
        <v>3758</v>
      </c>
      <c r="N68" s="100" t="s">
        <v>3759</v>
      </c>
      <c r="O68" s="12" t="s">
        <v>3760</v>
      </c>
      <c r="P68" s="83" t="s">
        <v>707</v>
      </c>
      <c r="Q68" s="37" t="s">
        <v>678</v>
      </c>
      <c r="R68" s="172"/>
      <c r="S68" s="38" t="str">
        <f t="shared" si="10"/>
        <v>OSLA</v>
      </c>
      <c r="T68" s="37" t="str">
        <f t="shared" si="11"/>
        <v>NON</v>
      </c>
      <c r="U68" s="12" t="s">
        <v>2675</v>
      </c>
    </row>
    <row r="69" spans="1:21" x14ac:dyDescent="0.4">
      <c r="A69" s="37">
        <v>68</v>
      </c>
      <c r="B69" s="101" t="s">
        <v>3622</v>
      </c>
      <c r="C69" s="37" t="s">
        <v>2</v>
      </c>
      <c r="D69" s="37" t="s">
        <v>702</v>
      </c>
      <c r="E69" s="9" t="s">
        <v>3030</v>
      </c>
      <c r="F69" s="102">
        <v>46126.927083333336</v>
      </c>
      <c r="G69" s="102">
        <v>46127.34375</v>
      </c>
      <c r="H69" s="102">
        <v>46127.34375</v>
      </c>
      <c r="I69" s="153">
        <f t="shared" si="6"/>
        <v>0.41666666666424135</v>
      </c>
      <c r="J69" s="103">
        <f t="shared" si="7"/>
        <v>599.99999999650754</v>
      </c>
      <c r="K69" s="153">
        <f t="shared" si="8"/>
        <v>0.41666666666424135</v>
      </c>
      <c r="L69" s="103">
        <f t="shared" si="9"/>
        <v>599.99999999650754</v>
      </c>
      <c r="M69" s="139" t="s">
        <v>3164</v>
      </c>
      <c r="N69" s="100" t="s">
        <v>20</v>
      </c>
      <c r="O69" s="12" t="s">
        <v>20</v>
      </c>
      <c r="P69" s="83" t="s">
        <v>3761</v>
      </c>
      <c r="Q69" s="37" t="s">
        <v>678</v>
      </c>
      <c r="R69" s="12"/>
      <c r="S69" s="38" t="str">
        <f t="shared" si="10"/>
        <v>OSLA</v>
      </c>
      <c r="T69" s="37" t="str">
        <f t="shared" si="11"/>
        <v>OUI</v>
      </c>
      <c r="U69" s="12" t="s">
        <v>2680</v>
      </c>
    </row>
    <row r="70" spans="1:21" x14ac:dyDescent="0.4">
      <c r="A70" s="37">
        <v>69</v>
      </c>
      <c r="B70" s="101" t="s">
        <v>3623</v>
      </c>
      <c r="C70" s="37" t="s">
        <v>2</v>
      </c>
      <c r="D70" s="37" t="s">
        <v>702</v>
      </c>
      <c r="E70" s="9" t="s">
        <v>3624</v>
      </c>
      <c r="F70" s="102">
        <v>46127.013888888891</v>
      </c>
      <c r="G70" s="102">
        <v>46129.03125</v>
      </c>
      <c r="H70" s="102">
        <v>46129.03125</v>
      </c>
      <c r="I70" s="153">
        <f t="shared" si="6"/>
        <v>2.0173611111094942</v>
      </c>
      <c r="J70" s="103">
        <f t="shared" si="7"/>
        <v>2904.9999999976717</v>
      </c>
      <c r="K70" s="153">
        <f t="shared" si="8"/>
        <v>2.0173611111094942</v>
      </c>
      <c r="L70" s="103">
        <f t="shared" si="9"/>
        <v>2904.9999999976717</v>
      </c>
      <c r="M70" s="139" t="s">
        <v>3762</v>
      </c>
      <c r="N70" s="100" t="s">
        <v>20</v>
      </c>
      <c r="O70" s="12" t="s">
        <v>20</v>
      </c>
      <c r="P70" s="83" t="s">
        <v>704</v>
      </c>
      <c r="Q70" s="37" t="s">
        <v>678</v>
      </c>
      <c r="R70" s="12"/>
      <c r="S70" s="38" t="str">
        <f t="shared" si="10"/>
        <v>OSLA</v>
      </c>
      <c r="T70" s="37" t="str">
        <f t="shared" si="11"/>
        <v>NON</v>
      </c>
      <c r="U70" s="12" t="s">
        <v>2675</v>
      </c>
    </row>
    <row r="71" spans="1:21" x14ac:dyDescent="0.4">
      <c r="A71" s="37">
        <v>70</v>
      </c>
      <c r="B71" s="101" t="s">
        <v>3625</v>
      </c>
      <c r="C71" s="37" t="s">
        <v>2</v>
      </c>
      <c r="D71" s="37" t="s">
        <v>702</v>
      </c>
      <c r="E71" s="9" t="s">
        <v>2831</v>
      </c>
      <c r="F71" s="102">
        <v>46127.311805555553</v>
      </c>
      <c r="G71" s="102">
        <v>46127.554861111108</v>
      </c>
      <c r="H71" s="102">
        <v>46127.554861111108</v>
      </c>
      <c r="I71" s="153">
        <f t="shared" si="6"/>
        <v>0.24305555555474712</v>
      </c>
      <c r="J71" s="103">
        <f t="shared" si="7"/>
        <v>349.99999999883585</v>
      </c>
      <c r="K71" s="153">
        <f t="shared" si="8"/>
        <v>0.24305555555474712</v>
      </c>
      <c r="L71" s="103">
        <f t="shared" si="9"/>
        <v>349.99999999883585</v>
      </c>
      <c r="M71" s="139" t="s">
        <v>2832</v>
      </c>
      <c r="N71" s="100" t="s">
        <v>3763</v>
      </c>
      <c r="O71" s="12" t="s">
        <v>2976</v>
      </c>
      <c r="P71" s="83" t="s">
        <v>2834</v>
      </c>
      <c r="Q71" s="37" t="s">
        <v>678</v>
      </c>
      <c r="R71" s="12"/>
      <c r="S71" s="38" t="str">
        <f t="shared" si="10"/>
        <v>OSLA</v>
      </c>
      <c r="T71" s="37" t="str">
        <f t="shared" si="11"/>
        <v>OUI</v>
      </c>
      <c r="U71" s="12" t="s">
        <v>2680</v>
      </c>
    </row>
    <row r="72" spans="1:21" x14ac:dyDescent="0.4">
      <c r="A72" s="37">
        <v>71</v>
      </c>
      <c r="B72" s="101" t="s">
        <v>3407</v>
      </c>
      <c r="C72" s="37" t="s">
        <v>2</v>
      </c>
      <c r="D72" s="37" t="s">
        <v>702</v>
      </c>
      <c r="E72" s="9" t="s">
        <v>2827</v>
      </c>
      <c r="F72" s="102">
        <v>46127.421527777777</v>
      </c>
      <c r="G72" s="102">
        <v>46127.450694444444</v>
      </c>
      <c r="H72" s="102">
        <v>46127.450694444444</v>
      </c>
      <c r="I72" s="153">
        <f t="shared" si="6"/>
        <v>2.9166666667151731E-2</v>
      </c>
      <c r="J72" s="103">
        <f t="shared" si="7"/>
        <v>42.000000000698492</v>
      </c>
      <c r="K72" s="153">
        <f t="shared" si="8"/>
        <v>2.9166666667151731E-2</v>
      </c>
      <c r="L72" s="103">
        <f t="shared" si="9"/>
        <v>42.000000000698492</v>
      </c>
      <c r="M72" s="139" t="s">
        <v>2828</v>
      </c>
      <c r="N72" s="100" t="s">
        <v>20</v>
      </c>
      <c r="O72" s="12" t="s">
        <v>20</v>
      </c>
      <c r="P72" s="83" t="s">
        <v>2829</v>
      </c>
      <c r="Q72" s="37" t="s">
        <v>678</v>
      </c>
      <c r="R72" s="12"/>
      <c r="S72" s="38" t="str">
        <f t="shared" si="10"/>
        <v>ISLA</v>
      </c>
      <c r="T72" s="37" t="str">
        <f t="shared" si="11"/>
        <v>NON</v>
      </c>
      <c r="U72" s="12" t="s">
        <v>2680</v>
      </c>
    </row>
    <row r="73" spans="1:21" x14ac:dyDescent="0.4">
      <c r="A73" s="37">
        <v>72</v>
      </c>
      <c r="B73" s="101" t="s">
        <v>3626</v>
      </c>
      <c r="C73" s="37" t="s">
        <v>2</v>
      </c>
      <c r="D73" s="37" t="s">
        <v>702</v>
      </c>
      <c r="E73" s="9" t="s">
        <v>2827</v>
      </c>
      <c r="F73" s="102">
        <v>46127.472222222219</v>
      </c>
      <c r="G73" s="102">
        <v>46127.509027777778</v>
      </c>
      <c r="H73" s="102">
        <v>46127.509027777778</v>
      </c>
      <c r="I73" s="153">
        <f t="shared" si="6"/>
        <v>3.680555555911269E-2</v>
      </c>
      <c r="J73" s="103">
        <f t="shared" si="7"/>
        <v>53.000000005122274</v>
      </c>
      <c r="K73" s="153">
        <f t="shared" si="8"/>
        <v>3.680555555911269E-2</v>
      </c>
      <c r="L73" s="103">
        <f t="shared" si="9"/>
        <v>53.000000005122274</v>
      </c>
      <c r="M73" s="139" t="s">
        <v>2828</v>
      </c>
      <c r="N73" s="100" t="s">
        <v>20</v>
      </c>
      <c r="O73" s="12" t="s">
        <v>20</v>
      </c>
      <c r="P73" s="83" t="s">
        <v>2829</v>
      </c>
      <c r="Q73" s="37" t="s">
        <v>678</v>
      </c>
      <c r="R73" s="12"/>
      <c r="S73" s="38" t="str">
        <f t="shared" si="10"/>
        <v>ISLA</v>
      </c>
      <c r="T73" s="37" t="str">
        <f t="shared" si="11"/>
        <v>NON</v>
      </c>
      <c r="U73" s="12" t="s">
        <v>2680</v>
      </c>
    </row>
    <row r="74" spans="1:21" ht="20.6" x14ac:dyDescent="0.4">
      <c r="A74" s="37">
        <v>73</v>
      </c>
      <c r="B74" s="101" t="s">
        <v>3627</v>
      </c>
      <c r="C74" s="37" t="s">
        <v>2</v>
      </c>
      <c r="D74" s="37" t="s">
        <v>702</v>
      </c>
      <c r="E74" s="9" t="s">
        <v>3290</v>
      </c>
      <c r="F74" s="102">
        <v>46127.680555555555</v>
      </c>
      <c r="G74" s="102">
        <v>46128.829861111109</v>
      </c>
      <c r="H74" s="102">
        <v>46128.829861111109</v>
      </c>
      <c r="I74" s="153">
        <f t="shared" si="6"/>
        <v>1.1493055555547471</v>
      </c>
      <c r="J74" s="103">
        <f t="shared" si="7"/>
        <v>1654.9999999988358</v>
      </c>
      <c r="K74" s="153">
        <f t="shared" si="8"/>
        <v>1.1493055555547471</v>
      </c>
      <c r="L74" s="103">
        <f t="shared" si="9"/>
        <v>1654.9999999988358</v>
      </c>
      <c r="M74" s="139" t="s">
        <v>2728</v>
      </c>
      <c r="N74" s="100" t="s">
        <v>20</v>
      </c>
      <c r="O74" s="12" t="s">
        <v>20</v>
      </c>
      <c r="P74" s="83" t="s">
        <v>2628</v>
      </c>
      <c r="Q74" s="37" t="s">
        <v>678</v>
      </c>
      <c r="R74" s="12"/>
      <c r="S74" s="38" t="str">
        <f t="shared" si="10"/>
        <v>OSLA</v>
      </c>
      <c r="T74" s="37" t="str">
        <f t="shared" si="11"/>
        <v>NON</v>
      </c>
      <c r="U74" s="12" t="s">
        <v>2675</v>
      </c>
    </row>
    <row r="75" spans="1:21" x14ac:dyDescent="0.4">
      <c r="A75" s="37">
        <v>74</v>
      </c>
      <c r="B75" s="101" t="s">
        <v>3628</v>
      </c>
      <c r="C75" s="37" t="s">
        <v>2</v>
      </c>
      <c r="D75" s="37" t="s">
        <v>702</v>
      </c>
      <c r="E75" s="9" t="s">
        <v>2673</v>
      </c>
      <c r="F75" s="102">
        <v>46127.90625</v>
      </c>
      <c r="G75" s="102">
        <v>46128.986111111109</v>
      </c>
      <c r="H75" s="102">
        <v>46128.986111111109</v>
      </c>
      <c r="I75" s="153">
        <f t="shared" si="6"/>
        <v>1.0798611111094942</v>
      </c>
      <c r="J75" s="103">
        <f t="shared" si="7"/>
        <v>1554.9999999976717</v>
      </c>
      <c r="K75" s="153">
        <f t="shared" si="8"/>
        <v>1.0798611111094942</v>
      </c>
      <c r="L75" s="103">
        <f t="shared" si="9"/>
        <v>1554.9999999976717</v>
      </c>
      <c r="M75" s="139" t="s">
        <v>2674</v>
      </c>
      <c r="N75" s="100" t="s">
        <v>20</v>
      </c>
      <c r="O75" s="12" t="s">
        <v>20</v>
      </c>
      <c r="P75" s="83" t="s">
        <v>2815</v>
      </c>
      <c r="Q75" s="37" t="s">
        <v>678</v>
      </c>
      <c r="R75" s="12"/>
      <c r="S75" s="38" t="str">
        <f t="shared" si="10"/>
        <v>OSLA</v>
      </c>
      <c r="T75" s="37" t="str">
        <f t="shared" si="11"/>
        <v>OUI</v>
      </c>
      <c r="U75" s="12" t="s">
        <v>2680</v>
      </c>
    </row>
    <row r="76" spans="1:21" x14ac:dyDescent="0.4">
      <c r="A76" s="37">
        <v>75</v>
      </c>
      <c r="B76" s="101" t="s">
        <v>3629</v>
      </c>
      <c r="C76" s="37" t="s">
        <v>2</v>
      </c>
      <c r="D76" s="37" t="s">
        <v>702</v>
      </c>
      <c r="E76" s="9" t="s">
        <v>3030</v>
      </c>
      <c r="F76" s="102">
        <v>46128.038194444445</v>
      </c>
      <c r="G76" s="102">
        <v>46128.288194444445</v>
      </c>
      <c r="H76" s="102">
        <v>46128.288194444445</v>
      </c>
      <c r="I76" s="153">
        <f t="shared" si="6"/>
        <v>0.25</v>
      </c>
      <c r="J76" s="103">
        <f t="shared" si="7"/>
        <v>360</v>
      </c>
      <c r="K76" s="153">
        <f t="shared" si="8"/>
        <v>0.25</v>
      </c>
      <c r="L76" s="103">
        <f t="shared" si="9"/>
        <v>360</v>
      </c>
      <c r="M76" s="139" t="s">
        <v>3164</v>
      </c>
      <c r="N76" s="100" t="s">
        <v>3764</v>
      </c>
      <c r="O76" s="12" t="s">
        <v>3765</v>
      </c>
      <c r="P76" s="83" t="s">
        <v>3761</v>
      </c>
      <c r="Q76" s="37" t="s">
        <v>678</v>
      </c>
      <c r="R76" s="12"/>
      <c r="S76" s="38" t="str">
        <f t="shared" si="10"/>
        <v>OSLA</v>
      </c>
      <c r="T76" s="37" t="str">
        <f t="shared" si="11"/>
        <v>OUI</v>
      </c>
      <c r="U76" s="12" t="s">
        <v>2680</v>
      </c>
    </row>
    <row r="77" spans="1:21" x14ac:dyDescent="0.4">
      <c r="A77" s="37">
        <v>76</v>
      </c>
      <c r="B77" s="101" t="s">
        <v>3630</v>
      </c>
      <c r="C77" s="37" t="s">
        <v>2</v>
      </c>
      <c r="D77" s="37" t="s">
        <v>702</v>
      </c>
      <c r="E77" s="9" t="s">
        <v>2808</v>
      </c>
      <c r="F77" s="102">
        <v>46128.277777777781</v>
      </c>
      <c r="G77" s="102">
        <v>46129.03125</v>
      </c>
      <c r="H77" s="102">
        <v>46129.03125</v>
      </c>
      <c r="I77" s="153">
        <f t="shared" si="6"/>
        <v>0.75347222221898846</v>
      </c>
      <c r="J77" s="103">
        <f t="shared" si="7"/>
        <v>1084.9999999953434</v>
      </c>
      <c r="K77" s="153">
        <f t="shared" si="8"/>
        <v>0.75347222221898846</v>
      </c>
      <c r="L77" s="103">
        <f t="shared" si="9"/>
        <v>1084.9999999953434</v>
      </c>
      <c r="M77" s="139" t="s">
        <v>3766</v>
      </c>
      <c r="N77" s="100" t="s">
        <v>20</v>
      </c>
      <c r="O77" s="12" t="s">
        <v>20</v>
      </c>
      <c r="P77" s="83" t="s">
        <v>3767</v>
      </c>
      <c r="Q77" s="37" t="s">
        <v>678</v>
      </c>
      <c r="R77" s="12"/>
      <c r="S77" s="38" t="str">
        <f t="shared" si="10"/>
        <v>OSLA</v>
      </c>
      <c r="T77" s="37" t="str">
        <f t="shared" si="11"/>
        <v>OUI</v>
      </c>
      <c r="U77" s="12" t="s">
        <v>2680</v>
      </c>
    </row>
    <row r="78" spans="1:21" x14ac:dyDescent="0.4">
      <c r="A78" s="37">
        <v>77</v>
      </c>
      <c r="B78" s="101" t="s">
        <v>3631</v>
      </c>
      <c r="C78" s="37" t="s">
        <v>2</v>
      </c>
      <c r="D78" s="37" t="s">
        <v>702</v>
      </c>
      <c r="E78" s="9" t="s">
        <v>3021</v>
      </c>
      <c r="F78" s="102">
        <v>46128.430555555555</v>
      </c>
      <c r="G78" s="102">
        <v>46128.649305555555</v>
      </c>
      <c r="H78" s="102">
        <v>46128.649305555555</v>
      </c>
      <c r="I78" s="153">
        <f t="shared" si="6"/>
        <v>0.21875</v>
      </c>
      <c r="J78" s="103">
        <f t="shared" si="7"/>
        <v>315</v>
      </c>
      <c r="K78" s="153">
        <f t="shared" si="8"/>
        <v>0.21875</v>
      </c>
      <c r="L78" s="103">
        <f t="shared" si="9"/>
        <v>315</v>
      </c>
      <c r="M78" s="139" t="s">
        <v>3160</v>
      </c>
      <c r="N78" s="100" t="s">
        <v>3768</v>
      </c>
      <c r="O78" s="12" t="s">
        <v>2744</v>
      </c>
      <c r="P78" s="83" t="s">
        <v>2628</v>
      </c>
      <c r="Q78" s="37" t="s">
        <v>678</v>
      </c>
      <c r="R78" s="12"/>
      <c r="S78" s="38" t="str">
        <f t="shared" si="10"/>
        <v>OSLA</v>
      </c>
      <c r="T78" s="37" t="str">
        <f t="shared" si="11"/>
        <v>NON</v>
      </c>
      <c r="U78" s="12" t="s">
        <v>2675</v>
      </c>
    </row>
    <row r="79" spans="1:21" ht="82.3" x14ac:dyDescent="0.4">
      <c r="A79" s="37">
        <v>78</v>
      </c>
      <c r="B79" s="101" t="s">
        <v>3632</v>
      </c>
      <c r="C79" s="37" t="s">
        <v>2</v>
      </c>
      <c r="D79" s="37" t="s">
        <v>702</v>
      </c>
      <c r="E79" s="9" t="s">
        <v>3633</v>
      </c>
      <c r="F79" s="102">
        <v>46128.510416666664</v>
      </c>
      <c r="G79" s="102">
        <v>46128.524305555555</v>
      </c>
      <c r="H79" s="102">
        <v>46128.524305555555</v>
      </c>
      <c r="I79" s="153">
        <f t="shared" si="6"/>
        <v>1.3888888890505768E-2</v>
      </c>
      <c r="J79" s="103">
        <f t="shared" si="7"/>
        <v>20.000000002328306</v>
      </c>
      <c r="K79" s="153">
        <f t="shared" si="8"/>
        <v>1.3888888890505768E-2</v>
      </c>
      <c r="L79" s="103">
        <f t="shared" si="9"/>
        <v>20.000000002328306</v>
      </c>
      <c r="M79" s="139" t="s">
        <v>3752</v>
      </c>
      <c r="N79" s="100" t="s">
        <v>3769</v>
      </c>
      <c r="O79" s="12" t="s">
        <v>20</v>
      </c>
      <c r="P79" s="83" t="s">
        <v>3770</v>
      </c>
      <c r="Q79" s="37" t="s">
        <v>678</v>
      </c>
      <c r="R79" s="12"/>
      <c r="S79" s="38" t="str">
        <f t="shared" si="10"/>
        <v>ISLA</v>
      </c>
      <c r="T79" s="37" t="str">
        <f t="shared" si="11"/>
        <v>NON</v>
      </c>
      <c r="U79" s="12" t="s">
        <v>2675</v>
      </c>
    </row>
    <row r="80" spans="1:21" x14ac:dyDescent="0.4">
      <c r="A80" s="37">
        <v>79</v>
      </c>
      <c r="B80" s="101" t="s">
        <v>3634</v>
      </c>
      <c r="C80" s="37" t="s">
        <v>2</v>
      </c>
      <c r="D80" s="37" t="s">
        <v>702</v>
      </c>
      <c r="E80" s="9" t="s">
        <v>3562</v>
      </c>
      <c r="F80" s="102">
        <v>46128.545138888891</v>
      </c>
      <c r="G80" s="102">
        <v>46128.78125</v>
      </c>
      <c r="H80" s="102">
        <v>46128.78125</v>
      </c>
      <c r="I80" s="153">
        <f t="shared" si="6"/>
        <v>0.23611111110949423</v>
      </c>
      <c r="J80" s="103">
        <f t="shared" si="7"/>
        <v>339.99999999767169</v>
      </c>
      <c r="K80" s="153">
        <f t="shared" si="8"/>
        <v>0.23611111110949423</v>
      </c>
      <c r="L80" s="103">
        <f t="shared" si="9"/>
        <v>339.99999999767169</v>
      </c>
      <c r="M80" s="139" t="s">
        <v>3771</v>
      </c>
      <c r="N80" s="100" t="s">
        <v>3772</v>
      </c>
      <c r="O80" s="12" t="s">
        <v>3773</v>
      </c>
      <c r="P80" s="83" t="s">
        <v>2628</v>
      </c>
      <c r="Q80" s="37" t="s">
        <v>678</v>
      </c>
      <c r="R80" s="12"/>
      <c r="S80" s="38" t="str">
        <f t="shared" si="10"/>
        <v>OSLA</v>
      </c>
      <c r="T80" s="37" t="str">
        <f t="shared" si="11"/>
        <v>NON</v>
      </c>
      <c r="U80" s="12" t="s">
        <v>2675</v>
      </c>
    </row>
    <row r="81" spans="1:21" ht="20.6" x14ac:dyDescent="0.4">
      <c r="A81" s="37">
        <v>80</v>
      </c>
      <c r="B81" s="101" t="s">
        <v>3635</v>
      </c>
      <c r="C81" s="37" t="s">
        <v>2</v>
      </c>
      <c r="D81" s="37" t="s">
        <v>702</v>
      </c>
      <c r="E81" s="9" t="s">
        <v>3050</v>
      </c>
      <c r="F81" s="102">
        <v>46129.010416666664</v>
      </c>
      <c r="G81" s="102">
        <v>46129.378472222219</v>
      </c>
      <c r="H81" s="102">
        <v>46129.378472222219</v>
      </c>
      <c r="I81" s="153">
        <f t="shared" si="6"/>
        <v>0.36805555555474712</v>
      </c>
      <c r="J81" s="103">
        <f t="shared" si="7"/>
        <v>529.99999999883585</v>
      </c>
      <c r="K81" s="153">
        <f t="shared" si="8"/>
        <v>0.36805555555474712</v>
      </c>
      <c r="L81" s="103">
        <f t="shared" si="9"/>
        <v>529.99999999883585</v>
      </c>
      <c r="M81" s="139" t="s">
        <v>2941</v>
      </c>
      <c r="N81" s="100" t="s">
        <v>3774</v>
      </c>
      <c r="O81" s="12" t="s">
        <v>3775</v>
      </c>
      <c r="P81" s="83" t="s">
        <v>2684</v>
      </c>
      <c r="Q81" s="37" t="s">
        <v>678</v>
      </c>
      <c r="R81" s="12"/>
      <c r="S81" s="38" t="str">
        <f t="shared" si="10"/>
        <v>OSLA</v>
      </c>
      <c r="T81" s="37" t="str">
        <f t="shared" si="11"/>
        <v>OUI</v>
      </c>
      <c r="U81" s="12" t="s">
        <v>2680</v>
      </c>
    </row>
    <row r="82" spans="1:21" x14ac:dyDescent="0.4">
      <c r="A82" s="37">
        <v>81</v>
      </c>
      <c r="B82" s="101" t="s">
        <v>3636</v>
      </c>
      <c r="C82" s="37" t="s">
        <v>2</v>
      </c>
      <c r="D82" s="37" t="s">
        <v>702</v>
      </c>
      <c r="E82" s="9" t="s">
        <v>3587</v>
      </c>
      <c r="F82" s="102">
        <v>46129.791666666664</v>
      </c>
      <c r="G82" s="102">
        <v>46130.590277777781</v>
      </c>
      <c r="H82" s="102">
        <v>46130.590277777781</v>
      </c>
      <c r="I82" s="153">
        <f t="shared" si="6"/>
        <v>0.79861111111677019</v>
      </c>
      <c r="J82" s="103">
        <f t="shared" si="7"/>
        <v>1150.0000000081491</v>
      </c>
      <c r="K82" s="153">
        <f t="shared" si="8"/>
        <v>0.79861111111677019</v>
      </c>
      <c r="L82" s="103">
        <f t="shared" si="9"/>
        <v>1150.0000000081491</v>
      </c>
      <c r="M82" s="139" t="s">
        <v>3727</v>
      </c>
      <c r="N82" s="100" t="s">
        <v>2766</v>
      </c>
      <c r="O82" s="12" t="s">
        <v>3776</v>
      </c>
      <c r="P82" s="83" t="s">
        <v>2628</v>
      </c>
      <c r="Q82" s="37" t="s">
        <v>678</v>
      </c>
      <c r="R82" s="12"/>
      <c r="S82" s="38" t="str">
        <f t="shared" si="10"/>
        <v>OSLA</v>
      </c>
      <c r="T82" s="37" t="str">
        <f t="shared" si="11"/>
        <v>NON</v>
      </c>
      <c r="U82" s="12" t="s">
        <v>2675</v>
      </c>
    </row>
    <row r="83" spans="1:21" x14ac:dyDescent="0.4">
      <c r="A83" s="37">
        <v>82</v>
      </c>
      <c r="B83" s="101" t="s">
        <v>3637</v>
      </c>
      <c r="C83" s="37" t="s">
        <v>2</v>
      </c>
      <c r="D83" s="37" t="s">
        <v>702</v>
      </c>
      <c r="E83" s="9" t="s">
        <v>3287</v>
      </c>
      <c r="F83" s="102">
        <v>46129.902777777781</v>
      </c>
      <c r="G83" s="102">
        <v>46129.947916666664</v>
      </c>
      <c r="H83" s="102">
        <v>46129.947916666664</v>
      </c>
      <c r="I83" s="153">
        <f t="shared" si="6"/>
        <v>4.5138888883229811E-2</v>
      </c>
      <c r="J83" s="103">
        <f t="shared" si="7"/>
        <v>64.999999991850927</v>
      </c>
      <c r="K83" s="153">
        <f t="shared" si="8"/>
        <v>4.5138888883229811E-2</v>
      </c>
      <c r="L83" s="103">
        <f t="shared" si="9"/>
        <v>64.999999991850927</v>
      </c>
      <c r="M83" s="139" t="s">
        <v>3777</v>
      </c>
      <c r="N83" s="100" t="s">
        <v>20</v>
      </c>
      <c r="O83" s="12" t="s">
        <v>20</v>
      </c>
      <c r="P83" s="83" t="s">
        <v>3778</v>
      </c>
      <c r="Q83" s="37" t="s">
        <v>678</v>
      </c>
      <c r="R83" s="12"/>
      <c r="S83" s="38" t="str">
        <f t="shared" si="10"/>
        <v>ISLA</v>
      </c>
      <c r="T83" s="37" t="str">
        <f t="shared" si="11"/>
        <v>NON</v>
      </c>
      <c r="U83" s="12" t="s">
        <v>2735</v>
      </c>
    </row>
    <row r="84" spans="1:21" x14ac:dyDescent="0.4">
      <c r="A84" s="37">
        <v>83</v>
      </c>
      <c r="B84" s="101" t="s">
        <v>3638</v>
      </c>
      <c r="C84" s="37" t="s">
        <v>2</v>
      </c>
      <c r="D84" s="37" t="s">
        <v>702</v>
      </c>
      <c r="E84" s="9" t="s">
        <v>3287</v>
      </c>
      <c r="F84" s="102">
        <v>46130.784722222219</v>
      </c>
      <c r="G84" s="102">
        <v>46130.809027777781</v>
      </c>
      <c r="H84" s="102">
        <v>46130.809027777781</v>
      </c>
      <c r="I84" s="153">
        <f t="shared" si="6"/>
        <v>2.4305555562023073E-2</v>
      </c>
      <c r="J84" s="103">
        <f t="shared" si="7"/>
        <v>35.000000009313226</v>
      </c>
      <c r="K84" s="153">
        <f t="shared" si="8"/>
        <v>2.4305555562023073E-2</v>
      </c>
      <c r="L84" s="103">
        <f t="shared" si="9"/>
        <v>35.000000009313226</v>
      </c>
      <c r="M84" s="139" t="s">
        <v>3777</v>
      </c>
      <c r="N84" s="100" t="s">
        <v>20</v>
      </c>
      <c r="O84" s="12" t="s">
        <v>20</v>
      </c>
      <c r="P84" s="83" t="s">
        <v>3778</v>
      </c>
      <c r="Q84" s="37" t="s">
        <v>678</v>
      </c>
      <c r="R84" s="12"/>
      <c r="S84" s="38" t="str">
        <f t="shared" si="10"/>
        <v>ISLA</v>
      </c>
      <c r="T84" s="37" t="str">
        <f t="shared" si="11"/>
        <v>NON</v>
      </c>
      <c r="U84" s="12" t="s">
        <v>2735</v>
      </c>
    </row>
    <row r="85" spans="1:21" x14ac:dyDescent="0.4">
      <c r="A85" s="37">
        <v>84</v>
      </c>
      <c r="B85" s="101" t="s">
        <v>3639</v>
      </c>
      <c r="C85" s="37" t="s">
        <v>2</v>
      </c>
      <c r="D85" s="37" t="s">
        <v>702</v>
      </c>
      <c r="E85" s="9" t="s">
        <v>3258</v>
      </c>
      <c r="F85" s="102">
        <v>46130.913194444445</v>
      </c>
      <c r="G85" s="102">
        <v>46131.010416666664</v>
      </c>
      <c r="H85" s="102">
        <v>46131.010416666664</v>
      </c>
      <c r="I85" s="153">
        <f t="shared" si="6"/>
        <v>9.7222222218988463E-2</v>
      </c>
      <c r="J85" s="103">
        <f t="shared" si="7"/>
        <v>139.99999999534339</v>
      </c>
      <c r="K85" s="153">
        <f t="shared" si="8"/>
        <v>9.7222222218988463E-2</v>
      </c>
      <c r="L85" s="103">
        <f t="shared" si="9"/>
        <v>139.99999999534339</v>
      </c>
      <c r="M85" s="139" t="s">
        <v>3200</v>
      </c>
      <c r="N85" s="100" t="s">
        <v>20</v>
      </c>
      <c r="O85" s="12" t="s">
        <v>20</v>
      </c>
      <c r="P85" s="83" t="s">
        <v>3754</v>
      </c>
      <c r="Q85" s="37" t="s">
        <v>678</v>
      </c>
      <c r="R85" s="12"/>
      <c r="S85" s="38" t="str">
        <f t="shared" si="10"/>
        <v>ISLA</v>
      </c>
      <c r="T85" s="37" t="str">
        <f t="shared" si="11"/>
        <v>NON</v>
      </c>
      <c r="U85" s="12" t="s">
        <v>2680</v>
      </c>
    </row>
    <row r="86" spans="1:21" ht="20.6" x14ac:dyDescent="0.4">
      <c r="A86" s="37">
        <v>85</v>
      </c>
      <c r="B86" s="101" t="s">
        <v>2706</v>
      </c>
      <c r="C86" s="37" t="s">
        <v>2</v>
      </c>
      <c r="D86" s="37" t="s">
        <v>702</v>
      </c>
      <c r="E86" s="9" t="s">
        <v>3002</v>
      </c>
      <c r="F86" s="102">
        <v>46131.041666666664</v>
      </c>
      <c r="G86" s="102">
        <v>46131.225694444445</v>
      </c>
      <c r="H86" s="102">
        <v>46131.225694444445</v>
      </c>
      <c r="I86" s="153">
        <f t="shared" si="6"/>
        <v>0.18402777778101154</v>
      </c>
      <c r="J86" s="103">
        <f t="shared" si="7"/>
        <v>265.00000000465661</v>
      </c>
      <c r="K86" s="153">
        <f t="shared" si="8"/>
        <v>0.18402777778101154</v>
      </c>
      <c r="L86" s="103">
        <f t="shared" si="9"/>
        <v>265.00000000465661</v>
      </c>
      <c r="M86" s="139" t="s">
        <v>2753</v>
      </c>
      <c r="N86" s="100" t="s">
        <v>20</v>
      </c>
      <c r="O86" s="12" t="s">
        <v>20</v>
      </c>
      <c r="P86" s="83" t="s">
        <v>2628</v>
      </c>
      <c r="Q86" s="37" t="s">
        <v>678</v>
      </c>
      <c r="R86" s="12" t="s">
        <v>3239</v>
      </c>
      <c r="S86" s="38" t="str">
        <f t="shared" si="10"/>
        <v>OSLA</v>
      </c>
      <c r="T86" s="37" t="str">
        <f t="shared" si="11"/>
        <v>NON</v>
      </c>
      <c r="U86" s="12" t="s">
        <v>2675</v>
      </c>
    </row>
    <row r="87" spans="1:21" ht="20.6" x14ac:dyDescent="0.4">
      <c r="A87" s="37">
        <v>86</v>
      </c>
      <c r="B87" s="101" t="s">
        <v>3640</v>
      </c>
      <c r="C87" s="37" t="s">
        <v>2</v>
      </c>
      <c r="D87" s="37" t="s">
        <v>702</v>
      </c>
      <c r="E87" s="9" t="s">
        <v>3050</v>
      </c>
      <c r="F87" s="102">
        <v>46131.489583333336</v>
      </c>
      <c r="G87" s="102">
        <v>46131.506944444445</v>
      </c>
      <c r="H87" s="102">
        <v>46131.506944444445</v>
      </c>
      <c r="I87" s="153">
        <f t="shared" si="6"/>
        <v>1.7361111109494232E-2</v>
      </c>
      <c r="J87" s="103">
        <f t="shared" si="7"/>
        <v>24.999999997671694</v>
      </c>
      <c r="K87" s="153">
        <f t="shared" si="8"/>
        <v>1.7361111109494232E-2</v>
      </c>
      <c r="L87" s="103">
        <f t="shared" si="9"/>
        <v>24.999999997671694</v>
      </c>
      <c r="M87" s="139" t="s">
        <v>2941</v>
      </c>
      <c r="N87" s="100" t="s">
        <v>20</v>
      </c>
      <c r="O87" s="12" t="s">
        <v>20</v>
      </c>
      <c r="P87" s="83" t="s">
        <v>2684</v>
      </c>
      <c r="Q87" s="37" t="s">
        <v>678</v>
      </c>
      <c r="R87" s="12"/>
      <c r="S87" s="38" t="str">
        <f t="shared" si="10"/>
        <v>ISLA</v>
      </c>
      <c r="T87" s="37" t="str">
        <f t="shared" si="11"/>
        <v>NON</v>
      </c>
      <c r="U87" s="12" t="s">
        <v>2680</v>
      </c>
    </row>
    <row r="88" spans="1:21" x14ac:dyDescent="0.4">
      <c r="A88" s="37">
        <v>87</v>
      </c>
      <c r="B88" s="101" t="s">
        <v>3641</v>
      </c>
      <c r="C88" s="37" t="s">
        <v>2</v>
      </c>
      <c r="D88" s="37" t="s">
        <v>702</v>
      </c>
      <c r="E88" s="9" t="s">
        <v>3287</v>
      </c>
      <c r="F88" s="102">
        <v>46131.784722222219</v>
      </c>
      <c r="G88" s="102">
        <v>46131.809027777781</v>
      </c>
      <c r="H88" s="102">
        <v>46131.809027777781</v>
      </c>
      <c r="I88" s="153">
        <f t="shared" si="6"/>
        <v>2.4305555562023073E-2</v>
      </c>
      <c r="J88" s="103">
        <f t="shared" si="7"/>
        <v>35.000000009313226</v>
      </c>
      <c r="K88" s="153">
        <f t="shared" si="8"/>
        <v>2.4305555562023073E-2</v>
      </c>
      <c r="L88" s="103">
        <f t="shared" si="9"/>
        <v>35.000000009313226</v>
      </c>
      <c r="M88" s="139" t="s">
        <v>3777</v>
      </c>
      <c r="N88" s="100" t="s">
        <v>20</v>
      </c>
      <c r="O88" s="12" t="s">
        <v>20</v>
      </c>
      <c r="P88" s="83" t="s">
        <v>3778</v>
      </c>
      <c r="Q88" s="37" t="s">
        <v>678</v>
      </c>
      <c r="R88" s="12"/>
      <c r="S88" s="38" t="str">
        <f t="shared" si="10"/>
        <v>ISLA</v>
      </c>
      <c r="T88" s="37" t="str">
        <f t="shared" si="11"/>
        <v>NON</v>
      </c>
      <c r="U88" s="12" t="s">
        <v>2735</v>
      </c>
    </row>
    <row r="89" spans="1:21" x14ac:dyDescent="0.4">
      <c r="A89" s="37">
        <v>88</v>
      </c>
      <c r="B89" s="101" t="s">
        <v>3642</v>
      </c>
      <c r="C89" s="37" t="s">
        <v>2</v>
      </c>
      <c r="D89" s="37" t="s">
        <v>702</v>
      </c>
      <c r="E89" s="9" t="s">
        <v>954</v>
      </c>
      <c r="F89" s="102">
        <v>46132.254166666666</v>
      </c>
      <c r="G89" s="102">
        <v>46132.305555555555</v>
      </c>
      <c r="H89" s="102">
        <v>46132.305555555555</v>
      </c>
      <c r="I89" s="153">
        <f t="shared" si="6"/>
        <v>5.1388888889050577E-2</v>
      </c>
      <c r="J89" s="103">
        <f t="shared" si="7"/>
        <v>74.000000000232831</v>
      </c>
      <c r="K89" s="153">
        <f t="shared" si="8"/>
        <v>5.1388888889050577E-2</v>
      </c>
      <c r="L89" s="103">
        <f t="shared" si="9"/>
        <v>74.000000000232831</v>
      </c>
      <c r="M89" s="139" t="s">
        <v>3779</v>
      </c>
      <c r="N89" s="100" t="s">
        <v>20</v>
      </c>
      <c r="O89" s="12" t="s">
        <v>20</v>
      </c>
      <c r="P89" s="83" t="s">
        <v>2997</v>
      </c>
      <c r="Q89" s="37" t="s">
        <v>678</v>
      </c>
      <c r="R89" s="12"/>
      <c r="S89" s="38" t="str">
        <f t="shared" si="10"/>
        <v>ISLA</v>
      </c>
      <c r="T89" s="37" t="str">
        <f t="shared" si="11"/>
        <v>NON</v>
      </c>
      <c r="U89" s="12" t="s">
        <v>2680</v>
      </c>
    </row>
    <row r="90" spans="1:21" x14ac:dyDescent="0.4">
      <c r="A90" s="37">
        <v>89</v>
      </c>
      <c r="B90" s="101" t="s">
        <v>3643</v>
      </c>
      <c r="C90" s="37" t="s">
        <v>2</v>
      </c>
      <c r="D90" s="37" t="s">
        <v>702</v>
      </c>
      <c r="E90" s="9" t="s">
        <v>2808</v>
      </c>
      <c r="F90" s="102">
        <v>46132.354166666664</v>
      </c>
      <c r="G90" s="102">
        <v>46132.413194444445</v>
      </c>
      <c r="H90" s="102">
        <v>46132.413194444445</v>
      </c>
      <c r="I90" s="153">
        <f t="shared" si="6"/>
        <v>5.9027777781011537E-2</v>
      </c>
      <c r="J90" s="103">
        <f t="shared" si="7"/>
        <v>85.000000004656613</v>
      </c>
      <c r="K90" s="153">
        <f t="shared" si="8"/>
        <v>5.9027777781011537E-2</v>
      </c>
      <c r="L90" s="103">
        <f t="shared" si="9"/>
        <v>85.000000004656613</v>
      </c>
      <c r="M90" s="139" t="s">
        <v>3780</v>
      </c>
      <c r="N90" s="9" t="s">
        <v>20</v>
      </c>
      <c r="O90" s="12" t="s">
        <v>20</v>
      </c>
      <c r="P90" s="83" t="s">
        <v>707</v>
      </c>
      <c r="Q90" s="37" t="s">
        <v>678</v>
      </c>
      <c r="R90" s="12"/>
      <c r="S90" s="38" t="str">
        <f t="shared" si="10"/>
        <v>ISLA</v>
      </c>
      <c r="T90" s="37" t="str">
        <f t="shared" si="11"/>
        <v>NON</v>
      </c>
      <c r="U90" s="12" t="s">
        <v>2675</v>
      </c>
    </row>
    <row r="91" spans="1:21" x14ac:dyDescent="0.4">
      <c r="A91" s="37">
        <v>90</v>
      </c>
      <c r="B91" s="101" t="s">
        <v>3644</v>
      </c>
      <c r="C91" s="37" t="s">
        <v>2</v>
      </c>
      <c r="D91" s="37" t="s">
        <v>702</v>
      </c>
      <c r="E91" s="9" t="s">
        <v>3645</v>
      </c>
      <c r="F91" s="102">
        <v>46132.48333333333</v>
      </c>
      <c r="G91" s="102">
        <v>46132.566666666666</v>
      </c>
      <c r="H91" s="102">
        <v>46132.566666666666</v>
      </c>
      <c r="I91" s="153">
        <f t="shared" si="6"/>
        <v>8.3333333335758653E-2</v>
      </c>
      <c r="J91" s="103">
        <f t="shared" si="7"/>
        <v>120.00000000349246</v>
      </c>
      <c r="K91" s="153">
        <f t="shared" si="8"/>
        <v>8.3333333335758653E-2</v>
      </c>
      <c r="L91" s="103">
        <f t="shared" si="9"/>
        <v>120.00000000349246</v>
      </c>
      <c r="M91" s="139" t="s">
        <v>3781</v>
      </c>
      <c r="N91" s="100" t="s">
        <v>2766</v>
      </c>
      <c r="O91" s="12" t="s">
        <v>2775</v>
      </c>
      <c r="P91" s="83" t="s">
        <v>2628</v>
      </c>
      <c r="Q91" s="37" t="s">
        <v>678</v>
      </c>
      <c r="R91" s="12"/>
      <c r="S91" s="38" t="str">
        <f t="shared" si="10"/>
        <v>ISLA</v>
      </c>
      <c r="T91" s="37" t="str">
        <f t="shared" si="11"/>
        <v>NON</v>
      </c>
      <c r="U91" s="12" t="s">
        <v>2675</v>
      </c>
    </row>
    <row r="92" spans="1:21" x14ac:dyDescent="0.4">
      <c r="A92" s="37">
        <v>91</v>
      </c>
      <c r="B92" s="101" t="s">
        <v>3646</v>
      </c>
      <c r="C92" s="37" t="s">
        <v>2</v>
      </c>
      <c r="D92" s="37" t="s">
        <v>702</v>
      </c>
      <c r="E92" s="9" t="s">
        <v>3647</v>
      </c>
      <c r="F92" s="102">
        <v>46132.489583333336</v>
      </c>
      <c r="G92" s="102">
        <v>46132.809027777781</v>
      </c>
      <c r="H92" s="102">
        <v>46132.80972222222</v>
      </c>
      <c r="I92" s="153">
        <f t="shared" si="6"/>
        <v>0.31944444444525288</v>
      </c>
      <c r="J92" s="103">
        <f t="shared" si="7"/>
        <v>460.00000000116415</v>
      </c>
      <c r="K92" s="153">
        <f t="shared" si="8"/>
        <v>0.320138888884685</v>
      </c>
      <c r="L92" s="103">
        <f t="shared" si="9"/>
        <v>460.9999999939464</v>
      </c>
      <c r="M92" s="139" t="s">
        <v>3782</v>
      </c>
      <c r="N92" s="100" t="s">
        <v>20</v>
      </c>
      <c r="O92" s="12" t="s">
        <v>20</v>
      </c>
      <c r="P92" s="83" t="s">
        <v>2628</v>
      </c>
      <c r="Q92" s="37" t="s">
        <v>678</v>
      </c>
      <c r="R92" s="12"/>
      <c r="S92" s="38" t="str">
        <f t="shared" si="10"/>
        <v>OSLA</v>
      </c>
      <c r="T92" s="37" t="str">
        <f t="shared" si="11"/>
        <v>NON</v>
      </c>
      <c r="U92" s="12" t="s">
        <v>2675</v>
      </c>
    </row>
    <row r="93" spans="1:21" x14ac:dyDescent="0.4">
      <c r="A93" s="37">
        <v>92</v>
      </c>
      <c r="B93" s="101" t="s">
        <v>3648</v>
      </c>
      <c r="C93" s="37" t="s">
        <v>2</v>
      </c>
      <c r="D93" s="37" t="s">
        <v>702</v>
      </c>
      <c r="E93" s="9" t="s">
        <v>3645</v>
      </c>
      <c r="F93" s="102">
        <v>46132.588194444441</v>
      </c>
      <c r="G93" s="102">
        <v>46132.670138888891</v>
      </c>
      <c r="H93" s="102">
        <v>46132.670138888891</v>
      </c>
      <c r="I93" s="153">
        <f t="shared" si="6"/>
        <v>8.1944444449618459E-2</v>
      </c>
      <c r="J93" s="103">
        <f t="shared" si="7"/>
        <v>118.00000000745058</v>
      </c>
      <c r="K93" s="153">
        <f t="shared" si="8"/>
        <v>8.1944444449618459E-2</v>
      </c>
      <c r="L93" s="103">
        <f t="shared" si="9"/>
        <v>118.00000000745058</v>
      </c>
      <c r="M93" s="139" t="s">
        <v>3781</v>
      </c>
      <c r="N93" s="100" t="s">
        <v>3783</v>
      </c>
      <c r="O93" s="12" t="s">
        <v>3784</v>
      </c>
      <c r="P93" s="83" t="s">
        <v>2628</v>
      </c>
      <c r="Q93" s="37" t="s">
        <v>678</v>
      </c>
      <c r="R93" s="12"/>
      <c r="S93" s="38" t="str">
        <f t="shared" si="10"/>
        <v>ISLA</v>
      </c>
      <c r="T93" s="37" t="str">
        <f t="shared" si="11"/>
        <v>NON</v>
      </c>
      <c r="U93" s="12" t="s">
        <v>2675</v>
      </c>
    </row>
    <row r="94" spans="1:21" x14ac:dyDescent="0.4">
      <c r="A94" s="37">
        <v>93</v>
      </c>
      <c r="B94" s="101" t="s">
        <v>3649</v>
      </c>
      <c r="C94" s="37" t="s">
        <v>2</v>
      </c>
      <c r="D94" s="37" t="s">
        <v>702</v>
      </c>
      <c r="E94" s="9" t="s">
        <v>3287</v>
      </c>
      <c r="F94" s="102">
        <v>46132.913194444445</v>
      </c>
      <c r="G94" s="102">
        <v>46133.027777777781</v>
      </c>
      <c r="H94" s="102">
        <v>46133.027777777781</v>
      </c>
      <c r="I94" s="153">
        <f t="shared" si="6"/>
        <v>0.11458333333575865</v>
      </c>
      <c r="J94" s="103">
        <f t="shared" si="7"/>
        <v>165.00000000349246</v>
      </c>
      <c r="K94" s="153">
        <f t="shared" si="8"/>
        <v>0.11458333333575865</v>
      </c>
      <c r="L94" s="103">
        <f t="shared" si="9"/>
        <v>165.00000000349246</v>
      </c>
      <c r="M94" s="139" t="s">
        <v>3777</v>
      </c>
      <c r="N94" s="100" t="s">
        <v>20</v>
      </c>
      <c r="O94" s="12" t="s">
        <v>20</v>
      </c>
      <c r="P94" s="83" t="s">
        <v>701</v>
      </c>
      <c r="Q94" s="37" t="s">
        <v>678</v>
      </c>
      <c r="R94" s="12"/>
      <c r="S94" s="38" t="str">
        <f t="shared" si="10"/>
        <v>ISLA</v>
      </c>
      <c r="T94" s="37" t="str">
        <f t="shared" si="11"/>
        <v>NON</v>
      </c>
      <c r="U94" s="12" t="s">
        <v>2735</v>
      </c>
    </row>
    <row r="95" spans="1:21" x14ac:dyDescent="0.4">
      <c r="A95" s="37">
        <v>94</v>
      </c>
      <c r="B95" s="101" t="s">
        <v>3650</v>
      </c>
      <c r="C95" s="37" t="s">
        <v>2</v>
      </c>
      <c r="D95" s="37" t="s">
        <v>702</v>
      </c>
      <c r="E95" s="9" t="s">
        <v>2827</v>
      </c>
      <c r="F95" s="102">
        <v>46133.0625</v>
      </c>
      <c r="G95" s="102">
        <v>46133.402083333334</v>
      </c>
      <c r="H95" s="102">
        <v>46133.402083333334</v>
      </c>
      <c r="I95" s="153">
        <f t="shared" si="6"/>
        <v>0.33958333333430346</v>
      </c>
      <c r="J95" s="103">
        <f t="shared" si="7"/>
        <v>489.00000000139698</v>
      </c>
      <c r="K95" s="153">
        <f t="shared" si="8"/>
        <v>0.33958333333430346</v>
      </c>
      <c r="L95" s="103">
        <f t="shared" si="9"/>
        <v>489.00000000139698</v>
      </c>
      <c r="M95" s="139" t="s">
        <v>2828</v>
      </c>
      <c r="N95" s="9" t="s">
        <v>20</v>
      </c>
      <c r="O95" s="12" t="s">
        <v>20</v>
      </c>
      <c r="P95" s="37" t="s">
        <v>2829</v>
      </c>
      <c r="Q95" s="37" t="s">
        <v>678</v>
      </c>
      <c r="R95" s="12"/>
      <c r="S95" s="38" t="str">
        <f t="shared" si="10"/>
        <v>OSLA</v>
      </c>
      <c r="T95" s="37" t="str">
        <f t="shared" si="11"/>
        <v>OUI</v>
      </c>
      <c r="U95" s="12" t="s">
        <v>2680</v>
      </c>
    </row>
    <row r="96" spans="1:21" ht="20.6" x14ac:dyDescent="0.4">
      <c r="A96" s="37">
        <v>95</v>
      </c>
      <c r="B96" s="101" t="s">
        <v>3651</v>
      </c>
      <c r="C96" s="37" t="s">
        <v>2</v>
      </c>
      <c r="D96" s="37" t="s">
        <v>702</v>
      </c>
      <c r="E96" s="9" t="s">
        <v>3287</v>
      </c>
      <c r="F96" s="102">
        <v>46133.284722222219</v>
      </c>
      <c r="G96" s="102">
        <v>46135.416666666664</v>
      </c>
      <c r="H96" s="102">
        <v>46135.417361111111</v>
      </c>
      <c r="I96" s="153">
        <f t="shared" si="6"/>
        <v>2.1319444444452529</v>
      </c>
      <c r="J96" s="103">
        <f t="shared" si="7"/>
        <v>3070.0000000011642</v>
      </c>
      <c r="K96" s="153">
        <f t="shared" si="8"/>
        <v>2.132638888891961</v>
      </c>
      <c r="L96" s="103">
        <f t="shared" si="9"/>
        <v>3071.0000000044238</v>
      </c>
      <c r="M96" s="139" t="s">
        <v>3199</v>
      </c>
      <c r="N96" s="100" t="s">
        <v>3785</v>
      </c>
      <c r="O96" s="9" t="s">
        <v>3786</v>
      </c>
      <c r="P96" s="83" t="s">
        <v>701</v>
      </c>
      <c r="Q96" s="37" t="s">
        <v>678</v>
      </c>
      <c r="R96" s="12"/>
      <c r="S96" s="38" t="str">
        <f t="shared" si="10"/>
        <v>OSLA</v>
      </c>
      <c r="T96" s="37" t="str">
        <f t="shared" si="11"/>
        <v>NON</v>
      </c>
      <c r="U96" s="12" t="s">
        <v>2735</v>
      </c>
    </row>
    <row r="97" spans="1:21" x14ac:dyDescent="0.4">
      <c r="A97" s="37">
        <v>96</v>
      </c>
      <c r="B97" s="101" t="s">
        <v>3652</v>
      </c>
      <c r="C97" s="37" t="s">
        <v>2</v>
      </c>
      <c r="D97" s="37" t="s">
        <v>702</v>
      </c>
      <c r="E97" s="9" t="s">
        <v>2934</v>
      </c>
      <c r="F97" s="102">
        <v>46133.571527777778</v>
      </c>
      <c r="G97" s="102">
        <v>46133.666666666664</v>
      </c>
      <c r="H97" s="102">
        <v>46133.667361111111</v>
      </c>
      <c r="I97" s="153">
        <f t="shared" si="6"/>
        <v>9.5138888886140194E-2</v>
      </c>
      <c r="J97" s="103">
        <f t="shared" si="7"/>
        <v>136.99999999604188</v>
      </c>
      <c r="K97" s="153">
        <f t="shared" si="8"/>
        <v>9.5833333332848269E-2</v>
      </c>
      <c r="L97" s="103">
        <f t="shared" si="9"/>
        <v>137.99999999930151</v>
      </c>
      <c r="M97" s="139" t="s">
        <v>2935</v>
      </c>
      <c r="N97" s="9" t="s">
        <v>3787</v>
      </c>
      <c r="O97" s="12" t="s">
        <v>20</v>
      </c>
      <c r="P97" s="83" t="s">
        <v>2936</v>
      </c>
      <c r="Q97" s="37" t="s">
        <v>678</v>
      </c>
      <c r="R97" s="12"/>
      <c r="S97" s="38" t="str">
        <f t="shared" si="10"/>
        <v>ISLA</v>
      </c>
      <c r="T97" s="37" t="str">
        <f t="shared" si="11"/>
        <v>NON</v>
      </c>
      <c r="U97" s="12" t="s">
        <v>2680</v>
      </c>
    </row>
    <row r="98" spans="1:21" s="73" customFormat="1" x14ac:dyDescent="0.4">
      <c r="A98" s="37">
        <v>97</v>
      </c>
      <c r="B98" s="101" t="s">
        <v>3653</v>
      </c>
      <c r="C98" s="37" t="s">
        <v>2</v>
      </c>
      <c r="D98" s="37" t="s">
        <v>702</v>
      </c>
      <c r="E98" s="9" t="s">
        <v>3654</v>
      </c>
      <c r="F98" s="102">
        <v>46133.909722222219</v>
      </c>
      <c r="G98" s="102">
        <v>46134.013888888891</v>
      </c>
      <c r="H98" s="102">
        <v>46134.01458333333</v>
      </c>
      <c r="I98" s="153">
        <f t="shared" si="6"/>
        <v>0.10416666667151731</v>
      </c>
      <c r="J98" s="103">
        <f t="shared" si="7"/>
        <v>150.00000000698492</v>
      </c>
      <c r="K98" s="153">
        <f t="shared" si="8"/>
        <v>0.10486111111094942</v>
      </c>
      <c r="L98" s="103">
        <f t="shared" si="9"/>
        <v>150.99999999976717</v>
      </c>
      <c r="M98" s="139" t="s">
        <v>3788</v>
      </c>
      <c r="N98" s="9" t="s">
        <v>20</v>
      </c>
      <c r="O98" s="12" t="s">
        <v>20</v>
      </c>
      <c r="P98" s="83" t="s">
        <v>701</v>
      </c>
      <c r="Q98" s="37" t="s">
        <v>678</v>
      </c>
      <c r="R98" s="12"/>
      <c r="S98" s="38" t="str">
        <f t="shared" si="10"/>
        <v>ISLA</v>
      </c>
      <c r="T98" s="37" t="str">
        <f t="shared" si="11"/>
        <v>NON</v>
      </c>
      <c r="U98" s="12" t="s">
        <v>2735</v>
      </c>
    </row>
    <row r="99" spans="1:21" s="73" customFormat="1" x14ac:dyDescent="0.4">
      <c r="A99" s="37">
        <v>98</v>
      </c>
      <c r="B99" s="101" t="s">
        <v>3655</v>
      </c>
      <c r="C99" s="37" t="s">
        <v>2</v>
      </c>
      <c r="D99" s="37" t="s">
        <v>702</v>
      </c>
      <c r="E99" s="9" t="s">
        <v>3069</v>
      </c>
      <c r="F99" s="102">
        <v>46134.246527777781</v>
      </c>
      <c r="G99" s="102">
        <v>46134.347222222219</v>
      </c>
      <c r="H99" s="102">
        <v>46134.347916666666</v>
      </c>
      <c r="I99" s="153">
        <f t="shared" si="6"/>
        <v>0.10069444443797693</v>
      </c>
      <c r="J99" s="103">
        <f t="shared" si="7"/>
        <v>144.99999999068677</v>
      </c>
      <c r="K99" s="153">
        <f t="shared" si="8"/>
        <v>0.101388888884685</v>
      </c>
      <c r="L99" s="103">
        <f t="shared" si="9"/>
        <v>145.9999999939464</v>
      </c>
      <c r="M99" s="139" t="s">
        <v>2919</v>
      </c>
      <c r="N99" s="9" t="s">
        <v>3789</v>
      </c>
      <c r="O99" s="12" t="s">
        <v>3790</v>
      </c>
      <c r="P99" s="83" t="s">
        <v>3704</v>
      </c>
      <c r="Q99" s="37" t="s">
        <v>678</v>
      </c>
      <c r="R99" s="12"/>
      <c r="S99" s="38" t="str">
        <f t="shared" si="10"/>
        <v>ISLA</v>
      </c>
      <c r="T99" s="37" t="str">
        <f t="shared" si="11"/>
        <v>NON</v>
      </c>
      <c r="U99" s="12" t="s">
        <v>2680</v>
      </c>
    </row>
    <row r="100" spans="1:21" s="73" customFormat="1" x14ac:dyDescent="0.4">
      <c r="A100" s="37">
        <v>99</v>
      </c>
      <c r="B100" s="101" t="s">
        <v>3656</v>
      </c>
      <c r="C100" s="37" t="s">
        <v>2</v>
      </c>
      <c r="D100" s="37" t="s">
        <v>702</v>
      </c>
      <c r="E100" s="9" t="s">
        <v>3258</v>
      </c>
      <c r="F100" s="102">
        <v>46134.53125</v>
      </c>
      <c r="G100" s="102">
        <v>46134.625</v>
      </c>
      <c r="H100" s="102">
        <v>46134.625694444447</v>
      </c>
      <c r="I100" s="153">
        <f t="shared" si="6"/>
        <v>9.375E-2</v>
      </c>
      <c r="J100" s="103">
        <f t="shared" si="7"/>
        <v>135</v>
      </c>
      <c r="K100" s="153">
        <f t="shared" si="8"/>
        <v>9.4444444446708076E-2</v>
      </c>
      <c r="L100" s="103">
        <f t="shared" si="9"/>
        <v>136.00000000325963</v>
      </c>
      <c r="M100" s="139" t="s">
        <v>3496</v>
      </c>
      <c r="N100" s="9" t="s">
        <v>20</v>
      </c>
      <c r="O100" s="12" t="s">
        <v>20</v>
      </c>
      <c r="P100" s="83" t="s">
        <v>3754</v>
      </c>
      <c r="Q100" s="37" t="s">
        <v>678</v>
      </c>
      <c r="R100" s="12"/>
      <c r="S100" s="38" t="str">
        <f t="shared" si="10"/>
        <v>ISLA</v>
      </c>
      <c r="T100" s="37" t="str">
        <f t="shared" si="11"/>
        <v>NON</v>
      </c>
      <c r="U100" s="12" t="s">
        <v>2680</v>
      </c>
    </row>
    <row r="101" spans="1:21" s="73" customFormat="1" x14ac:dyDescent="0.4">
      <c r="A101" s="37">
        <v>100</v>
      </c>
      <c r="B101" s="101" t="s">
        <v>3657</v>
      </c>
      <c r="C101" s="37" t="s">
        <v>2</v>
      </c>
      <c r="D101" s="37" t="s">
        <v>702</v>
      </c>
      <c r="E101" s="9" t="s">
        <v>954</v>
      </c>
      <c r="F101" s="102">
        <v>46135.009722222225</v>
      </c>
      <c r="G101" s="102">
        <v>46135.033333333333</v>
      </c>
      <c r="H101" s="102">
        <v>46135.03402777778</v>
      </c>
      <c r="I101" s="153">
        <f t="shared" si="6"/>
        <v>2.361111110803904E-2</v>
      </c>
      <c r="J101" s="103">
        <f t="shared" si="7"/>
        <v>33.999999995576218</v>
      </c>
      <c r="K101" s="153">
        <f t="shared" si="8"/>
        <v>2.4305555554747116E-2</v>
      </c>
      <c r="L101" s="103">
        <f t="shared" si="9"/>
        <v>34.999999998835847</v>
      </c>
      <c r="M101" s="139" t="s">
        <v>3779</v>
      </c>
      <c r="N101" s="9" t="s">
        <v>20</v>
      </c>
      <c r="O101" s="12" t="s">
        <v>20</v>
      </c>
      <c r="P101" s="83" t="s">
        <v>2997</v>
      </c>
      <c r="Q101" s="37" t="s">
        <v>678</v>
      </c>
      <c r="R101" s="12"/>
      <c r="S101" s="38" t="str">
        <f t="shared" si="10"/>
        <v>ISLA</v>
      </c>
      <c r="T101" s="37" t="str">
        <f t="shared" si="11"/>
        <v>NON</v>
      </c>
      <c r="U101" s="12" t="s">
        <v>2680</v>
      </c>
    </row>
    <row r="102" spans="1:21" x14ac:dyDescent="0.4">
      <c r="A102" s="37">
        <v>101</v>
      </c>
      <c r="B102" s="101" t="s">
        <v>3658</v>
      </c>
      <c r="C102" s="37" t="s">
        <v>2</v>
      </c>
      <c r="D102" s="37" t="s">
        <v>702</v>
      </c>
      <c r="E102" s="9" t="s">
        <v>3548</v>
      </c>
      <c r="F102" s="102">
        <v>46135.366666666669</v>
      </c>
      <c r="G102" s="102">
        <v>46135.493055555555</v>
      </c>
      <c r="H102" s="102">
        <v>46135.493750000001</v>
      </c>
      <c r="I102" s="153">
        <f t="shared" si="6"/>
        <v>0.12638888888614019</v>
      </c>
      <c r="J102" s="103">
        <f t="shared" si="7"/>
        <v>181.99999999604188</v>
      </c>
      <c r="K102" s="153">
        <f t="shared" si="8"/>
        <v>0.12708333333284827</v>
      </c>
      <c r="L102" s="103">
        <f t="shared" si="9"/>
        <v>182.99999999930151</v>
      </c>
      <c r="M102" s="139" t="s">
        <v>2878</v>
      </c>
      <c r="N102" s="9" t="s">
        <v>20</v>
      </c>
      <c r="O102" s="12" t="s">
        <v>20</v>
      </c>
      <c r="P102" s="83" t="s">
        <v>2798</v>
      </c>
      <c r="Q102" s="37" t="s">
        <v>678</v>
      </c>
      <c r="R102" s="12"/>
      <c r="S102" s="38" t="str">
        <f t="shared" si="10"/>
        <v>ISLA</v>
      </c>
      <c r="T102" s="37" t="str">
        <f t="shared" si="11"/>
        <v>NON</v>
      </c>
      <c r="U102" s="12" t="s">
        <v>2680</v>
      </c>
    </row>
    <row r="103" spans="1:21" x14ac:dyDescent="0.4">
      <c r="A103" s="37">
        <v>102</v>
      </c>
      <c r="B103" s="101" t="s">
        <v>3659</v>
      </c>
      <c r="C103" s="37" t="s">
        <v>2</v>
      </c>
      <c r="D103" s="37" t="s">
        <v>702</v>
      </c>
      <c r="E103" s="9" t="s">
        <v>937</v>
      </c>
      <c r="F103" s="102">
        <v>46135.579861111109</v>
      </c>
      <c r="G103" s="102">
        <v>46135.771527777775</v>
      </c>
      <c r="H103" s="102">
        <v>46135.772222222222</v>
      </c>
      <c r="I103" s="153">
        <f t="shared" si="6"/>
        <v>0.19166666666569654</v>
      </c>
      <c r="J103" s="103">
        <f t="shared" si="7"/>
        <v>275.99999999860302</v>
      </c>
      <c r="K103" s="153">
        <f t="shared" si="8"/>
        <v>0.19236111111240461</v>
      </c>
      <c r="L103" s="103">
        <f t="shared" si="9"/>
        <v>277.00000000186265</v>
      </c>
      <c r="M103" s="139" t="s">
        <v>3791</v>
      </c>
      <c r="N103" s="9" t="s">
        <v>20</v>
      </c>
      <c r="O103" s="12" t="s">
        <v>20</v>
      </c>
      <c r="P103" s="83" t="s">
        <v>3424</v>
      </c>
      <c r="Q103" s="37" t="s">
        <v>678</v>
      </c>
      <c r="R103" s="12"/>
      <c r="S103" s="38" t="str">
        <f t="shared" si="10"/>
        <v>OSLA</v>
      </c>
      <c r="T103" s="37" t="str">
        <f t="shared" si="11"/>
        <v>OUI</v>
      </c>
      <c r="U103" s="12" t="s">
        <v>2680</v>
      </c>
    </row>
    <row r="104" spans="1:21" x14ac:dyDescent="0.4">
      <c r="A104" s="37">
        <v>103</v>
      </c>
      <c r="B104" s="101" t="s">
        <v>3660</v>
      </c>
      <c r="C104" s="37" t="s">
        <v>2</v>
      </c>
      <c r="D104" s="37" t="s">
        <v>702</v>
      </c>
      <c r="E104" s="9" t="s">
        <v>3287</v>
      </c>
      <c r="F104" s="102">
        <v>46135.663194444445</v>
      </c>
      <c r="G104" s="102">
        <v>46136.947916666664</v>
      </c>
      <c r="H104" s="102">
        <v>46136.947916666664</v>
      </c>
      <c r="I104" s="153">
        <f t="shared" si="6"/>
        <v>1.2847222222189885</v>
      </c>
      <c r="J104" s="103">
        <f t="shared" si="7"/>
        <v>1849.9999999953434</v>
      </c>
      <c r="K104" s="153">
        <f t="shared" si="8"/>
        <v>1.2847222222189885</v>
      </c>
      <c r="L104" s="103">
        <f t="shared" si="9"/>
        <v>1849.9999999953434</v>
      </c>
      <c r="M104" s="139" t="s">
        <v>3792</v>
      </c>
      <c r="N104" s="9" t="s">
        <v>20</v>
      </c>
      <c r="O104" s="12" t="s">
        <v>20</v>
      </c>
      <c r="P104" s="83" t="s">
        <v>2628</v>
      </c>
      <c r="Q104" s="37" t="s">
        <v>678</v>
      </c>
      <c r="R104" s="12"/>
      <c r="S104" s="38" t="str">
        <f t="shared" si="10"/>
        <v>OSLA</v>
      </c>
      <c r="T104" s="37" t="str">
        <f t="shared" si="11"/>
        <v>NON</v>
      </c>
      <c r="U104" s="12" t="s">
        <v>2675</v>
      </c>
    </row>
    <row r="105" spans="1:21" x14ac:dyDescent="0.4">
      <c r="A105" s="37">
        <v>104</v>
      </c>
      <c r="B105" s="101" t="s">
        <v>3661</v>
      </c>
      <c r="C105" s="37" t="s">
        <v>2</v>
      </c>
      <c r="D105" s="37" t="s">
        <v>702</v>
      </c>
      <c r="E105" s="9" t="s">
        <v>3069</v>
      </c>
      <c r="F105" s="102">
        <v>46135.890277777777</v>
      </c>
      <c r="G105" s="102">
        <v>46136.333333333336</v>
      </c>
      <c r="H105" s="102">
        <v>46136.333333333336</v>
      </c>
      <c r="I105" s="153">
        <f t="shared" si="6"/>
        <v>0.44305555555911269</v>
      </c>
      <c r="J105" s="103">
        <f t="shared" si="7"/>
        <v>638.00000000512227</v>
      </c>
      <c r="K105" s="153">
        <f t="shared" si="8"/>
        <v>0.44305555555911269</v>
      </c>
      <c r="L105" s="103">
        <f t="shared" si="9"/>
        <v>638.00000000512227</v>
      </c>
      <c r="M105" s="139" t="s">
        <v>3187</v>
      </c>
      <c r="N105" s="9" t="s">
        <v>3789</v>
      </c>
      <c r="O105" s="12" t="s">
        <v>3790</v>
      </c>
      <c r="P105" s="83" t="s">
        <v>3704</v>
      </c>
      <c r="Q105" s="37" t="s">
        <v>678</v>
      </c>
      <c r="R105" s="12"/>
      <c r="S105" s="38" t="str">
        <f t="shared" si="10"/>
        <v>OSLA</v>
      </c>
      <c r="T105" s="37" t="str">
        <f t="shared" si="11"/>
        <v>OUI</v>
      </c>
      <c r="U105" s="12" t="s">
        <v>2680</v>
      </c>
    </row>
    <row r="106" spans="1:21" x14ac:dyDescent="0.4">
      <c r="A106" s="37">
        <v>105</v>
      </c>
      <c r="B106" s="101" t="s">
        <v>3662</v>
      </c>
      <c r="C106" s="37" t="s">
        <v>2</v>
      </c>
      <c r="D106" s="37" t="s">
        <v>702</v>
      </c>
      <c r="E106" s="9" t="s">
        <v>954</v>
      </c>
      <c r="F106" s="102">
        <v>46136.024305555555</v>
      </c>
      <c r="G106" s="102">
        <v>46136.24722222222</v>
      </c>
      <c r="H106" s="102">
        <v>46136.24722222222</v>
      </c>
      <c r="I106" s="153">
        <f t="shared" si="6"/>
        <v>0.22291666666569654</v>
      </c>
      <c r="J106" s="103">
        <f t="shared" si="7"/>
        <v>320.99999999860302</v>
      </c>
      <c r="K106" s="153">
        <f t="shared" si="8"/>
        <v>0.22291666666569654</v>
      </c>
      <c r="L106" s="103">
        <f t="shared" si="9"/>
        <v>320.99999999860302</v>
      </c>
      <c r="M106" s="139" t="s">
        <v>2996</v>
      </c>
      <c r="N106" s="9" t="s">
        <v>20</v>
      </c>
      <c r="O106" s="12" t="s">
        <v>20</v>
      </c>
      <c r="P106" s="83" t="s">
        <v>2997</v>
      </c>
      <c r="Q106" s="37" t="s">
        <v>678</v>
      </c>
      <c r="R106" s="12"/>
      <c r="S106" s="38" t="str">
        <f t="shared" si="10"/>
        <v>OSLA</v>
      </c>
      <c r="T106" s="37" t="str">
        <f t="shared" si="11"/>
        <v>OUI</v>
      </c>
      <c r="U106" s="12" t="s">
        <v>2680</v>
      </c>
    </row>
    <row r="107" spans="1:21" x14ac:dyDescent="0.4">
      <c r="A107" s="37">
        <v>106</v>
      </c>
      <c r="B107" s="101" t="s">
        <v>3663</v>
      </c>
      <c r="C107" s="37" t="s">
        <v>2</v>
      </c>
      <c r="D107" s="37" t="s">
        <v>702</v>
      </c>
      <c r="E107" s="9" t="s">
        <v>2868</v>
      </c>
      <c r="F107" s="102">
        <v>46136.395833333336</v>
      </c>
      <c r="G107" s="102">
        <v>46136.430555555555</v>
      </c>
      <c r="H107" s="102">
        <v>46136.430555555555</v>
      </c>
      <c r="I107" s="153">
        <f t="shared" si="6"/>
        <v>3.4722222218988463E-2</v>
      </c>
      <c r="J107" s="103">
        <f t="shared" si="7"/>
        <v>49.999999995343387</v>
      </c>
      <c r="K107" s="153">
        <f t="shared" si="8"/>
        <v>3.4722222218988463E-2</v>
      </c>
      <c r="L107" s="103">
        <f t="shared" si="9"/>
        <v>49.999999995343387</v>
      </c>
      <c r="M107" s="139" t="s">
        <v>2869</v>
      </c>
      <c r="N107" s="9" t="s">
        <v>3793</v>
      </c>
      <c r="O107" s="12" t="s">
        <v>20</v>
      </c>
      <c r="P107" s="83" t="s">
        <v>2871</v>
      </c>
      <c r="Q107" s="37" t="s">
        <v>678</v>
      </c>
      <c r="R107" s="12"/>
      <c r="S107" s="38" t="str">
        <f t="shared" si="10"/>
        <v>ISLA</v>
      </c>
      <c r="T107" s="37" t="str">
        <f t="shared" si="11"/>
        <v>NON</v>
      </c>
      <c r="U107" s="12" t="s">
        <v>2680</v>
      </c>
    </row>
    <row r="108" spans="1:21" ht="20.6" x14ac:dyDescent="0.4">
      <c r="A108" s="37">
        <v>107</v>
      </c>
      <c r="B108" s="101" t="s">
        <v>3664</v>
      </c>
      <c r="C108" s="37" t="s">
        <v>2</v>
      </c>
      <c r="D108" s="37" t="s">
        <v>702</v>
      </c>
      <c r="E108" s="9" t="s">
        <v>3824</v>
      </c>
      <c r="F108" s="102">
        <v>46136.517361111109</v>
      </c>
      <c r="G108" s="102">
        <v>46136.711805555555</v>
      </c>
      <c r="H108" s="102">
        <v>46136.711805555555</v>
      </c>
      <c r="I108" s="153">
        <f t="shared" si="6"/>
        <v>0.19444444444525288</v>
      </c>
      <c r="J108" s="103">
        <f t="shared" si="7"/>
        <v>280.00000000116415</v>
      </c>
      <c r="K108" s="153">
        <f t="shared" si="8"/>
        <v>0.19444444444525288</v>
      </c>
      <c r="L108" s="103">
        <f t="shared" si="9"/>
        <v>280.00000000116415</v>
      </c>
      <c r="M108" s="139" t="s">
        <v>3794</v>
      </c>
      <c r="N108" s="9" t="s">
        <v>2954</v>
      </c>
      <c r="O108" s="12" t="s">
        <v>3795</v>
      </c>
      <c r="P108" s="83" t="s">
        <v>2628</v>
      </c>
      <c r="Q108" s="37" t="s">
        <v>678</v>
      </c>
      <c r="R108" s="12"/>
      <c r="S108" s="38" t="str">
        <f t="shared" si="10"/>
        <v>OSLA</v>
      </c>
      <c r="T108" s="37" t="str">
        <f t="shared" si="11"/>
        <v>NON</v>
      </c>
      <c r="U108" s="12" t="s">
        <v>2675</v>
      </c>
    </row>
    <row r="109" spans="1:21" x14ac:dyDescent="0.4">
      <c r="A109" s="37">
        <v>108</v>
      </c>
      <c r="B109" s="101" t="s">
        <v>3665</v>
      </c>
      <c r="C109" s="37" t="s">
        <v>2</v>
      </c>
      <c r="D109" s="37" t="s">
        <v>702</v>
      </c>
      <c r="E109" s="9" t="s">
        <v>3825</v>
      </c>
      <c r="F109" s="102">
        <v>46136.527777777781</v>
      </c>
      <c r="G109" s="102">
        <v>46139.722222222219</v>
      </c>
      <c r="H109" s="102">
        <v>46139.722222222219</v>
      </c>
      <c r="I109" s="153">
        <f t="shared" si="6"/>
        <v>3.1944444444379769</v>
      </c>
      <c r="J109" s="103">
        <f t="shared" si="7"/>
        <v>4599.9999999906868</v>
      </c>
      <c r="K109" s="153">
        <f t="shared" si="8"/>
        <v>3.1944444444379769</v>
      </c>
      <c r="L109" s="103">
        <f t="shared" si="9"/>
        <v>4599.9999999906868</v>
      </c>
      <c r="M109" s="139" t="s">
        <v>3796</v>
      </c>
      <c r="N109" s="9" t="s">
        <v>3797</v>
      </c>
      <c r="O109" s="12" t="s">
        <v>3798</v>
      </c>
      <c r="P109" s="83" t="s">
        <v>2628</v>
      </c>
      <c r="Q109" s="37" t="s">
        <v>678</v>
      </c>
      <c r="R109" s="12"/>
      <c r="S109" s="38" t="str">
        <f t="shared" si="10"/>
        <v>OSLA</v>
      </c>
      <c r="T109" s="37" t="str">
        <f t="shared" si="11"/>
        <v>NON</v>
      </c>
      <c r="U109" s="12" t="s">
        <v>2675</v>
      </c>
    </row>
    <row r="110" spans="1:21" x14ac:dyDescent="0.4">
      <c r="A110" s="37">
        <v>109</v>
      </c>
      <c r="B110" s="101" t="s">
        <v>3666</v>
      </c>
      <c r="C110" s="37" t="s">
        <v>2</v>
      </c>
      <c r="D110" s="37" t="s">
        <v>702</v>
      </c>
      <c r="E110" s="9" t="s">
        <v>2827</v>
      </c>
      <c r="F110" s="102">
        <v>46136.5625</v>
      </c>
      <c r="G110" s="102">
        <v>46140.668055555558</v>
      </c>
      <c r="H110" s="102">
        <v>46140.668055555558</v>
      </c>
      <c r="I110" s="153">
        <f t="shared" si="6"/>
        <v>4.1055555555576575</v>
      </c>
      <c r="J110" s="103">
        <f t="shared" si="7"/>
        <v>5912.0000000030268</v>
      </c>
      <c r="K110" s="153">
        <f t="shared" si="8"/>
        <v>4.1055555555576575</v>
      </c>
      <c r="L110" s="103">
        <f t="shared" si="9"/>
        <v>5912.0000000030268</v>
      </c>
      <c r="M110" s="139" t="s">
        <v>2828</v>
      </c>
      <c r="N110" s="9" t="s">
        <v>20</v>
      </c>
      <c r="O110" s="12" t="s">
        <v>20</v>
      </c>
      <c r="P110" s="83" t="s">
        <v>2829</v>
      </c>
      <c r="Q110" s="37" t="s">
        <v>678</v>
      </c>
      <c r="R110" s="12"/>
      <c r="S110" s="38" t="str">
        <f t="shared" si="10"/>
        <v>OSLA</v>
      </c>
      <c r="T110" s="37" t="str">
        <f t="shared" si="11"/>
        <v>OUI</v>
      </c>
      <c r="U110" s="12" t="s">
        <v>2735</v>
      </c>
    </row>
    <row r="111" spans="1:21" x14ac:dyDescent="0.4">
      <c r="A111" s="37">
        <v>110</v>
      </c>
      <c r="B111" s="101" t="s">
        <v>3667</v>
      </c>
      <c r="C111" s="37" t="s">
        <v>2</v>
      </c>
      <c r="D111" s="37" t="s">
        <v>702</v>
      </c>
      <c r="E111" s="9" t="s">
        <v>954</v>
      </c>
      <c r="F111" s="102">
        <v>46136.607638888891</v>
      </c>
      <c r="G111" s="102">
        <v>46136.71875</v>
      </c>
      <c r="H111" s="102">
        <v>46136.71875</v>
      </c>
      <c r="I111" s="153">
        <f t="shared" si="6"/>
        <v>0.11111111110949423</v>
      </c>
      <c r="J111" s="103">
        <f t="shared" si="7"/>
        <v>159.99999999767169</v>
      </c>
      <c r="K111" s="153">
        <f t="shared" si="8"/>
        <v>0.11111111110949423</v>
      </c>
      <c r="L111" s="103">
        <f t="shared" si="9"/>
        <v>159.99999999767169</v>
      </c>
      <c r="M111" s="139" t="s">
        <v>2996</v>
      </c>
      <c r="N111" s="9" t="s">
        <v>20</v>
      </c>
      <c r="O111" s="12" t="s">
        <v>20</v>
      </c>
      <c r="P111" s="83" t="s">
        <v>2997</v>
      </c>
      <c r="Q111" s="37" t="s">
        <v>678</v>
      </c>
      <c r="R111" s="12"/>
      <c r="S111" s="38" t="str">
        <f t="shared" si="10"/>
        <v>ISLA</v>
      </c>
      <c r="T111" s="37" t="str">
        <f t="shared" si="11"/>
        <v>NON</v>
      </c>
      <c r="U111" s="12" t="s">
        <v>2680</v>
      </c>
    </row>
    <row r="112" spans="1:21" ht="20.6" x14ac:dyDescent="0.4">
      <c r="A112" s="37">
        <v>111</v>
      </c>
      <c r="B112" s="101" t="s">
        <v>3668</v>
      </c>
      <c r="C112" s="37" t="s">
        <v>2</v>
      </c>
      <c r="D112" s="37" t="s">
        <v>702</v>
      </c>
      <c r="E112" s="9" t="s">
        <v>3669</v>
      </c>
      <c r="F112" s="102">
        <v>46137.451388888891</v>
      </c>
      <c r="G112" s="102">
        <v>46137.534722222219</v>
      </c>
      <c r="H112" s="102">
        <v>46137.534722222219</v>
      </c>
      <c r="I112" s="153">
        <f t="shared" si="6"/>
        <v>8.3333333328482695E-2</v>
      </c>
      <c r="J112" s="103">
        <f t="shared" si="7"/>
        <v>119.99999999301508</v>
      </c>
      <c r="K112" s="153">
        <f t="shared" si="8"/>
        <v>8.3333333328482695E-2</v>
      </c>
      <c r="L112" s="103">
        <f t="shared" si="9"/>
        <v>119.99999999301508</v>
      </c>
      <c r="M112" s="139" t="s">
        <v>2738</v>
      </c>
      <c r="N112" s="9" t="s">
        <v>3799</v>
      </c>
      <c r="O112" s="12" t="s">
        <v>3800</v>
      </c>
      <c r="P112" s="83" t="s">
        <v>2628</v>
      </c>
      <c r="Q112" s="37" t="s">
        <v>678</v>
      </c>
      <c r="R112" s="12"/>
      <c r="S112" s="38" t="str">
        <f t="shared" si="10"/>
        <v>ISLA</v>
      </c>
      <c r="T112" s="37" t="str">
        <f t="shared" si="11"/>
        <v>NON</v>
      </c>
      <c r="U112" s="12" t="s">
        <v>2675</v>
      </c>
    </row>
    <row r="113" spans="1:21" x14ac:dyDescent="0.4">
      <c r="A113" s="37">
        <v>112</v>
      </c>
      <c r="B113" s="101" t="s">
        <v>3670</v>
      </c>
      <c r="C113" s="37" t="s">
        <v>2</v>
      </c>
      <c r="D113" s="37" t="s">
        <v>702</v>
      </c>
      <c r="E113" s="9" t="s">
        <v>3287</v>
      </c>
      <c r="F113" s="102">
        <v>46137.527777777781</v>
      </c>
      <c r="G113" s="102">
        <v>46137.659722222219</v>
      </c>
      <c r="H113" s="102">
        <v>46137.659722222219</v>
      </c>
      <c r="I113" s="153">
        <f t="shared" si="6"/>
        <v>0.13194444443797693</v>
      </c>
      <c r="J113" s="103">
        <f t="shared" si="7"/>
        <v>189.99999999068677</v>
      </c>
      <c r="K113" s="153">
        <f t="shared" si="8"/>
        <v>0.13194444443797693</v>
      </c>
      <c r="L113" s="103">
        <f t="shared" si="9"/>
        <v>189.99999999068677</v>
      </c>
      <c r="M113" s="139" t="s">
        <v>3199</v>
      </c>
      <c r="N113" s="9" t="s">
        <v>20</v>
      </c>
      <c r="O113" s="12" t="s">
        <v>20</v>
      </c>
      <c r="P113" s="83" t="s">
        <v>2628</v>
      </c>
      <c r="Q113" s="37" t="s">
        <v>678</v>
      </c>
      <c r="R113" s="12"/>
      <c r="S113" s="38" t="str">
        <f t="shared" si="10"/>
        <v>ISLA</v>
      </c>
      <c r="T113" s="37" t="str">
        <f t="shared" si="11"/>
        <v>NON</v>
      </c>
      <c r="U113" s="12" t="s">
        <v>2675</v>
      </c>
    </row>
    <row r="114" spans="1:21" x14ac:dyDescent="0.4">
      <c r="A114" s="37">
        <v>113</v>
      </c>
      <c r="B114" s="101" t="s">
        <v>3671</v>
      </c>
      <c r="C114" s="37" t="s">
        <v>2</v>
      </c>
      <c r="D114" s="37" t="s">
        <v>702</v>
      </c>
      <c r="E114" s="9" t="s">
        <v>2717</v>
      </c>
      <c r="F114" s="102">
        <v>46137.567361111112</v>
      </c>
      <c r="G114" s="102">
        <v>46137.855555555558</v>
      </c>
      <c r="H114" s="102">
        <v>46137.855555555558</v>
      </c>
      <c r="I114" s="153">
        <f t="shared" si="6"/>
        <v>0.28819444444525288</v>
      </c>
      <c r="J114" s="103">
        <f t="shared" si="7"/>
        <v>415.00000000116415</v>
      </c>
      <c r="K114" s="153">
        <f t="shared" si="8"/>
        <v>0.28819444444525288</v>
      </c>
      <c r="L114" s="103">
        <f t="shared" si="9"/>
        <v>415.00000000116415</v>
      </c>
      <c r="M114" s="139" t="s">
        <v>2718</v>
      </c>
      <c r="N114" s="9" t="s">
        <v>20</v>
      </c>
      <c r="O114" s="12" t="s">
        <v>3801</v>
      </c>
      <c r="P114" s="83" t="s">
        <v>2846</v>
      </c>
      <c r="Q114" s="37" t="s">
        <v>678</v>
      </c>
      <c r="R114" s="12"/>
      <c r="S114" s="38" t="str">
        <f t="shared" si="10"/>
        <v>OSLA</v>
      </c>
      <c r="T114" s="37" t="str">
        <f t="shared" si="11"/>
        <v>OUI</v>
      </c>
      <c r="U114" s="12" t="s">
        <v>2680</v>
      </c>
    </row>
    <row r="115" spans="1:21" x14ac:dyDescent="0.4">
      <c r="A115" s="37">
        <v>114</v>
      </c>
      <c r="B115" s="101" t="s">
        <v>3672</v>
      </c>
      <c r="C115" s="37" t="s">
        <v>2</v>
      </c>
      <c r="D115" s="37" t="s">
        <v>702</v>
      </c>
      <c r="E115" s="9" t="s">
        <v>2817</v>
      </c>
      <c r="F115" s="102">
        <v>46137.663888888892</v>
      </c>
      <c r="G115" s="102">
        <v>46137.787499999999</v>
      </c>
      <c r="H115" s="102">
        <v>46137.787499999999</v>
      </c>
      <c r="I115" s="153">
        <f t="shared" si="6"/>
        <v>0.12361111110658385</v>
      </c>
      <c r="J115" s="103">
        <f t="shared" si="7"/>
        <v>177.99999999348074</v>
      </c>
      <c r="K115" s="153">
        <f t="shared" si="8"/>
        <v>0.12361111110658385</v>
      </c>
      <c r="L115" s="103">
        <f t="shared" si="9"/>
        <v>177.99999999348074</v>
      </c>
      <c r="M115" s="139" t="s">
        <v>2990</v>
      </c>
      <c r="N115" s="9" t="s">
        <v>20</v>
      </c>
      <c r="O115" s="12" t="s">
        <v>20</v>
      </c>
      <c r="P115" s="83" t="s">
        <v>2819</v>
      </c>
      <c r="Q115" s="37" t="s">
        <v>678</v>
      </c>
      <c r="R115" s="12"/>
      <c r="S115" s="38" t="str">
        <f t="shared" si="10"/>
        <v>ISLA</v>
      </c>
      <c r="T115" s="37" t="str">
        <f t="shared" si="11"/>
        <v>NON</v>
      </c>
      <c r="U115" s="12" t="s">
        <v>2680</v>
      </c>
    </row>
    <row r="116" spans="1:21" x14ac:dyDescent="0.4">
      <c r="A116" s="37">
        <v>115</v>
      </c>
      <c r="B116" s="101" t="s">
        <v>3673</v>
      </c>
      <c r="C116" s="37" t="s">
        <v>2</v>
      </c>
      <c r="D116" s="37" t="s">
        <v>702</v>
      </c>
      <c r="E116" s="9" t="s">
        <v>2673</v>
      </c>
      <c r="F116" s="102">
        <v>46137.784722222219</v>
      </c>
      <c r="G116" s="102">
        <v>46137.868055555555</v>
      </c>
      <c r="H116" s="102">
        <v>46137.868055555555</v>
      </c>
      <c r="I116" s="153">
        <f t="shared" si="6"/>
        <v>8.3333333335758653E-2</v>
      </c>
      <c r="J116" s="103">
        <f t="shared" si="7"/>
        <v>120.00000000349246</v>
      </c>
      <c r="K116" s="153">
        <f t="shared" si="8"/>
        <v>8.3333333335758653E-2</v>
      </c>
      <c r="L116" s="103">
        <f t="shared" si="9"/>
        <v>120.00000000349246</v>
      </c>
      <c r="M116" s="139" t="s">
        <v>3802</v>
      </c>
      <c r="N116" s="9" t="s">
        <v>20</v>
      </c>
      <c r="O116" s="12" t="s">
        <v>20</v>
      </c>
      <c r="P116" s="83" t="s">
        <v>2815</v>
      </c>
      <c r="Q116" s="37" t="s">
        <v>678</v>
      </c>
      <c r="R116" s="12"/>
      <c r="S116" s="38" t="str">
        <f t="shared" si="10"/>
        <v>ISLA</v>
      </c>
      <c r="T116" s="37" t="str">
        <f t="shared" si="11"/>
        <v>NON</v>
      </c>
      <c r="U116" s="12" t="s">
        <v>2680</v>
      </c>
    </row>
    <row r="117" spans="1:21" x14ac:dyDescent="0.4">
      <c r="A117" s="37">
        <v>116</v>
      </c>
      <c r="B117" s="101" t="s">
        <v>3674</v>
      </c>
      <c r="C117" s="37" t="s">
        <v>2</v>
      </c>
      <c r="D117" s="37" t="s">
        <v>702</v>
      </c>
      <c r="E117" s="9" t="s">
        <v>3258</v>
      </c>
      <c r="F117" s="102">
        <v>46137.791666666664</v>
      </c>
      <c r="G117" s="102">
        <v>46138.041666666664</v>
      </c>
      <c r="H117" s="102">
        <v>46138.041666666664</v>
      </c>
      <c r="I117" s="153">
        <f t="shared" si="6"/>
        <v>0.25</v>
      </c>
      <c r="J117" s="103">
        <f t="shared" si="7"/>
        <v>360</v>
      </c>
      <c r="K117" s="153">
        <f t="shared" si="8"/>
        <v>0.25</v>
      </c>
      <c r="L117" s="103">
        <f t="shared" si="9"/>
        <v>360</v>
      </c>
      <c r="M117" s="139" t="s">
        <v>3803</v>
      </c>
      <c r="N117" s="9" t="s">
        <v>20</v>
      </c>
      <c r="O117" s="12" t="s">
        <v>20</v>
      </c>
      <c r="P117" s="83" t="s">
        <v>3754</v>
      </c>
      <c r="Q117" s="37" t="s">
        <v>678</v>
      </c>
      <c r="R117" s="12"/>
      <c r="S117" s="38" t="str">
        <f t="shared" si="10"/>
        <v>OSLA</v>
      </c>
      <c r="T117" s="37" t="str">
        <f t="shared" si="11"/>
        <v>OUI</v>
      </c>
      <c r="U117" s="12" t="s">
        <v>2680</v>
      </c>
    </row>
    <row r="118" spans="1:21" x14ac:dyDescent="0.4">
      <c r="A118" s="37">
        <v>117</v>
      </c>
      <c r="B118" s="101" t="s">
        <v>3675</v>
      </c>
      <c r="C118" s="37" t="s">
        <v>2</v>
      </c>
      <c r="D118" s="37" t="s">
        <v>702</v>
      </c>
      <c r="E118" s="9" t="s">
        <v>954</v>
      </c>
      <c r="F118" s="102">
        <v>46138.017361111109</v>
      </c>
      <c r="G118" s="102">
        <v>46138.027777777781</v>
      </c>
      <c r="H118" s="102">
        <v>46138.027777777781</v>
      </c>
      <c r="I118" s="153">
        <f t="shared" si="6"/>
        <v>1.0416666671517305E-2</v>
      </c>
      <c r="J118" s="103">
        <f t="shared" si="7"/>
        <v>15.000000006984919</v>
      </c>
      <c r="K118" s="153">
        <f t="shared" si="8"/>
        <v>1.0416666671517305E-2</v>
      </c>
      <c r="L118" s="103">
        <f t="shared" si="9"/>
        <v>15.000000006984919</v>
      </c>
      <c r="M118" s="139" t="s">
        <v>2996</v>
      </c>
      <c r="N118" s="9" t="s">
        <v>20</v>
      </c>
      <c r="O118" s="12" t="s">
        <v>20</v>
      </c>
      <c r="P118" s="83" t="s">
        <v>2997</v>
      </c>
      <c r="Q118" s="37" t="s">
        <v>678</v>
      </c>
      <c r="R118" s="12"/>
      <c r="S118" s="38" t="str">
        <f t="shared" si="10"/>
        <v>ISLA</v>
      </c>
      <c r="T118" s="37" t="str">
        <f t="shared" si="11"/>
        <v>NON</v>
      </c>
      <c r="U118" s="12" t="s">
        <v>2680</v>
      </c>
    </row>
    <row r="119" spans="1:21" ht="20.6" x14ac:dyDescent="0.4">
      <c r="A119" s="37">
        <v>118</v>
      </c>
      <c r="B119" s="101" t="s">
        <v>2706</v>
      </c>
      <c r="C119" s="37" t="s">
        <v>2</v>
      </c>
      <c r="D119" s="37" t="s">
        <v>702</v>
      </c>
      <c r="E119" s="9" t="s">
        <v>3002</v>
      </c>
      <c r="F119" s="102">
        <v>46138.041666666664</v>
      </c>
      <c r="G119" s="102">
        <v>46138.225694444445</v>
      </c>
      <c r="H119" s="102">
        <v>46138.225694444445</v>
      </c>
      <c r="I119" s="153">
        <f t="shared" si="6"/>
        <v>0.18402777778101154</v>
      </c>
      <c r="J119" s="103">
        <f t="shared" si="7"/>
        <v>265.00000000465661</v>
      </c>
      <c r="K119" s="153">
        <f t="shared" si="8"/>
        <v>0.18402777778101154</v>
      </c>
      <c r="L119" s="103">
        <f t="shared" si="9"/>
        <v>265.00000000465661</v>
      </c>
      <c r="M119" s="139" t="s">
        <v>2753</v>
      </c>
      <c r="N119" s="9" t="s">
        <v>20</v>
      </c>
      <c r="O119" s="12" t="s">
        <v>20</v>
      </c>
      <c r="P119" s="83" t="s">
        <v>3804</v>
      </c>
      <c r="Q119" s="37" t="s">
        <v>678</v>
      </c>
      <c r="R119" s="12" t="s">
        <v>3239</v>
      </c>
      <c r="S119" s="38" t="str">
        <f t="shared" si="10"/>
        <v>OSLA</v>
      </c>
      <c r="T119" s="37" t="str">
        <f t="shared" si="11"/>
        <v>OUI</v>
      </c>
      <c r="U119" s="12" t="s">
        <v>2680</v>
      </c>
    </row>
    <row r="120" spans="1:21" ht="20.6" x14ac:dyDescent="0.4">
      <c r="A120" s="37">
        <v>119</v>
      </c>
      <c r="B120" s="101" t="s">
        <v>3676</v>
      </c>
      <c r="C120" s="37" t="s">
        <v>2</v>
      </c>
      <c r="D120" s="37" t="s">
        <v>702</v>
      </c>
      <c r="E120" s="9" t="s">
        <v>3050</v>
      </c>
      <c r="F120" s="102">
        <v>46138.489583333336</v>
      </c>
      <c r="G120" s="102">
        <v>46138.642361111109</v>
      </c>
      <c r="H120" s="102">
        <v>46138.642361111109</v>
      </c>
      <c r="I120" s="153">
        <f t="shared" si="6"/>
        <v>0.15277777777373558</v>
      </c>
      <c r="J120" s="103">
        <f t="shared" si="7"/>
        <v>219.99999999417923</v>
      </c>
      <c r="K120" s="153">
        <f t="shared" si="8"/>
        <v>0.15277777777373558</v>
      </c>
      <c r="L120" s="103">
        <f t="shared" si="9"/>
        <v>219.99999999417923</v>
      </c>
      <c r="M120" s="139" t="s">
        <v>3805</v>
      </c>
      <c r="N120" s="9" t="s">
        <v>20</v>
      </c>
      <c r="O120" s="12" t="s">
        <v>20</v>
      </c>
      <c r="P120" s="83" t="s">
        <v>2684</v>
      </c>
      <c r="Q120" s="37" t="s">
        <v>678</v>
      </c>
      <c r="R120" s="12"/>
      <c r="S120" s="38" t="str">
        <f t="shared" si="10"/>
        <v>ISLA</v>
      </c>
      <c r="T120" s="37" t="str">
        <f t="shared" si="11"/>
        <v>NON</v>
      </c>
      <c r="U120" s="12" t="s">
        <v>2680</v>
      </c>
    </row>
    <row r="121" spans="1:21" ht="72" x14ac:dyDescent="0.4">
      <c r="A121" s="37">
        <v>120</v>
      </c>
      <c r="B121" s="101" t="s">
        <v>3677</v>
      </c>
      <c r="C121" s="37" t="s">
        <v>2</v>
      </c>
      <c r="D121" s="37" t="s">
        <v>702</v>
      </c>
      <c r="E121" s="9" t="s">
        <v>3678</v>
      </c>
      <c r="F121" s="102">
        <v>46138.75</v>
      </c>
      <c r="G121" s="102">
        <v>46139.736111111109</v>
      </c>
      <c r="H121" s="102">
        <v>46139.736111111109</v>
      </c>
      <c r="I121" s="153">
        <f t="shared" si="6"/>
        <v>0.98611111110949423</v>
      </c>
      <c r="J121" s="103">
        <f t="shared" si="7"/>
        <v>1419.9999999976717</v>
      </c>
      <c r="K121" s="153">
        <f t="shared" si="8"/>
        <v>0.98611111110949423</v>
      </c>
      <c r="L121" s="103">
        <f t="shared" si="9"/>
        <v>1419.9999999976717</v>
      </c>
      <c r="M121" s="139" t="s">
        <v>2728</v>
      </c>
      <c r="N121" s="9" t="s">
        <v>20</v>
      </c>
      <c r="O121" s="12" t="s">
        <v>20</v>
      </c>
      <c r="P121" s="83" t="s">
        <v>2628</v>
      </c>
      <c r="Q121" s="37" t="s">
        <v>678</v>
      </c>
      <c r="R121" s="12"/>
      <c r="S121" s="38" t="str">
        <f t="shared" si="10"/>
        <v>OSLA</v>
      </c>
      <c r="T121" s="37" t="str">
        <f t="shared" si="11"/>
        <v>NON</v>
      </c>
      <c r="U121" s="12" t="s">
        <v>2675</v>
      </c>
    </row>
    <row r="122" spans="1:21" x14ac:dyDescent="0.4">
      <c r="A122" s="37">
        <v>121</v>
      </c>
      <c r="B122" s="101" t="s">
        <v>3679</v>
      </c>
      <c r="C122" s="37" t="s">
        <v>2</v>
      </c>
      <c r="D122" s="37" t="s">
        <v>702</v>
      </c>
      <c r="E122" s="9" t="s">
        <v>3823</v>
      </c>
      <c r="F122" s="102">
        <v>46138.788194444445</v>
      </c>
      <c r="G122" s="102">
        <v>46138.836805555555</v>
      </c>
      <c r="H122" s="102">
        <v>46138.836805555555</v>
      </c>
      <c r="I122" s="153">
        <f t="shared" si="6"/>
        <v>4.8611111109494232E-2</v>
      </c>
      <c r="J122" s="103">
        <f t="shared" si="7"/>
        <v>69.999999997671694</v>
      </c>
      <c r="K122" s="153">
        <f t="shared" si="8"/>
        <v>4.8611111109494232E-2</v>
      </c>
      <c r="L122" s="103">
        <f t="shared" si="9"/>
        <v>69.999999997671694</v>
      </c>
      <c r="M122" s="139" t="s">
        <v>3806</v>
      </c>
      <c r="N122" s="9" t="s">
        <v>20</v>
      </c>
      <c r="O122" s="12" t="s">
        <v>20</v>
      </c>
      <c r="P122" s="83" t="s">
        <v>2628</v>
      </c>
      <c r="Q122" s="37" t="s">
        <v>678</v>
      </c>
      <c r="R122" s="12"/>
      <c r="S122" s="38" t="str">
        <f t="shared" si="10"/>
        <v>ISLA</v>
      </c>
      <c r="T122" s="37" t="str">
        <f t="shared" si="11"/>
        <v>NON</v>
      </c>
      <c r="U122" s="12" t="s">
        <v>2675</v>
      </c>
    </row>
    <row r="123" spans="1:21" ht="20.6" x14ac:dyDescent="0.4">
      <c r="A123" s="37">
        <v>122</v>
      </c>
      <c r="B123" s="101" t="s">
        <v>2706</v>
      </c>
      <c r="C123" s="37" t="s">
        <v>2</v>
      </c>
      <c r="D123" s="37" t="s">
        <v>702</v>
      </c>
      <c r="E123" s="9" t="s">
        <v>3002</v>
      </c>
      <c r="F123" s="102">
        <v>46139.340277777781</v>
      </c>
      <c r="G123" s="102">
        <v>46139.409722222219</v>
      </c>
      <c r="H123" s="102">
        <v>46139.409722222219</v>
      </c>
      <c r="I123" s="153">
        <f t="shared" si="6"/>
        <v>6.9444444437976927E-2</v>
      </c>
      <c r="J123" s="103">
        <f t="shared" si="7"/>
        <v>99.999999990686774</v>
      </c>
      <c r="K123" s="153">
        <f t="shared" si="8"/>
        <v>6.9444444437976927E-2</v>
      </c>
      <c r="L123" s="103">
        <f t="shared" si="9"/>
        <v>99.999999990686774</v>
      </c>
      <c r="M123" s="139" t="s">
        <v>2753</v>
      </c>
      <c r="N123" s="9" t="s">
        <v>20</v>
      </c>
      <c r="O123" s="12" t="s">
        <v>20</v>
      </c>
      <c r="P123" s="83" t="s">
        <v>2628</v>
      </c>
      <c r="Q123" s="37" t="s">
        <v>678</v>
      </c>
      <c r="R123" s="12" t="s">
        <v>3239</v>
      </c>
      <c r="S123" s="38" t="str">
        <f t="shared" si="10"/>
        <v>ISLA</v>
      </c>
      <c r="T123" s="37" t="str">
        <f t="shared" si="11"/>
        <v>NON</v>
      </c>
      <c r="U123" s="12" t="s">
        <v>2675</v>
      </c>
    </row>
    <row r="124" spans="1:21" x14ac:dyDescent="0.4">
      <c r="A124" s="37">
        <v>123</v>
      </c>
      <c r="B124" s="101" t="s">
        <v>3680</v>
      </c>
      <c r="C124" s="37" t="s">
        <v>2</v>
      </c>
      <c r="D124" s="37" t="s">
        <v>702</v>
      </c>
      <c r="E124" s="9" t="s">
        <v>2673</v>
      </c>
      <c r="F124" s="102">
        <v>46139.357638888891</v>
      </c>
      <c r="G124" s="102">
        <v>46139.423611111109</v>
      </c>
      <c r="H124" s="102">
        <v>46139.423611111109</v>
      </c>
      <c r="I124" s="153">
        <f t="shared" si="6"/>
        <v>6.5972222218988463E-2</v>
      </c>
      <c r="J124" s="103">
        <f t="shared" si="7"/>
        <v>94.999999995343387</v>
      </c>
      <c r="K124" s="153">
        <f t="shared" si="8"/>
        <v>6.5972222218988463E-2</v>
      </c>
      <c r="L124" s="103">
        <f t="shared" si="9"/>
        <v>94.999999995343387</v>
      </c>
      <c r="M124" s="139" t="s">
        <v>3802</v>
      </c>
      <c r="N124" s="9" t="s">
        <v>20</v>
      </c>
      <c r="O124" s="12" t="s">
        <v>20</v>
      </c>
      <c r="P124" s="83" t="s">
        <v>2815</v>
      </c>
      <c r="Q124" s="37" t="s">
        <v>678</v>
      </c>
      <c r="R124" s="12"/>
      <c r="S124" s="38" t="str">
        <f t="shared" si="10"/>
        <v>ISLA</v>
      </c>
      <c r="T124" s="37" t="str">
        <f t="shared" si="11"/>
        <v>NON</v>
      </c>
      <c r="U124" s="12" t="s">
        <v>2680</v>
      </c>
    </row>
    <row r="125" spans="1:21" x14ac:dyDescent="0.4">
      <c r="A125" s="37">
        <v>124</v>
      </c>
      <c r="B125" s="101" t="s">
        <v>3681</v>
      </c>
      <c r="C125" s="37" t="s">
        <v>2</v>
      </c>
      <c r="D125" s="37" t="s">
        <v>702</v>
      </c>
      <c r="E125" s="9" t="s">
        <v>937</v>
      </c>
      <c r="F125" s="102">
        <v>46139.447916666664</v>
      </c>
      <c r="G125" s="102">
        <v>46139.591666666667</v>
      </c>
      <c r="H125" s="102">
        <v>46139.591666666667</v>
      </c>
      <c r="I125" s="153">
        <f t="shared" si="6"/>
        <v>0.14375000000291038</v>
      </c>
      <c r="J125" s="103">
        <f t="shared" si="7"/>
        <v>207.00000000419095</v>
      </c>
      <c r="K125" s="153">
        <f t="shared" si="8"/>
        <v>0.14375000000291038</v>
      </c>
      <c r="L125" s="103">
        <f t="shared" si="9"/>
        <v>207.00000000419095</v>
      </c>
      <c r="M125" s="139" t="s">
        <v>3807</v>
      </c>
      <c r="N125" s="9" t="s">
        <v>20</v>
      </c>
      <c r="O125" s="12" t="s">
        <v>20</v>
      </c>
      <c r="P125" s="83" t="s">
        <v>3424</v>
      </c>
      <c r="Q125" s="37" t="s">
        <v>678</v>
      </c>
      <c r="R125" s="12"/>
      <c r="S125" s="38" t="str">
        <f t="shared" si="10"/>
        <v>ISLA</v>
      </c>
      <c r="T125" s="37" t="str">
        <f t="shared" si="11"/>
        <v>NON</v>
      </c>
      <c r="U125" s="12" t="s">
        <v>2680</v>
      </c>
    </row>
    <row r="126" spans="1:21" x14ac:dyDescent="0.4">
      <c r="A126" s="37">
        <v>125</v>
      </c>
      <c r="B126" s="101" t="s">
        <v>3682</v>
      </c>
      <c r="C126" s="37" t="s">
        <v>2</v>
      </c>
      <c r="D126" s="37" t="s">
        <v>702</v>
      </c>
      <c r="E126" s="9" t="s">
        <v>2717</v>
      </c>
      <c r="F126" s="102">
        <v>46139.509722222225</v>
      </c>
      <c r="G126" s="102">
        <v>46139.65</v>
      </c>
      <c r="H126" s="102">
        <v>46139.65</v>
      </c>
      <c r="I126" s="153">
        <f t="shared" si="6"/>
        <v>0.14027777777664596</v>
      </c>
      <c r="J126" s="103">
        <f t="shared" si="7"/>
        <v>201.99999999837019</v>
      </c>
      <c r="K126" s="153">
        <f t="shared" si="8"/>
        <v>0.14027777777664596</v>
      </c>
      <c r="L126" s="103">
        <f t="shared" si="9"/>
        <v>201.99999999837019</v>
      </c>
      <c r="M126" s="139" t="s">
        <v>2718</v>
      </c>
      <c r="N126" s="9" t="s">
        <v>20</v>
      </c>
      <c r="O126" s="12" t="s">
        <v>20</v>
      </c>
      <c r="P126" s="83" t="s">
        <v>2846</v>
      </c>
      <c r="Q126" s="37" t="s">
        <v>678</v>
      </c>
      <c r="R126" s="12"/>
      <c r="S126" s="38" t="str">
        <f t="shared" si="10"/>
        <v>ISLA</v>
      </c>
      <c r="T126" s="37" t="str">
        <f t="shared" si="11"/>
        <v>NON</v>
      </c>
      <c r="U126" s="12" t="s">
        <v>2680</v>
      </c>
    </row>
    <row r="127" spans="1:21" ht="20.6" x14ac:dyDescent="0.4">
      <c r="A127" s="37">
        <v>126</v>
      </c>
      <c r="B127" s="101" t="s">
        <v>3683</v>
      </c>
      <c r="C127" s="37" t="s">
        <v>2</v>
      </c>
      <c r="D127" s="37" t="s">
        <v>702</v>
      </c>
      <c r="E127" s="9" t="s">
        <v>2750</v>
      </c>
      <c r="F127" s="102">
        <v>46139.965277777781</v>
      </c>
      <c r="G127" s="102">
        <v>46140.03125</v>
      </c>
      <c r="H127" s="102">
        <v>46140.03125</v>
      </c>
      <c r="I127" s="153">
        <f t="shared" si="6"/>
        <v>6.5972222218988463E-2</v>
      </c>
      <c r="J127" s="103">
        <f t="shared" si="7"/>
        <v>94.999999995343387</v>
      </c>
      <c r="K127" s="153">
        <f t="shared" si="8"/>
        <v>6.5972222218988463E-2</v>
      </c>
      <c r="L127" s="103">
        <f t="shared" si="9"/>
        <v>94.999999995343387</v>
      </c>
      <c r="M127" s="139" t="s">
        <v>3808</v>
      </c>
      <c r="N127" s="9" t="s">
        <v>3809</v>
      </c>
      <c r="O127" s="12" t="s">
        <v>20</v>
      </c>
      <c r="P127" s="83" t="s">
        <v>707</v>
      </c>
      <c r="Q127" s="37" t="s">
        <v>678</v>
      </c>
      <c r="R127" s="12"/>
      <c r="S127" s="38" t="str">
        <f t="shared" si="10"/>
        <v>ISLA</v>
      </c>
      <c r="T127" s="37" t="str">
        <f t="shared" si="11"/>
        <v>NON</v>
      </c>
      <c r="U127" s="12" t="s">
        <v>2675</v>
      </c>
    </row>
    <row r="128" spans="1:21" x14ac:dyDescent="0.4">
      <c r="A128" s="37">
        <v>127</v>
      </c>
      <c r="B128" s="101" t="s">
        <v>3684</v>
      </c>
      <c r="C128" s="37" t="s">
        <v>2</v>
      </c>
      <c r="D128" s="37" t="s">
        <v>702</v>
      </c>
      <c r="E128" s="9" t="s">
        <v>954</v>
      </c>
      <c r="F128" s="102">
        <v>46140.019444444442</v>
      </c>
      <c r="G128" s="102">
        <v>46140.03125</v>
      </c>
      <c r="H128" s="102">
        <v>46140.03125</v>
      </c>
      <c r="I128" s="153">
        <f t="shared" si="6"/>
        <v>1.1805555557657499E-2</v>
      </c>
      <c r="J128" s="103">
        <f t="shared" si="7"/>
        <v>17.000000003026798</v>
      </c>
      <c r="K128" s="153">
        <f t="shared" si="8"/>
        <v>1.1805555557657499E-2</v>
      </c>
      <c r="L128" s="103">
        <f t="shared" si="9"/>
        <v>17.000000003026798</v>
      </c>
      <c r="M128" s="139" t="s">
        <v>2996</v>
      </c>
      <c r="N128" s="9" t="s">
        <v>20</v>
      </c>
      <c r="O128" s="12" t="s">
        <v>20</v>
      </c>
      <c r="P128" s="83" t="s">
        <v>2997</v>
      </c>
      <c r="Q128" s="37" t="s">
        <v>678</v>
      </c>
      <c r="R128" s="12"/>
      <c r="S128" s="38" t="str">
        <f t="shared" si="10"/>
        <v>ISLA</v>
      </c>
      <c r="T128" s="37" t="str">
        <f t="shared" si="11"/>
        <v>NON</v>
      </c>
      <c r="U128" s="12" t="s">
        <v>2680</v>
      </c>
    </row>
    <row r="129" spans="1:21" x14ac:dyDescent="0.4">
      <c r="A129" s="37">
        <v>128</v>
      </c>
      <c r="B129" s="101" t="s">
        <v>3685</v>
      </c>
      <c r="C129" s="37" t="s">
        <v>2</v>
      </c>
      <c r="D129" s="37" t="s">
        <v>702</v>
      </c>
      <c r="E129" s="9" t="s">
        <v>2827</v>
      </c>
      <c r="F129" s="102">
        <v>46140.513888888891</v>
      </c>
      <c r="G129" s="102">
        <v>46140.552083333336</v>
      </c>
      <c r="H129" s="102">
        <v>46140.552083333336</v>
      </c>
      <c r="I129" s="153">
        <f t="shared" si="6"/>
        <v>3.8194444445252884E-2</v>
      </c>
      <c r="J129" s="103">
        <f t="shared" si="7"/>
        <v>55.000000001164153</v>
      </c>
      <c r="K129" s="153">
        <f t="shared" si="8"/>
        <v>3.8194444445252884E-2</v>
      </c>
      <c r="L129" s="103">
        <f t="shared" si="9"/>
        <v>55.000000001164153</v>
      </c>
      <c r="M129" s="139" t="s">
        <v>2828</v>
      </c>
      <c r="N129" s="9" t="s">
        <v>20</v>
      </c>
      <c r="O129" s="12" t="s">
        <v>20</v>
      </c>
      <c r="P129" s="83" t="s">
        <v>2829</v>
      </c>
      <c r="Q129" s="37" t="s">
        <v>678</v>
      </c>
      <c r="R129" s="12"/>
      <c r="S129" s="38" t="str">
        <f t="shared" si="10"/>
        <v>ISLA</v>
      </c>
      <c r="T129" s="37" t="str">
        <f t="shared" si="11"/>
        <v>NON</v>
      </c>
      <c r="U129" s="12" t="s">
        <v>2680</v>
      </c>
    </row>
    <row r="130" spans="1:21" x14ac:dyDescent="0.4">
      <c r="A130" s="37">
        <v>129</v>
      </c>
      <c r="B130" s="101" t="s">
        <v>3686</v>
      </c>
      <c r="C130" s="37" t="s">
        <v>2</v>
      </c>
      <c r="D130" s="37" t="s">
        <v>702</v>
      </c>
      <c r="E130" s="9" t="s">
        <v>3647</v>
      </c>
      <c r="F130" s="102">
        <v>46140.788194444445</v>
      </c>
      <c r="G130" s="102">
        <v>46140.829861111109</v>
      </c>
      <c r="H130" s="102">
        <v>46140.829861111109</v>
      </c>
      <c r="I130" s="153">
        <f t="shared" ref="I130:I135" si="12">G130-F130</f>
        <v>4.1666666664241347E-2</v>
      </c>
      <c r="J130" s="103">
        <f t="shared" ref="J130:J135" si="13">I130*1440</f>
        <v>59.99999999650754</v>
      </c>
      <c r="K130" s="153">
        <f t="shared" ref="K130:K135" si="14">H130-F130</f>
        <v>4.1666666664241347E-2</v>
      </c>
      <c r="L130" s="103">
        <f t="shared" ref="L130:L135" si="15">K130*1440</f>
        <v>59.99999999650754</v>
      </c>
      <c r="M130" s="139" t="s">
        <v>3810</v>
      </c>
      <c r="N130" s="9" t="s">
        <v>20</v>
      </c>
      <c r="O130" s="12" t="s">
        <v>20</v>
      </c>
      <c r="P130" s="83" t="s">
        <v>2628</v>
      </c>
      <c r="Q130" s="37" t="s">
        <v>678</v>
      </c>
      <c r="R130" s="12"/>
      <c r="S130" s="38" t="str">
        <f t="shared" ref="S130:S135" si="16">IF(AND(C130="P1",J130&lt;=240),"ISLA",IF((AND(C130="P2",J130&lt;=480)),"ISLA",IF((AND(C130="P3",J130&lt;=2880)),"ISLA","OSLA")))</f>
        <v>ISLA</v>
      </c>
      <c r="T130" s="37" t="str">
        <f t="shared" ref="T130:T135" si="17">IF((AND(MID(P130,1,2)="IT",S130="OSLA")),"OUI","NON")</f>
        <v>NON</v>
      </c>
      <c r="U130" s="12" t="s">
        <v>2675</v>
      </c>
    </row>
    <row r="131" spans="1:21" x14ac:dyDescent="0.4">
      <c r="A131" s="37">
        <v>130</v>
      </c>
      <c r="B131" s="101" t="s">
        <v>3687</v>
      </c>
      <c r="C131" s="37" t="s">
        <v>2</v>
      </c>
      <c r="D131" s="37" t="s">
        <v>702</v>
      </c>
      <c r="E131" s="9" t="s">
        <v>2750</v>
      </c>
      <c r="F131" s="102">
        <v>46140.826388888891</v>
      </c>
      <c r="G131" s="102">
        <v>46140.927083333336</v>
      </c>
      <c r="H131" s="102">
        <v>46140.927083333336</v>
      </c>
      <c r="I131" s="153">
        <f t="shared" si="12"/>
        <v>0.10069444444525288</v>
      </c>
      <c r="J131" s="103">
        <f t="shared" si="13"/>
        <v>145.00000000116415</v>
      </c>
      <c r="K131" s="153">
        <f t="shared" si="14"/>
        <v>0.10069444444525288</v>
      </c>
      <c r="L131" s="103">
        <f t="shared" si="15"/>
        <v>145.00000000116415</v>
      </c>
      <c r="M131" s="139" t="s">
        <v>3811</v>
      </c>
      <c r="N131" s="9" t="s">
        <v>20</v>
      </c>
      <c r="O131" s="12" t="s">
        <v>20</v>
      </c>
      <c r="P131" s="83" t="s">
        <v>707</v>
      </c>
      <c r="Q131" s="37" t="s">
        <v>678</v>
      </c>
      <c r="R131" s="12"/>
      <c r="S131" s="38" t="str">
        <f t="shared" si="16"/>
        <v>ISLA</v>
      </c>
      <c r="T131" s="37" t="str">
        <f t="shared" si="17"/>
        <v>NON</v>
      </c>
      <c r="U131" s="12" t="s">
        <v>2675</v>
      </c>
    </row>
    <row r="132" spans="1:21" x14ac:dyDescent="0.4">
      <c r="A132" s="37">
        <v>131</v>
      </c>
      <c r="B132" s="101" t="s">
        <v>3688</v>
      </c>
      <c r="C132" s="37" t="s">
        <v>14</v>
      </c>
      <c r="D132" s="37" t="s">
        <v>702</v>
      </c>
      <c r="E132" s="9" t="s">
        <v>3340</v>
      </c>
      <c r="F132" s="102">
        <v>46140.940972222219</v>
      </c>
      <c r="G132" s="102">
        <v>46141.416666666664</v>
      </c>
      <c r="H132" s="102">
        <v>46141.416666666664</v>
      </c>
      <c r="I132" s="153">
        <f t="shared" si="12"/>
        <v>0.47569444444525288</v>
      </c>
      <c r="J132" s="103">
        <f t="shared" si="13"/>
        <v>685.00000000116415</v>
      </c>
      <c r="K132" s="153">
        <f t="shared" si="14"/>
        <v>0.47569444444525288</v>
      </c>
      <c r="L132" s="103">
        <f t="shared" si="15"/>
        <v>685.00000000116415</v>
      </c>
      <c r="M132" s="139" t="s">
        <v>3812</v>
      </c>
      <c r="N132" s="9" t="s">
        <v>3813</v>
      </c>
      <c r="O132" s="12" t="s">
        <v>3814</v>
      </c>
      <c r="P132" s="83" t="s">
        <v>2628</v>
      </c>
      <c r="Q132" s="37" t="s">
        <v>678</v>
      </c>
      <c r="R132" s="12"/>
      <c r="S132" s="38" t="str">
        <f t="shared" si="16"/>
        <v>OSLA</v>
      </c>
      <c r="T132" s="37" t="str">
        <f t="shared" si="17"/>
        <v>NON</v>
      </c>
      <c r="U132" s="12" t="s">
        <v>2675</v>
      </c>
    </row>
    <row r="133" spans="1:21" x14ac:dyDescent="0.4">
      <c r="A133" s="37">
        <v>132</v>
      </c>
      <c r="B133" s="101" t="s">
        <v>3689</v>
      </c>
      <c r="C133" s="37" t="s">
        <v>2</v>
      </c>
      <c r="D133" s="37" t="s">
        <v>702</v>
      </c>
      <c r="E133" s="9" t="s">
        <v>937</v>
      </c>
      <c r="F133" s="102">
        <v>46141.729166666664</v>
      </c>
      <c r="G133" s="102">
        <v>46142.356944444444</v>
      </c>
      <c r="H133" s="102">
        <v>46142.356944444444</v>
      </c>
      <c r="I133" s="153">
        <f t="shared" si="12"/>
        <v>0.62777777777955635</v>
      </c>
      <c r="J133" s="103">
        <f t="shared" si="13"/>
        <v>904.00000000256114</v>
      </c>
      <c r="K133" s="153">
        <f t="shared" si="14"/>
        <v>0.62777777777955635</v>
      </c>
      <c r="L133" s="103">
        <f t="shared" si="15"/>
        <v>904.00000000256114</v>
      </c>
      <c r="M133" s="139" t="s">
        <v>3807</v>
      </c>
      <c r="N133" s="9" t="s">
        <v>20</v>
      </c>
      <c r="O133" s="12" t="s">
        <v>20</v>
      </c>
      <c r="P133" s="83" t="s">
        <v>3424</v>
      </c>
      <c r="Q133" s="37" t="s">
        <v>678</v>
      </c>
      <c r="R133" s="12"/>
      <c r="S133" s="38" t="str">
        <f t="shared" si="16"/>
        <v>OSLA</v>
      </c>
      <c r="T133" s="37" t="str">
        <f t="shared" si="17"/>
        <v>OUI</v>
      </c>
      <c r="U133" s="12" t="s">
        <v>2680</v>
      </c>
    </row>
    <row r="134" spans="1:21" x14ac:dyDescent="0.4">
      <c r="A134" s="37">
        <v>133</v>
      </c>
      <c r="B134" s="101" t="s">
        <v>3690</v>
      </c>
      <c r="C134" s="37" t="s">
        <v>2</v>
      </c>
      <c r="D134" s="37" t="s">
        <v>702</v>
      </c>
      <c r="E134" s="9" t="s">
        <v>3328</v>
      </c>
      <c r="F134" s="102">
        <v>46141.934027777781</v>
      </c>
      <c r="G134" s="102">
        <v>46141.972222222219</v>
      </c>
      <c r="H134" s="102">
        <v>46141.972222222219</v>
      </c>
      <c r="I134" s="153">
        <f t="shared" si="12"/>
        <v>3.8194444437976927E-2</v>
      </c>
      <c r="J134" s="103">
        <f t="shared" si="13"/>
        <v>54.999999990686774</v>
      </c>
      <c r="K134" s="153">
        <f t="shared" si="14"/>
        <v>3.8194444437976927E-2</v>
      </c>
      <c r="L134" s="103">
        <f t="shared" si="15"/>
        <v>54.999999990686774</v>
      </c>
      <c r="M134" s="139" t="s">
        <v>3815</v>
      </c>
      <c r="N134" s="9" t="s">
        <v>20</v>
      </c>
      <c r="O134" s="12" t="s">
        <v>20</v>
      </c>
      <c r="P134" s="83" t="s">
        <v>2628</v>
      </c>
      <c r="Q134" s="37" t="s">
        <v>678</v>
      </c>
      <c r="R134" s="12"/>
      <c r="S134" s="38" t="str">
        <f t="shared" si="16"/>
        <v>ISLA</v>
      </c>
      <c r="T134" s="37" t="str">
        <f t="shared" si="17"/>
        <v>NON</v>
      </c>
      <c r="U134" s="12" t="s">
        <v>2675</v>
      </c>
    </row>
    <row r="135" spans="1:21" x14ac:dyDescent="0.4">
      <c r="A135" s="37">
        <v>134</v>
      </c>
      <c r="B135" s="101" t="s">
        <v>3691</v>
      </c>
      <c r="C135" s="37" t="s">
        <v>2</v>
      </c>
      <c r="D135" s="37" t="s">
        <v>702</v>
      </c>
      <c r="E135" s="9" t="s">
        <v>3692</v>
      </c>
      <c r="F135" s="102">
        <v>46141.979166666664</v>
      </c>
      <c r="G135" s="102">
        <v>46142.055555555555</v>
      </c>
      <c r="H135" s="102">
        <v>46142.055555555555</v>
      </c>
      <c r="I135" s="153">
        <f t="shared" si="12"/>
        <v>7.6388888890505768E-2</v>
      </c>
      <c r="J135" s="103">
        <f t="shared" si="13"/>
        <v>110.00000000232831</v>
      </c>
      <c r="K135" s="153">
        <f t="shared" si="14"/>
        <v>7.6388888890505768E-2</v>
      </c>
      <c r="L135" s="103">
        <f t="shared" si="15"/>
        <v>110.00000000232831</v>
      </c>
      <c r="M135" s="139" t="s">
        <v>3816</v>
      </c>
      <c r="N135" s="9" t="s">
        <v>20</v>
      </c>
      <c r="O135" s="12" t="s">
        <v>20</v>
      </c>
      <c r="P135" s="83" t="s">
        <v>704</v>
      </c>
      <c r="Q135" s="37" t="s">
        <v>678</v>
      </c>
      <c r="R135" s="12"/>
      <c r="S135" s="38" t="str">
        <f t="shared" si="16"/>
        <v>ISLA</v>
      </c>
      <c r="T135" s="37" t="str">
        <f t="shared" si="17"/>
        <v>NON</v>
      </c>
      <c r="U135" s="12" t="s">
        <v>2675</v>
      </c>
    </row>
    <row r="136" spans="1:21" x14ac:dyDescent="0.4">
      <c r="A136" s="37">
        <v>135</v>
      </c>
      <c r="B136" s="101" t="s">
        <v>3693</v>
      </c>
      <c r="C136" s="37" t="s">
        <v>2</v>
      </c>
      <c r="D136" s="37" t="s">
        <v>702</v>
      </c>
      <c r="E136" s="9" t="s">
        <v>2750</v>
      </c>
      <c r="F136" s="102">
        <v>46142.46875</v>
      </c>
      <c r="G136" s="102">
        <v>46142.520833333336</v>
      </c>
      <c r="H136" s="102">
        <v>46142.520833333336</v>
      </c>
      <c r="I136" s="153">
        <f t="shared" ref="I136:I138" si="18">G136-F136</f>
        <v>5.2083333335758653E-2</v>
      </c>
      <c r="J136" s="103">
        <f t="shared" ref="J136:J138" si="19">I136*1440</f>
        <v>75.00000000349246</v>
      </c>
      <c r="K136" s="153">
        <f t="shared" ref="K136:K138" si="20">H136-F136</f>
        <v>5.2083333335758653E-2</v>
      </c>
      <c r="L136" s="103">
        <f t="shared" ref="L136:L138" si="21">K136*1440</f>
        <v>75.00000000349246</v>
      </c>
      <c r="M136" s="139" t="s">
        <v>3817</v>
      </c>
      <c r="N136" s="9" t="s">
        <v>20</v>
      </c>
      <c r="O136" s="12" t="s">
        <v>20</v>
      </c>
      <c r="P136" s="83" t="s">
        <v>707</v>
      </c>
      <c r="Q136" s="37" t="s">
        <v>678</v>
      </c>
      <c r="R136" s="12"/>
      <c r="S136" s="38" t="str">
        <f t="shared" ref="S136:S138" si="22">IF(AND(C136="P1",J136&lt;=240),"ISLA",IF((AND(C136="P2",J136&lt;=480)),"ISLA",IF((AND(C136="P3",J136&lt;=2880)),"ISLA","OSLA")))</f>
        <v>ISLA</v>
      </c>
      <c r="T136" s="37" t="str">
        <f t="shared" ref="T136:T138" si="23">IF((AND(MID(P136,1,2)="IT",S136="OSLA")),"OUI","NON")</f>
        <v>NON</v>
      </c>
      <c r="U136" s="12" t="s">
        <v>2675</v>
      </c>
    </row>
    <row r="137" spans="1:21" ht="20.6" x14ac:dyDescent="0.4">
      <c r="A137" s="37">
        <v>136</v>
      </c>
      <c r="B137" s="101" t="s">
        <v>3694</v>
      </c>
      <c r="C137" s="37" t="s">
        <v>2</v>
      </c>
      <c r="D137" s="37" t="s">
        <v>702</v>
      </c>
      <c r="E137" s="9" t="s">
        <v>3258</v>
      </c>
      <c r="F137" s="102">
        <v>46142.493055555555</v>
      </c>
      <c r="G137" s="102">
        <v>46142.559027777781</v>
      </c>
      <c r="H137" s="102">
        <v>46142.559027777781</v>
      </c>
      <c r="I137" s="153">
        <f t="shared" si="18"/>
        <v>6.5972222226264421E-2</v>
      </c>
      <c r="J137" s="103">
        <f t="shared" si="19"/>
        <v>95.000000005820766</v>
      </c>
      <c r="K137" s="153">
        <f t="shared" si="20"/>
        <v>6.5972222226264421E-2</v>
      </c>
      <c r="L137" s="103">
        <f t="shared" si="21"/>
        <v>95.000000005820766</v>
      </c>
      <c r="M137" s="139" t="s">
        <v>3818</v>
      </c>
      <c r="N137" s="9" t="s">
        <v>3819</v>
      </c>
      <c r="O137" s="12" t="s">
        <v>20</v>
      </c>
      <c r="P137" s="83" t="s">
        <v>3754</v>
      </c>
      <c r="Q137" s="37" t="s">
        <v>678</v>
      </c>
      <c r="R137" s="12"/>
      <c r="S137" s="38" t="str">
        <f t="shared" si="22"/>
        <v>ISLA</v>
      </c>
      <c r="T137" s="37" t="str">
        <f t="shared" si="23"/>
        <v>NON</v>
      </c>
      <c r="U137" s="12" t="s">
        <v>2680</v>
      </c>
    </row>
    <row r="138" spans="1:21" x14ac:dyDescent="0.4">
      <c r="A138" s="37">
        <v>137</v>
      </c>
      <c r="B138" s="101" t="s">
        <v>3695</v>
      </c>
      <c r="C138" s="37" t="s">
        <v>2</v>
      </c>
      <c r="D138" s="37" t="s">
        <v>702</v>
      </c>
      <c r="E138" s="9" t="s">
        <v>2808</v>
      </c>
      <c r="F138" s="102">
        <v>46142.548611111109</v>
      </c>
      <c r="G138" s="102">
        <v>46142.791666666664</v>
      </c>
      <c r="H138" s="102">
        <v>46142.791666666664</v>
      </c>
      <c r="I138" s="153">
        <f t="shared" si="18"/>
        <v>0.24305555555474712</v>
      </c>
      <c r="J138" s="103">
        <f t="shared" si="19"/>
        <v>349.99999999883585</v>
      </c>
      <c r="K138" s="153">
        <f t="shared" si="20"/>
        <v>0.24305555555474712</v>
      </c>
      <c r="L138" s="103">
        <f t="shared" si="21"/>
        <v>349.99999999883585</v>
      </c>
      <c r="M138" s="139" t="s">
        <v>3766</v>
      </c>
      <c r="N138" s="9" t="s">
        <v>20</v>
      </c>
      <c r="O138" s="12" t="s">
        <v>20</v>
      </c>
      <c r="P138" s="83" t="s">
        <v>707</v>
      </c>
      <c r="Q138" s="37" t="s">
        <v>678</v>
      </c>
      <c r="R138" s="12"/>
      <c r="S138" s="38" t="str">
        <f t="shared" si="22"/>
        <v>OSLA</v>
      </c>
      <c r="T138" s="37" t="str">
        <f t="shared" si="23"/>
        <v>NON</v>
      </c>
      <c r="U138" s="12" t="s">
        <v>2675</v>
      </c>
    </row>
  </sheetData>
  <phoneticPr fontId="62" type="noConversion"/>
  <conditionalFormatting sqref="F2:L138">
    <cfRule type="cellIs" dxfId="17" priority="1" operator="equal">
      <formula>"NOK"</formula>
    </cfRule>
  </conditionalFormatting>
  <conditionalFormatting sqref="P48:P50">
    <cfRule type="cellIs" dxfId="16" priority="4" operator="equal">
      <formula>"NOK"</formula>
    </cfRule>
  </conditionalFormatting>
  <conditionalFormatting sqref="P57">
    <cfRule type="cellIs" dxfId="15" priority="3" operator="equal">
      <formula>"NOK"</formula>
    </cfRule>
  </conditionalFormatting>
  <pageMargins left="0.7" right="0.7" top="0.75" bottom="0.75" header="0.3" footer="0.3"/>
  <pageSetup paperSize="9" orientation="portrait" horizontalDpi="4294967295" verticalDpi="4294967295"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4"/>
  <dimension ref="A1:U117"/>
  <sheetViews>
    <sheetView zoomScaleNormal="100" workbookViewId="0">
      <pane ySplit="1" topLeftCell="A80" activePane="bottomLeft" state="frozen"/>
      <selection pane="bottomLeft" activeCell="A2" sqref="A2:XFD107"/>
    </sheetView>
  </sheetViews>
  <sheetFormatPr baseColWidth="10" defaultRowHeight="14.6" x14ac:dyDescent="0.4"/>
  <cols>
    <col min="1" max="1" width="5.84375" customWidth="1"/>
    <col min="2" max="2" width="9.84375" bestFit="1" customWidth="1"/>
    <col min="3" max="3" width="6.84375" bestFit="1" customWidth="1"/>
    <col min="4" max="4" width="9.07421875" bestFit="1" customWidth="1"/>
    <col min="5" max="5" width="38.07421875" customWidth="1"/>
    <col min="6" max="6" width="13" customWidth="1"/>
    <col min="7" max="7" width="16.84375" customWidth="1"/>
    <col min="8" max="9" width="14.53515625" customWidth="1"/>
    <col min="10" max="12" width="10.07421875" customWidth="1"/>
    <col min="13" max="13" width="78.84375" customWidth="1"/>
    <col min="14" max="14" width="48.69140625" customWidth="1"/>
    <col min="15" max="15" width="52.4609375" customWidth="1"/>
    <col min="16" max="16" width="11.4609375" bestFit="1" customWidth="1"/>
    <col min="17" max="17" width="7.07421875" bestFit="1" customWidth="1"/>
    <col min="18" max="18" width="12.07421875" bestFit="1" customWidth="1"/>
    <col min="19" max="19" width="5.07421875" bestFit="1" customWidth="1"/>
    <col min="20" max="20" width="12.07421875" bestFit="1" customWidth="1"/>
    <col min="21" max="21" width="7.4609375" bestFit="1" customWidth="1"/>
  </cols>
  <sheetData>
    <row r="1" spans="1:21" x14ac:dyDescent="0.4">
      <c r="A1" s="6" t="s">
        <v>0</v>
      </c>
      <c r="B1" s="6"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6" t="s">
        <v>684</v>
      </c>
      <c r="R1" s="7" t="s">
        <v>659</v>
      </c>
      <c r="S1" s="6" t="s">
        <v>888</v>
      </c>
      <c r="T1" s="156" t="s">
        <v>2627</v>
      </c>
      <c r="U1" s="156" t="s">
        <v>2630</v>
      </c>
    </row>
    <row r="2" spans="1:21" x14ac:dyDescent="0.4">
      <c r="A2" s="37"/>
      <c r="B2" s="37"/>
      <c r="C2" s="37"/>
      <c r="D2" s="37"/>
      <c r="E2" s="9"/>
      <c r="F2" s="102"/>
      <c r="G2" s="102"/>
      <c r="H2" s="102"/>
      <c r="I2" s="153"/>
      <c r="J2" s="84"/>
      <c r="K2" s="153"/>
      <c r="L2" s="84"/>
      <c r="M2" s="9"/>
      <c r="N2" s="9"/>
      <c r="O2" s="139"/>
      <c r="P2" s="37"/>
      <c r="Q2" s="37"/>
      <c r="R2" s="12"/>
      <c r="S2" s="38"/>
      <c r="T2" s="37"/>
      <c r="U2" s="37"/>
    </row>
    <row r="3" spans="1:21" x14ac:dyDescent="0.4">
      <c r="A3" s="37"/>
      <c r="B3" s="37"/>
      <c r="C3" s="37"/>
      <c r="D3" s="37"/>
      <c r="E3" s="9"/>
      <c r="F3" s="102"/>
      <c r="G3" s="102"/>
      <c r="H3" s="102"/>
      <c r="I3" s="153"/>
      <c r="J3" s="84"/>
      <c r="K3" s="153"/>
      <c r="L3" s="84"/>
      <c r="M3" s="9"/>
      <c r="N3" s="9"/>
      <c r="O3" s="9"/>
      <c r="P3" s="37"/>
      <c r="Q3" s="37"/>
      <c r="R3" s="12"/>
      <c r="S3" s="38"/>
      <c r="T3" s="37"/>
      <c r="U3" s="37"/>
    </row>
    <row r="4" spans="1:21" x14ac:dyDescent="0.4">
      <c r="A4" s="37"/>
      <c r="B4" s="37"/>
      <c r="C4" s="37"/>
      <c r="D4" s="37"/>
      <c r="E4" s="9"/>
      <c r="F4" s="102"/>
      <c r="G4" s="102"/>
      <c r="H4" s="102"/>
      <c r="I4" s="153"/>
      <c r="J4" s="84"/>
      <c r="K4" s="153"/>
      <c r="L4" s="84"/>
      <c r="M4" s="9"/>
      <c r="N4" s="9"/>
      <c r="O4" s="9"/>
      <c r="P4" s="37"/>
      <c r="Q4" s="37"/>
      <c r="R4" s="12"/>
      <c r="S4" s="38"/>
      <c r="T4" s="37"/>
      <c r="U4" s="37"/>
    </row>
    <row r="5" spans="1:21" x14ac:dyDescent="0.4">
      <c r="A5" s="37"/>
      <c r="B5" s="37"/>
      <c r="C5" s="37"/>
      <c r="D5" s="37"/>
      <c r="E5" s="9"/>
      <c r="F5" s="102"/>
      <c r="G5" s="102"/>
      <c r="H5" s="102"/>
      <c r="I5" s="153"/>
      <c r="J5" s="84"/>
      <c r="K5" s="153"/>
      <c r="L5" s="84"/>
      <c r="M5" s="9"/>
      <c r="N5" s="9"/>
      <c r="O5" s="9"/>
      <c r="P5" s="37"/>
      <c r="Q5" s="37"/>
      <c r="R5" s="12"/>
      <c r="S5" s="38"/>
      <c r="T5" s="37"/>
      <c r="U5" s="37"/>
    </row>
    <row r="6" spans="1:21" x14ac:dyDescent="0.4">
      <c r="A6" s="37"/>
      <c r="B6" s="37"/>
      <c r="C6" s="37"/>
      <c r="D6" s="37"/>
      <c r="E6" s="9"/>
      <c r="F6" s="102"/>
      <c r="G6" s="102"/>
      <c r="H6" s="102"/>
      <c r="I6" s="153"/>
      <c r="J6" s="84"/>
      <c r="K6" s="153"/>
      <c r="L6" s="84"/>
      <c r="M6" s="9"/>
      <c r="N6" s="9"/>
      <c r="O6" s="139"/>
      <c r="P6" s="37"/>
      <c r="Q6" s="37"/>
      <c r="R6" s="12"/>
      <c r="S6" s="38"/>
      <c r="T6" s="37"/>
      <c r="U6" s="37"/>
    </row>
    <row r="7" spans="1:21" x14ac:dyDescent="0.4">
      <c r="A7" s="37"/>
      <c r="B7" s="37"/>
      <c r="C7" s="37"/>
      <c r="D7" s="37"/>
      <c r="E7" s="9"/>
      <c r="F7" s="102"/>
      <c r="G7" s="102"/>
      <c r="H7" s="102"/>
      <c r="I7" s="153"/>
      <c r="J7" s="84"/>
      <c r="K7" s="153"/>
      <c r="L7" s="84"/>
      <c r="M7" s="9"/>
      <c r="N7" s="9"/>
      <c r="O7" s="9"/>
      <c r="P7" s="37"/>
      <c r="Q7" s="37"/>
      <c r="R7" s="12"/>
      <c r="S7" s="38"/>
      <c r="T7" s="37"/>
      <c r="U7" s="37"/>
    </row>
    <row r="8" spans="1:21" x14ac:dyDescent="0.4">
      <c r="A8" s="37"/>
      <c r="B8" s="37"/>
      <c r="C8" s="37"/>
      <c r="D8" s="37"/>
      <c r="E8" s="9"/>
      <c r="F8" s="102"/>
      <c r="G8" s="102"/>
      <c r="H8" s="102"/>
      <c r="I8" s="153"/>
      <c r="J8" s="84"/>
      <c r="K8" s="153"/>
      <c r="L8" s="84"/>
      <c r="M8" s="9"/>
      <c r="N8" s="9"/>
      <c r="O8" s="9"/>
      <c r="P8" s="37"/>
      <c r="Q8" s="37"/>
      <c r="R8" s="12"/>
      <c r="S8" s="38"/>
      <c r="T8" s="37"/>
      <c r="U8" s="37"/>
    </row>
    <row r="9" spans="1:21" x14ac:dyDescent="0.4">
      <c r="A9" s="37"/>
      <c r="B9" s="37"/>
      <c r="C9" s="37"/>
      <c r="D9" s="37"/>
      <c r="E9" s="9"/>
      <c r="F9" s="102"/>
      <c r="G9" s="102"/>
      <c r="H9" s="102"/>
      <c r="I9" s="153"/>
      <c r="J9" s="84"/>
      <c r="K9" s="153"/>
      <c r="L9" s="84"/>
      <c r="M9" s="9"/>
      <c r="N9" s="9"/>
      <c r="O9" s="9"/>
      <c r="P9" s="37"/>
      <c r="Q9" s="37"/>
      <c r="R9" s="12"/>
      <c r="S9" s="38"/>
      <c r="T9" s="37"/>
      <c r="U9" s="37"/>
    </row>
    <row r="10" spans="1:21" x14ac:dyDescent="0.4">
      <c r="A10" s="37"/>
      <c r="B10" s="37"/>
      <c r="C10" s="37"/>
      <c r="D10" s="37"/>
      <c r="E10" s="9"/>
      <c r="F10" s="102"/>
      <c r="G10" s="102"/>
      <c r="H10" s="102"/>
      <c r="I10" s="153"/>
      <c r="J10" s="84"/>
      <c r="K10" s="153"/>
      <c r="L10" s="84"/>
      <c r="M10" s="9"/>
      <c r="N10" s="9"/>
      <c r="O10" s="139"/>
      <c r="P10" s="37"/>
      <c r="Q10" s="37"/>
      <c r="R10" s="12"/>
      <c r="S10" s="38"/>
      <c r="T10" s="37"/>
      <c r="U10" s="37"/>
    </row>
    <row r="11" spans="1:21" x14ac:dyDescent="0.4">
      <c r="A11" s="37"/>
      <c r="B11" s="37"/>
      <c r="C11" s="37"/>
      <c r="D11" s="37"/>
      <c r="E11" s="9"/>
      <c r="F11" s="102"/>
      <c r="G11" s="102"/>
      <c r="H11" s="102"/>
      <c r="I11" s="153"/>
      <c r="J11" s="84"/>
      <c r="K11" s="153"/>
      <c r="L11" s="84"/>
      <c r="M11" s="9"/>
      <c r="N11" s="9"/>
      <c r="O11" s="139"/>
      <c r="P11" s="37"/>
      <c r="Q11" s="37"/>
      <c r="R11" s="12"/>
      <c r="S11" s="38"/>
      <c r="T11" s="37"/>
      <c r="U11" s="37"/>
    </row>
    <row r="12" spans="1:21" x14ac:dyDescent="0.4">
      <c r="A12" s="37"/>
      <c r="B12" s="37"/>
      <c r="C12" s="37"/>
      <c r="D12" s="37"/>
      <c r="E12" s="9"/>
      <c r="F12" s="102"/>
      <c r="G12" s="102"/>
      <c r="H12" s="102"/>
      <c r="I12" s="153"/>
      <c r="J12" s="84"/>
      <c r="K12" s="153"/>
      <c r="L12" s="84"/>
      <c r="M12" s="9"/>
      <c r="N12" s="9"/>
      <c r="O12" s="139"/>
      <c r="P12" s="37"/>
      <c r="Q12" s="37"/>
      <c r="R12" s="12"/>
      <c r="S12" s="38"/>
      <c r="T12" s="37"/>
      <c r="U12" s="37"/>
    </row>
    <row r="13" spans="1:21" x14ac:dyDescent="0.4">
      <c r="A13" s="37"/>
      <c r="B13" s="37"/>
      <c r="C13" s="37"/>
      <c r="D13" s="37"/>
      <c r="E13" s="9"/>
      <c r="F13" s="102"/>
      <c r="G13" s="102"/>
      <c r="H13" s="102"/>
      <c r="I13" s="153"/>
      <c r="J13" s="84"/>
      <c r="K13" s="153"/>
      <c r="L13" s="84"/>
      <c r="M13" s="9"/>
      <c r="N13" s="9"/>
      <c r="O13" s="139"/>
      <c r="P13" s="37"/>
      <c r="Q13" s="37"/>
      <c r="R13" s="12"/>
      <c r="S13" s="38"/>
      <c r="T13" s="37"/>
      <c r="U13" s="37"/>
    </row>
    <row r="14" spans="1:21" x14ac:dyDescent="0.4">
      <c r="A14" s="37"/>
      <c r="B14" s="37"/>
      <c r="C14" s="37"/>
      <c r="D14" s="37"/>
      <c r="E14" s="9"/>
      <c r="F14" s="102"/>
      <c r="G14" s="102"/>
      <c r="H14" s="102"/>
      <c r="I14" s="153"/>
      <c r="J14" s="84"/>
      <c r="K14" s="153"/>
      <c r="L14" s="84"/>
      <c r="M14" s="9"/>
      <c r="N14" s="9"/>
      <c r="O14" s="139"/>
      <c r="P14" s="37"/>
      <c r="Q14" s="37"/>
      <c r="R14" s="12"/>
      <c r="S14" s="38"/>
      <c r="T14" s="37"/>
      <c r="U14" s="37"/>
    </row>
    <row r="15" spans="1:21" x14ac:dyDescent="0.4">
      <c r="A15" s="37"/>
      <c r="B15" s="37"/>
      <c r="C15" s="37"/>
      <c r="D15" s="37"/>
      <c r="E15" s="9"/>
      <c r="F15" s="102"/>
      <c r="G15" s="102"/>
      <c r="H15" s="102"/>
      <c r="I15" s="153"/>
      <c r="J15" s="84"/>
      <c r="K15" s="153"/>
      <c r="L15" s="84"/>
      <c r="M15" s="9"/>
      <c r="N15" s="9"/>
      <c r="O15" s="139"/>
      <c r="P15" s="37"/>
      <c r="Q15" s="37"/>
      <c r="R15" s="12"/>
      <c r="S15" s="38"/>
      <c r="T15" s="37"/>
      <c r="U15" s="37"/>
    </row>
    <row r="16" spans="1:21" x14ac:dyDescent="0.4">
      <c r="A16" s="37"/>
      <c r="B16" s="37"/>
      <c r="C16" s="37"/>
      <c r="D16" s="37"/>
      <c r="E16" s="9"/>
      <c r="F16" s="102"/>
      <c r="G16" s="102"/>
      <c r="H16" s="102"/>
      <c r="I16" s="153"/>
      <c r="J16" s="84"/>
      <c r="K16" s="153"/>
      <c r="L16" s="84"/>
      <c r="M16" s="9"/>
      <c r="N16" s="9"/>
      <c r="O16" s="139"/>
      <c r="P16" s="37"/>
      <c r="Q16" s="37"/>
      <c r="R16" s="12"/>
      <c r="S16" s="38"/>
      <c r="T16" s="37"/>
      <c r="U16" s="37"/>
    </row>
    <row r="17" spans="1:21" x14ac:dyDescent="0.4">
      <c r="A17" s="37"/>
      <c r="B17" s="37"/>
      <c r="C17" s="37"/>
      <c r="D17" s="37"/>
      <c r="E17" s="9"/>
      <c r="F17" s="102"/>
      <c r="G17" s="102"/>
      <c r="H17" s="102"/>
      <c r="I17" s="153"/>
      <c r="J17" s="84"/>
      <c r="K17" s="153"/>
      <c r="L17" s="84"/>
      <c r="M17" s="9"/>
      <c r="N17" s="9"/>
      <c r="O17" s="139"/>
      <c r="P17" s="37"/>
      <c r="Q17" s="37"/>
      <c r="R17" s="12"/>
      <c r="S17" s="38"/>
      <c r="T17" s="37"/>
      <c r="U17" s="37"/>
    </row>
    <row r="18" spans="1:21" x14ac:dyDescent="0.4">
      <c r="A18" s="37"/>
      <c r="B18" s="37"/>
      <c r="C18" s="37"/>
      <c r="D18" s="37"/>
      <c r="E18" s="9"/>
      <c r="F18" s="102"/>
      <c r="G18" s="102"/>
      <c r="H18" s="102"/>
      <c r="I18" s="153"/>
      <c r="J18" s="84"/>
      <c r="K18" s="153"/>
      <c r="L18" s="84"/>
      <c r="M18" s="9"/>
      <c r="N18" s="9"/>
      <c r="O18" s="139"/>
      <c r="P18" s="37"/>
      <c r="Q18" s="37"/>
      <c r="R18" s="12"/>
      <c r="S18" s="38"/>
      <c r="T18" s="37"/>
      <c r="U18" s="37"/>
    </row>
    <row r="19" spans="1:21" x14ac:dyDescent="0.4">
      <c r="A19" s="37"/>
      <c r="B19" s="37"/>
      <c r="C19" s="37"/>
      <c r="D19" s="37"/>
      <c r="E19" s="9"/>
      <c r="F19" s="102"/>
      <c r="G19" s="102"/>
      <c r="H19" s="102"/>
      <c r="I19" s="153"/>
      <c r="J19" s="84"/>
      <c r="K19" s="153"/>
      <c r="L19" s="84"/>
      <c r="M19" s="9"/>
      <c r="N19" s="9"/>
      <c r="O19" s="139"/>
      <c r="P19" s="37"/>
      <c r="Q19" s="37"/>
      <c r="R19" s="12"/>
      <c r="S19" s="38"/>
      <c r="T19" s="37"/>
      <c r="U19" s="37"/>
    </row>
    <row r="20" spans="1:21" x14ac:dyDescent="0.4">
      <c r="A20" s="37"/>
      <c r="B20" s="37"/>
      <c r="C20" s="37"/>
      <c r="D20" s="37"/>
      <c r="E20" s="9"/>
      <c r="F20" s="102"/>
      <c r="G20" s="102"/>
      <c r="H20" s="102"/>
      <c r="I20" s="153"/>
      <c r="J20" s="84"/>
      <c r="K20" s="153"/>
      <c r="L20" s="84"/>
      <c r="M20" s="9"/>
      <c r="N20" s="9"/>
      <c r="O20" s="139"/>
      <c r="P20" s="37"/>
      <c r="Q20" s="37"/>
      <c r="R20" s="12"/>
      <c r="S20" s="38"/>
      <c r="T20" s="37"/>
      <c r="U20" s="37"/>
    </row>
    <row r="21" spans="1:21" x14ac:dyDescent="0.4">
      <c r="A21" s="37"/>
      <c r="B21" s="37"/>
      <c r="C21" s="37"/>
      <c r="D21" s="37"/>
      <c r="E21" s="9"/>
      <c r="F21" s="102"/>
      <c r="G21" s="102"/>
      <c r="H21" s="102"/>
      <c r="I21" s="153"/>
      <c r="J21" s="84"/>
      <c r="K21" s="153"/>
      <c r="L21" s="84"/>
      <c r="M21" s="9"/>
      <c r="N21" s="9"/>
      <c r="O21" s="139"/>
      <c r="P21" s="37"/>
      <c r="Q21" s="37"/>
      <c r="R21" s="12"/>
      <c r="S21" s="38"/>
      <c r="T21" s="37"/>
      <c r="U21" s="37"/>
    </row>
    <row r="22" spans="1:21" x14ac:dyDescent="0.4">
      <c r="A22" s="37"/>
      <c r="B22" s="37"/>
      <c r="C22" s="37"/>
      <c r="D22" s="37"/>
      <c r="E22" s="9"/>
      <c r="F22" s="102"/>
      <c r="G22" s="102"/>
      <c r="H22" s="102"/>
      <c r="I22" s="153"/>
      <c r="J22" s="84"/>
      <c r="K22" s="153"/>
      <c r="L22" s="84"/>
      <c r="M22" s="9"/>
      <c r="N22" s="9"/>
      <c r="O22" s="139"/>
      <c r="P22" s="37"/>
      <c r="Q22" s="37"/>
      <c r="R22" s="12"/>
      <c r="S22" s="38"/>
      <c r="T22" s="37"/>
      <c r="U22" s="37"/>
    </row>
    <row r="23" spans="1:21" x14ac:dyDescent="0.4">
      <c r="A23" s="37"/>
      <c r="B23" s="37"/>
      <c r="C23" s="37"/>
      <c r="D23" s="37"/>
      <c r="E23" s="9"/>
      <c r="F23" s="102"/>
      <c r="G23" s="102"/>
      <c r="H23" s="102"/>
      <c r="I23" s="153"/>
      <c r="J23" s="84"/>
      <c r="K23" s="153"/>
      <c r="L23" s="84"/>
      <c r="M23" s="9"/>
      <c r="N23" s="9"/>
      <c r="O23" s="139"/>
      <c r="P23" s="37"/>
      <c r="Q23" s="37"/>
      <c r="R23" s="12"/>
      <c r="S23" s="38"/>
      <c r="T23" s="37"/>
      <c r="U23" s="37"/>
    </row>
    <row r="24" spans="1:21" x14ac:dyDescent="0.4">
      <c r="A24" s="37"/>
      <c r="B24" s="37"/>
      <c r="C24" s="37"/>
      <c r="D24" s="37"/>
      <c r="E24" s="9"/>
      <c r="F24" s="102"/>
      <c r="G24" s="102"/>
      <c r="H24" s="102"/>
      <c r="I24" s="153"/>
      <c r="J24" s="84"/>
      <c r="K24" s="153"/>
      <c r="L24" s="84"/>
      <c r="M24" s="9"/>
      <c r="N24" s="9"/>
      <c r="O24" s="139"/>
      <c r="P24" s="37"/>
      <c r="Q24" s="37"/>
      <c r="R24" s="12"/>
      <c r="S24" s="38"/>
      <c r="T24" s="37"/>
      <c r="U24" s="37"/>
    </row>
    <row r="25" spans="1:21" x14ac:dyDescent="0.4">
      <c r="A25" s="37"/>
      <c r="B25" s="37"/>
      <c r="C25" s="37"/>
      <c r="D25" s="37"/>
      <c r="E25" s="9"/>
      <c r="F25" s="102"/>
      <c r="G25" s="102"/>
      <c r="H25" s="102"/>
      <c r="I25" s="153"/>
      <c r="J25" s="84"/>
      <c r="K25" s="153"/>
      <c r="L25" s="84"/>
      <c r="M25" s="9"/>
      <c r="N25" s="9"/>
      <c r="O25" s="139"/>
      <c r="P25" s="37"/>
      <c r="Q25" s="37"/>
      <c r="R25" s="12"/>
      <c r="S25" s="38"/>
      <c r="T25" s="37"/>
      <c r="U25" s="37"/>
    </row>
    <row r="26" spans="1:21" x14ac:dyDescent="0.4">
      <c r="A26" s="37"/>
      <c r="B26" s="37"/>
      <c r="C26" s="37"/>
      <c r="D26" s="37"/>
      <c r="E26" s="9"/>
      <c r="F26" s="102"/>
      <c r="G26" s="102"/>
      <c r="H26" s="102"/>
      <c r="I26" s="153"/>
      <c r="J26" s="84"/>
      <c r="K26" s="153"/>
      <c r="L26" s="84"/>
      <c r="M26" s="9"/>
      <c r="N26" s="9"/>
      <c r="O26" s="139"/>
      <c r="P26" s="37"/>
      <c r="Q26" s="37"/>
      <c r="R26" s="12"/>
      <c r="S26" s="38"/>
      <c r="T26" s="37"/>
      <c r="U26" s="37"/>
    </row>
    <row r="27" spans="1:21" x14ac:dyDescent="0.4">
      <c r="A27" s="37"/>
      <c r="B27" s="37"/>
      <c r="C27" s="37"/>
      <c r="D27" s="37"/>
      <c r="E27" s="9"/>
      <c r="F27" s="102"/>
      <c r="G27" s="102"/>
      <c r="H27" s="102"/>
      <c r="I27" s="153"/>
      <c r="J27" s="84"/>
      <c r="K27" s="153"/>
      <c r="L27" s="84"/>
      <c r="M27" s="9"/>
      <c r="N27" s="9"/>
      <c r="O27" s="139"/>
      <c r="P27" s="37"/>
      <c r="Q27" s="37"/>
      <c r="R27" s="12"/>
      <c r="S27" s="38"/>
      <c r="T27" s="37"/>
      <c r="U27" s="37"/>
    </row>
    <row r="28" spans="1:21" x14ac:dyDescent="0.4">
      <c r="A28" s="37"/>
      <c r="B28" s="37"/>
      <c r="C28" s="37"/>
      <c r="D28" s="37"/>
      <c r="E28" s="9"/>
      <c r="F28" s="102"/>
      <c r="G28" s="102"/>
      <c r="H28" s="102"/>
      <c r="I28" s="153"/>
      <c r="J28" s="84"/>
      <c r="K28" s="153"/>
      <c r="L28" s="84"/>
      <c r="M28" s="9"/>
      <c r="N28" s="9"/>
      <c r="O28" s="139"/>
      <c r="P28" s="37"/>
      <c r="Q28" s="37"/>
      <c r="R28" s="12"/>
      <c r="S28" s="38"/>
      <c r="T28" s="37"/>
      <c r="U28" s="37"/>
    </row>
    <row r="29" spans="1:21" x14ac:dyDescent="0.4">
      <c r="A29" s="37"/>
      <c r="B29" s="37"/>
      <c r="C29" s="37"/>
      <c r="D29" s="37"/>
      <c r="E29" s="9"/>
      <c r="F29" s="102"/>
      <c r="G29" s="102"/>
      <c r="H29" s="102"/>
      <c r="I29" s="153"/>
      <c r="J29" s="84"/>
      <c r="K29" s="153"/>
      <c r="L29" s="84"/>
      <c r="M29" s="9"/>
      <c r="N29" s="9"/>
      <c r="O29" s="139"/>
      <c r="P29" s="37"/>
      <c r="Q29" s="37"/>
      <c r="R29" s="12"/>
      <c r="S29" s="38"/>
      <c r="T29" s="37"/>
      <c r="U29" s="37"/>
    </row>
    <row r="30" spans="1:21" x14ac:dyDescent="0.4">
      <c r="A30" s="37"/>
      <c r="B30" s="37"/>
      <c r="C30" s="37"/>
      <c r="D30" s="37"/>
      <c r="E30" s="9"/>
      <c r="F30" s="102"/>
      <c r="G30" s="102"/>
      <c r="H30" s="102"/>
      <c r="I30" s="153"/>
      <c r="J30" s="84"/>
      <c r="K30" s="153"/>
      <c r="L30" s="84"/>
      <c r="M30" s="9"/>
      <c r="N30" s="9"/>
      <c r="O30" s="139"/>
      <c r="P30" s="37"/>
      <c r="Q30" s="37"/>
      <c r="R30" s="12"/>
      <c r="S30" s="38"/>
      <c r="T30" s="37"/>
      <c r="U30" s="37"/>
    </row>
    <row r="31" spans="1:21" x14ac:dyDescent="0.4">
      <c r="A31" s="37"/>
      <c r="B31" s="37"/>
      <c r="C31" s="37"/>
      <c r="D31" s="37"/>
      <c r="E31" s="9"/>
      <c r="F31" s="102"/>
      <c r="G31" s="102"/>
      <c r="H31" s="102"/>
      <c r="I31" s="153"/>
      <c r="J31" s="84"/>
      <c r="K31" s="153"/>
      <c r="L31" s="84"/>
      <c r="M31" s="9"/>
      <c r="N31" s="9"/>
      <c r="O31" s="139"/>
      <c r="P31" s="37"/>
      <c r="Q31" s="37"/>
      <c r="R31" s="12"/>
      <c r="S31" s="38"/>
      <c r="T31" s="37"/>
      <c r="U31" s="37"/>
    </row>
    <row r="32" spans="1:21" x14ac:dyDescent="0.4">
      <c r="A32" s="37"/>
      <c r="B32" s="37"/>
      <c r="C32" s="37"/>
      <c r="D32" s="37"/>
      <c r="E32" s="9"/>
      <c r="F32" s="102"/>
      <c r="G32" s="102"/>
      <c r="H32" s="102"/>
      <c r="I32" s="153"/>
      <c r="J32" s="84"/>
      <c r="K32" s="153"/>
      <c r="L32" s="84"/>
      <c r="M32" s="9"/>
      <c r="N32" s="9"/>
      <c r="O32" s="139"/>
      <c r="P32" s="37"/>
      <c r="Q32" s="37"/>
      <c r="R32" s="12"/>
      <c r="S32" s="38"/>
      <c r="T32" s="37"/>
      <c r="U32" s="37"/>
    </row>
    <row r="33" spans="1:21" x14ac:dyDescent="0.4">
      <c r="A33" s="37"/>
      <c r="B33" s="37"/>
      <c r="C33" s="37"/>
      <c r="D33" s="37"/>
      <c r="E33" s="9"/>
      <c r="F33" s="102"/>
      <c r="G33" s="102"/>
      <c r="H33" s="102"/>
      <c r="I33" s="153"/>
      <c r="J33" s="84"/>
      <c r="K33" s="153"/>
      <c r="L33" s="84"/>
      <c r="M33" s="9"/>
      <c r="N33" s="9"/>
      <c r="O33" s="139"/>
      <c r="P33" s="37"/>
      <c r="Q33" s="37"/>
      <c r="R33" s="12"/>
      <c r="S33" s="38"/>
      <c r="T33" s="37"/>
      <c r="U33" s="37"/>
    </row>
    <row r="34" spans="1:21" x14ac:dyDescent="0.4">
      <c r="A34" s="37"/>
      <c r="B34" s="37"/>
      <c r="C34" s="37"/>
      <c r="D34" s="37"/>
      <c r="E34" s="9"/>
      <c r="F34" s="102"/>
      <c r="G34" s="102"/>
      <c r="H34" s="102"/>
      <c r="I34" s="153"/>
      <c r="J34" s="84"/>
      <c r="K34" s="153"/>
      <c r="L34" s="84"/>
      <c r="M34" s="9"/>
      <c r="N34" s="9"/>
      <c r="O34" s="139"/>
      <c r="P34" s="37"/>
      <c r="Q34" s="37"/>
      <c r="R34" s="12"/>
      <c r="S34" s="38"/>
      <c r="T34" s="37"/>
      <c r="U34" s="37"/>
    </row>
    <row r="35" spans="1:21" x14ac:dyDescent="0.4">
      <c r="A35" s="37"/>
      <c r="B35" s="37"/>
      <c r="C35" s="37"/>
      <c r="D35" s="37"/>
      <c r="E35" s="9"/>
      <c r="F35" s="102"/>
      <c r="G35" s="102"/>
      <c r="H35" s="102"/>
      <c r="I35" s="153"/>
      <c r="J35" s="84"/>
      <c r="K35" s="153"/>
      <c r="L35" s="84"/>
      <c r="M35" s="9"/>
      <c r="N35" s="9"/>
      <c r="O35" s="139"/>
      <c r="P35" s="37"/>
      <c r="Q35" s="37"/>
      <c r="R35" s="12"/>
      <c r="S35" s="38"/>
      <c r="T35" s="37"/>
      <c r="U35" s="37"/>
    </row>
    <row r="36" spans="1:21" x14ac:dyDescent="0.4">
      <c r="A36" s="37"/>
      <c r="B36" s="37"/>
      <c r="C36" s="37"/>
      <c r="D36" s="37"/>
      <c r="E36" s="9"/>
      <c r="F36" s="102"/>
      <c r="G36" s="102"/>
      <c r="H36" s="102"/>
      <c r="I36" s="153"/>
      <c r="J36" s="84"/>
      <c r="K36" s="153"/>
      <c r="L36" s="84"/>
      <c r="M36" s="9"/>
      <c r="N36" s="9"/>
      <c r="O36" s="139"/>
      <c r="P36" s="37"/>
      <c r="Q36" s="37"/>
      <c r="R36" s="12"/>
      <c r="S36" s="38"/>
      <c r="T36" s="37"/>
      <c r="U36" s="37"/>
    </row>
    <row r="37" spans="1:21" x14ac:dyDescent="0.4">
      <c r="A37" s="37"/>
      <c r="B37" s="37"/>
      <c r="C37" s="37"/>
      <c r="D37" s="37"/>
      <c r="E37" s="9"/>
      <c r="F37" s="102"/>
      <c r="G37" s="102"/>
      <c r="H37" s="102"/>
      <c r="I37" s="153"/>
      <c r="J37" s="84"/>
      <c r="K37" s="153"/>
      <c r="L37" s="84"/>
      <c r="M37" s="9"/>
      <c r="N37" s="9"/>
      <c r="O37" s="139"/>
      <c r="P37" s="37"/>
      <c r="Q37" s="37"/>
      <c r="R37" s="12"/>
      <c r="S37" s="38"/>
      <c r="T37" s="37"/>
      <c r="U37" s="37"/>
    </row>
    <row r="38" spans="1:21" x14ac:dyDescent="0.4">
      <c r="A38" s="37"/>
      <c r="B38" s="37"/>
      <c r="C38" s="37"/>
      <c r="D38" s="37"/>
      <c r="E38" s="9"/>
      <c r="F38" s="102"/>
      <c r="G38" s="102"/>
      <c r="H38" s="102"/>
      <c r="I38" s="153"/>
      <c r="J38" s="84"/>
      <c r="K38" s="153"/>
      <c r="L38" s="84"/>
      <c r="M38" s="9"/>
      <c r="N38" s="9"/>
      <c r="O38" s="139"/>
      <c r="P38" s="37"/>
      <c r="Q38" s="37"/>
      <c r="R38" s="12"/>
      <c r="S38" s="38"/>
      <c r="T38" s="37"/>
      <c r="U38" s="37"/>
    </row>
    <row r="39" spans="1:21" x14ac:dyDescent="0.4">
      <c r="A39" s="37"/>
      <c r="B39" s="37"/>
      <c r="C39" s="37"/>
      <c r="D39" s="37"/>
      <c r="E39" s="9"/>
      <c r="F39" s="102"/>
      <c r="G39" s="102"/>
      <c r="H39" s="102"/>
      <c r="I39" s="153"/>
      <c r="J39" s="84"/>
      <c r="K39" s="153"/>
      <c r="L39" s="84"/>
      <c r="M39" s="9"/>
      <c r="N39" s="9"/>
      <c r="O39" s="139"/>
      <c r="P39" s="37"/>
      <c r="Q39" s="37"/>
      <c r="R39" s="12"/>
      <c r="S39" s="38"/>
      <c r="T39" s="37"/>
      <c r="U39" s="37"/>
    </row>
    <row r="40" spans="1:21" x14ac:dyDescent="0.4">
      <c r="A40" s="37"/>
      <c r="B40" s="37"/>
      <c r="C40" s="37"/>
      <c r="D40" s="37"/>
      <c r="E40" s="9"/>
      <c r="F40" s="102"/>
      <c r="G40" s="102"/>
      <c r="H40" s="102"/>
      <c r="I40" s="153"/>
      <c r="J40" s="84"/>
      <c r="K40" s="153"/>
      <c r="L40" s="84"/>
      <c r="M40" s="9"/>
      <c r="N40" s="9"/>
      <c r="O40" s="139"/>
      <c r="P40" s="37"/>
      <c r="Q40" s="37"/>
      <c r="R40" s="12"/>
      <c r="S40" s="38"/>
      <c r="T40" s="37"/>
      <c r="U40" s="37"/>
    </row>
    <row r="41" spans="1:21" x14ac:dyDescent="0.4">
      <c r="A41" s="37"/>
      <c r="B41" s="37"/>
      <c r="C41" s="37"/>
      <c r="D41" s="37"/>
      <c r="E41" s="9"/>
      <c r="F41" s="102"/>
      <c r="G41" s="102"/>
      <c r="H41" s="102"/>
      <c r="I41" s="153"/>
      <c r="J41" s="84"/>
      <c r="K41" s="153"/>
      <c r="L41" s="84"/>
      <c r="M41" s="9"/>
      <c r="N41" s="9"/>
      <c r="O41" s="139"/>
      <c r="P41" s="37"/>
      <c r="Q41" s="37"/>
      <c r="R41" s="12"/>
      <c r="S41" s="38"/>
      <c r="T41" s="37"/>
      <c r="U41" s="37"/>
    </row>
    <row r="42" spans="1:21" x14ac:dyDescent="0.4">
      <c r="A42" s="37"/>
      <c r="B42" s="37"/>
      <c r="C42" s="37"/>
      <c r="D42" s="37"/>
      <c r="E42" s="9"/>
      <c r="F42" s="102"/>
      <c r="G42" s="102"/>
      <c r="H42" s="102"/>
      <c r="I42" s="153"/>
      <c r="J42" s="84"/>
      <c r="K42" s="153"/>
      <c r="L42" s="84"/>
      <c r="M42" s="9"/>
      <c r="N42" s="9"/>
      <c r="O42" s="139"/>
      <c r="P42" s="37"/>
      <c r="Q42" s="37"/>
      <c r="R42" s="12"/>
      <c r="S42" s="38"/>
      <c r="T42" s="37"/>
      <c r="U42" s="37"/>
    </row>
    <row r="43" spans="1:21" x14ac:dyDescent="0.4">
      <c r="A43" s="37"/>
      <c r="B43" s="37"/>
      <c r="C43" s="37"/>
      <c r="D43" s="37"/>
      <c r="E43" s="9"/>
      <c r="F43" s="102"/>
      <c r="G43" s="102"/>
      <c r="H43" s="102"/>
      <c r="I43" s="153"/>
      <c r="J43" s="84"/>
      <c r="K43" s="153"/>
      <c r="L43" s="84"/>
      <c r="M43" s="9"/>
      <c r="N43" s="9"/>
      <c r="O43" s="139"/>
      <c r="P43" s="37"/>
      <c r="Q43" s="37"/>
      <c r="R43" s="12"/>
      <c r="S43" s="38"/>
      <c r="T43" s="37"/>
      <c r="U43" s="37"/>
    </row>
    <row r="44" spans="1:21" x14ac:dyDescent="0.4">
      <c r="A44" s="37"/>
      <c r="B44" s="37"/>
      <c r="C44" s="37"/>
      <c r="D44" s="37"/>
      <c r="E44" s="9"/>
      <c r="F44" s="102"/>
      <c r="G44" s="102"/>
      <c r="H44" s="102"/>
      <c r="I44" s="153"/>
      <c r="J44" s="84"/>
      <c r="K44" s="153"/>
      <c r="L44" s="84"/>
      <c r="M44" s="9"/>
      <c r="N44" s="9"/>
      <c r="O44" s="139"/>
      <c r="P44" s="37"/>
      <c r="Q44" s="37"/>
      <c r="R44" s="12"/>
      <c r="S44" s="38"/>
      <c r="T44" s="37"/>
      <c r="U44" s="37"/>
    </row>
    <row r="45" spans="1:21" x14ac:dyDescent="0.4">
      <c r="A45" s="37"/>
      <c r="B45" s="37"/>
      <c r="C45" s="37"/>
      <c r="D45" s="37"/>
      <c r="E45" s="9"/>
      <c r="F45" s="102"/>
      <c r="G45" s="102"/>
      <c r="H45" s="102"/>
      <c r="I45" s="153"/>
      <c r="J45" s="84"/>
      <c r="K45" s="153"/>
      <c r="L45" s="84"/>
      <c r="M45" s="9"/>
      <c r="N45" s="9"/>
      <c r="O45" s="139"/>
      <c r="P45" s="37"/>
      <c r="Q45" s="37"/>
      <c r="R45" s="12"/>
      <c r="S45" s="38"/>
      <c r="T45" s="37"/>
      <c r="U45" s="37"/>
    </row>
    <row r="46" spans="1:21" x14ac:dyDescent="0.4">
      <c r="A46" s="37"/>
      <c r="B46" s="37"/>
      <c r="C46" s="37"/>
      <c r="D46" s="37"/>
      <c r="E46" s="9"/>
      <c r="F46" s="102"/>
      <c r="G46" s="102"/>
      <c r="H46" s="102"/>
      <c r="I46" s="153"/>
      <c r="J46" s="84"/>
      <c r="K46" s="153"/>
      <c r="L46" s="84"/>
      <c r="M46" s="9"/>
      <c r="N46" s="9"/>
      <c r="O46" s="139"/>
      <c r="P46" s="37"/>
      <c r="Q46" s="37"/>
      <c r="R46" s="12"/>
      <c r="S46" s="38"/>
      <c r="T46" s="37"/>
      <c r="U46" s="37"/>
    </row>
    <row r="47" spans="1:21" x14ac:dyDescent="0.4">
      <c r="A47" s="37"/>
      <c r="B47" s="37"/>
      <c r="C47" s="37"/>
      <c r="D47" s="37"/>
      <c r="E47" s="9"/>
      <c r="F47" s="102"/>
      <c r="G47" s="102"/>
      <c r="H47" s="102"/>
      <c r="I47" s="153"/>
      <c r="J47" s="84"/>
      <c r="K47" s="153"/>
      <c r="L47" s="84"/>
      <c r="M47" s="9"/>
      <c r="N47" s="9"/>
      <c r="O47" s="139"/>
      <c r="P47" s="37"/>
      <c r="Q47" s="37"/>
      <c r="R47" s="12"/>
      <c r="S47" s="38"/>
      <c r="T47" s="37"/>
      <c r="U47" s="37"/>
    </row>
    <row r="48" spans="1:21" x14ac:dyDescent="0.4">
      <c r="A48" s="37"/>
      <c r="B48" s="37"/>
      <c r="C48" s="37"/>
      <c r="D48" s="37"/>
      <c r="E48" s="9"/>
      <c r="F48" s="102"/>
      <c r="G48" s="102"/>
      <c r="H48" s="102"/>
      <c r="I48" s="153"/>
      <c r="J48" s="84"/>
      <c r="K48" s="153"/>
      <c r="L48" s="84"/>
      <c r="M48" s="9"/>
      <c r="N48" s="9"/>
      <c r="O48" s="139"/>
      <c r="P48" s="37"/>
      <c r="Q48" s="37"/>
      <c r="R48" s="12"/>
      <c r="S48" s="38"/>
      <c r="T48" s="37"/>
      <c r="U48" s="37"/>
    </row>
    <row r="49" spans="1:21" x14ac:dyDescent="0.4">
      <c r="A49" s="37"/>
      <c r="B49" s="37"/>
      <c r="C49" s="37"/>
      <c r="D49" s="37"/>
      <c r="E49" s="9"/>
      <c r="F49" s="102"/>
      <c r="G49" s="102"/>
      <c r="H49" s="102"/>
      <c r="I49" s="153"/>
      <c r="J49" s="84"/>
      <c r="K49" s="153"/>
      <c r="L49" s="84"/>
      <c r="M49" s="9"/>
      <c r="N49" s="9"/>
      <c r="O49" s="139"/>
      <c r="P49" s="37"/>
      <c r="Q49" s="37"/>
      <c r="R49" s="12"/>
      <c r="S49" s="38"/>
      <c r="T49" s="37"/>
      <c r="U49" s="37"/>
    </row>
    <row r="50" spans="1:21" x14ac:dyDescent="0.4">
      <c r="A50" s="37"/>
      <c r="B50" s="37"/>
      <c r="C50" s="37"/>
      <c r="D50" s="37"/>
      <c r="E50" s="9"/>
      <c r="F50" s="102"/>
      <c r="G50" s="102"/>
      <c r="H50" s="102"/>
      <c r="I50" s="153"/>
      <c r="J50" s="84"/>
      <c r="K50" s="153"/>
      <c r="L50" s="84"/>
      <c r="M50" s="9"/>
      <c r="N50" s="9"/>
      <c r="O50" s="139"/>
      <c r="P50" s="37"/>
      <c r="Q50" s="37"/>
      <c r="R50" s="12"/>
      <c r="S50" s="38"/>
      <c r="T50" s="37"/>
      <c r="U50" s="37"/>
    </row>
    <row r="51" spans="1:21" x14ac:dyDescent="0.4">
      <c r="A51" s="37"/>
      <c r="B51" s="37"/>
      <c r="C51" s="37"/>
      <c r="D51" s="37"/>
      <c r="E51" s="9"/>
      <c r="F51" s="102"/>
      <c r="G51" s="102"/>
      <c r="H51" s="102"/>
      <c r="I51" s="153"/>
      <c r="J51" s="84"/>
      <c r="K51" s="153"/>
      <c r="L51" s="84"/>
      <c r="M51" s="9"/>
      <c r="N51" s="9"/>
      <c r="O51" s="139"/>
      <c r="P51" s="37"/>
      <c r="Q51" s="37"/>
      <c r="R51" s="12"/>
      <c r="S51" s="38"/>
      <c r="T51" s="37"/>
      <c r="U51" s="37"/>
    </row>
    <row r="52" spans="1:21" x14ac:dyDescent="0.4">
      <c r="A52" s="37"/>
      <c r="B52" s="37"/>
      <c r="C52" s="37"/>
      <c r="D52" s="37"/>
      <c r="E52" s="9"/>
      <c r="F52" s="102"/>
      <c r="G52" s="102"/>
      <c r="H52" s="102"/>
      <c r="I52" s="153"/>
      <c r="J52" s="84"/>
      <c r="K52" s="153"/>
      <c r="L52" s="84"/>
      <c r="M52" s="9"/>
      <c r="N52" s="9"/>
      <c r="O52" s="139"/>
      <c r="P52" s="37"/>
      <c r="Q52" s="37"/>
      <c r="R52" s="12"/>
      <c r="S52" s="38"/>
      <c r="T52" s="37"/>
      <c r="U52" s="37"/>
    </row>
    <row r="53" spans="1:21" x14ac:dyDescent="0.4">
      <c r="A53" s="37"/>
      <c r="B53" s="37"/>
      <c r="C53" s="37"/>
      <c r="D53" s="37"/>
      <c r="E53" s="9"/>
      <c r="F53" s="102"/>
      <c r="G53" s="102"/>
      <c r="H53" s="102"/>
      <c r="I53" s="153"/>
      <c r="J53" s="84"/>
      <c r="K53" s="153"/>
      <c r="L53" s="84"/>
      <c r="M53" s="9"/>
      <c r="N53" s="9"/>
      <c r="O53" s="139"/>
      <c r="P53" s="37"/>
      <c r="Q53" s="37"/>
      <c r="R53" s="12"/>
      <c r="S53" s="38"/>
      <c r="T53" s="37"/>
      <c r="U53" s="37"/>
    </row>
    <row r="54" spans="1:21" x14ac:dyDescent="0.4">
      <c r="A54" s="37"/>
      <c r="B54" s="37"/>
      <c r="C54" s="37"/>
      <c r="D54" s="37"/>
      <c r="E54" s="9"/>
      <c r="F54" s="102"/>
      <c r="G54" s="102"/>
      <c r="H54" s="102"/>
      <c r="I54" s="153"/>
      <c r="J54" s="84"/>
      <c r="K54" s="153"/>
      <c r="L54" s="84"/>
      <c r="M54" s="9"/>
      <c r="N54" s="9"/>
      <c r="O54" s="139"/>
      <c r="P54" s="37"/>
      <c r="Q54" s="37"/>
      <c r="R54" s="12"/>
      <c r="S54" s="38"/>
      <c r="T54" s="37"/>
      <c r="U54" s="37"/>
    </row>
    <row r="55" spans="1:21" x14ac:dyDescent="0.4">
      <c r="A55" s="37"/>
      <c r="B55" s="37"/>
      <c r="C55" s="37"/>
      <c r="D55" s="37"/>
      <c r="E55" s="9"/>
      <c r="F55" s="102"/>
      <c r="G55" s="102"/>
      <c r="H55" s="102"/>
      <c r="I55" s="153"/>
      <c r="J55" s="84"/>
      <c r="K55" s="153"/>
      <c r="L55" s="84"/>
      <c r="M55" s="9"/>
      <c r="N55" s="9"/>
      <c r="O55" s="139"/>
      <c r="P55" s="37"/>
      <c r="Q55" s="37"/>
      <c r="R55" s="12"/>
      <c r="S55" s="38"/>
      <c r="T55" s="37"/>
      <c r="U55" s="37"/>
    </row>
    <row r="56" spans="1:21" x14ac:dyDescent="0.4">
      <c r="A56" s="37"/>
      <c r="B56" s="37"/>
      <c r="C56" s="37"/>
      <c r="D56" s="37"/>
      <c r="E56" s="9"/>
      <c r="F56" s="102"/>
      <c r="G56" s="102"/>
      <c r="H56" s="102"/>
      <c r="I56" s="153"/>
      <c r="J56" s="84"/>
      <c r="K56" s="153"/>
      <c r="L56" s="84"/>
      <c r="M56" s="9"/>
      <c r="N56" s="9"/>
      <c r="O56" s="139"/>
      <c r="P56" s="37"/>
      <c r="Q56" s="37"/>
      <c r="R56" s="12"/>
      <c r="S56" s="38"/>
      <c r="T56" s="37"/>
      <c r="U56" s="37"/>
    </row>
    <row r="57" spans="1:21" x14ac:dyDescent="0.4">
      <c r="A57" s="37"/>
      <c r="B57" s="37"/>
      <c r="C57" s="37"/>
      <c r="D57" s="37"/>
      <c r="E57" s="9"/>
      <c r="F57" s="102"/>
      <c r="G57" s="102"/>
      <c r="H57" s="102"/>
      <c r="I57" s="153"/>
      <c r="J57" s="84"/>
      <c r="K57" s="153"/>
      <c r="L57" s="84"/>
      <c r="M57" s="9"/>
      <c r="N57" s="9"/>
      <c r="O57" s="139"/>
      <c r="P57" s="37"/>
      <c r="Q57" s="37"/>
      <c r="R57" s="12"/>
      <c r="S57" s="38"/>
      <c r="T57" s="37"/>
      <c r="U57" s="37"/>
    </row>
    <row r="58" spans="1:21" x14ac:dyDescent="0.4">
      <c r="A58" s="37"/>
      <c r="B58" s="37"/>
      <c r="C58" s="37"/>
      <c r="D58" s="37"/>
      <c r="E58" s="9"/>
      <c r="F58" s="102"/>
      <c r="G58" s="102"/>
      <c r="H58" s="102"/>
      <c r="I58" s="153"/>
      <c r="J58" s="84"/>
      <c r="K58" s="153"/>
      <c r="L58" s="84"/>
      <c r="M58" s="9"/>
      <c r="N58" s="9"/>
      <c r="O58" s="139"/>
      <c r="P58" s="37"/>
      <c r="Q58" s="37"/>
      <c r="R58" s="12"/>
      <c r="S58" s="38"/>
      <c r="T58" s="37"/>
      <c r="U58" s="37"/>
    </row>
    <row r="59" spans="1:21" x14ac:dyDescent="0.4">
      <c r="A59" s="37"/>
      <c r="B59" s="37"/>
      <c r="C59" s="37"/>
      <c r="D59" s="37"/>
      <c r="E59" s="9"/>
      <c r="F59" s="102"/>
      <c r="G59" s="102"/>
      <c r="H59" s="102"/>
      <c r="I59" s="153"/>
      <c r="J59" s="84"/>
      <c r="K59" s="153"/>
      <c r="L59" s="84"/>
      <c r="M59" s="9"/>
      <c r="N59" s="9"/>
      <c r="O59" s="139"/>
      <c r="P59" s="37"/>
      <c r="Q59" s="37"/>
      <c r="R59" s="12"/>
      <c r="S59" s="38"/>
      <c r="T59" s="37"/>
      <c r="U59" s="37"/>
    </row>
    <row r="60" spans="1:21" x14ac:dyDescent="0.4">
      <c r="A60" s="37"/>
      <c r="B60" s="37"/>
      <c r="C60" s="37"/>
      <c r="D60" s="37"/>
      <c r="E60" s="9"/>
      <c r="F60" s="102"/>
      <c r="G60" s="102"/>
      <c r="H60" s="102"/>
      <c r="I60" s="153"/>
      <c r="J60" s="84"/>
      <c r="K60" s="153"/>
      <c r="L60" s="84"/>
      <c r="M60" s="9"/>
      <c r="N60" s="9"/>
      <c r="O60" s="139"/>
      <c r="P60" s="37"/>
      <c r="Q60" s="37"/>
      <c r="R60" s="12"/>
      <c r="S60" s="38"/>
      <c r="T60" s="37"/>
      <c r="U60" s="37"/>
    </row>
    <row r="61" spans="1:21" x14ac:dyDescent="0.4">
      <c r="A61" s="37"/>
      <c r="B61" s="37"/>
      <c r="C61" s="37"/>
      <c r="D61" s="37"/>
      <c r="E61" s="9"/>
      <c r="F61" s="102"/>
      <c r="G61" s="102"/>
      <c r="H61" s="102"/>
      <c r="I61" s="153"/>
      <c r="J61" s="84"/>
      <c r="K61" s="153"/>
      <c r="L61" s="84"/>
      <c r="M61" s="9"/>
      <c r="N61" s="9"/>
      <c r="O61" s="139"/>
      <c r="P61" s="37"/>
      <c r="Q61" s="37"/>
      <c r="R61" s="12"/>
      <c r="S61" s="38"/>
      <c r="T61" s="37"/>
      <c r="U61" s="37"/>
    </row>
    <row r="62" spans="1:21" x14ac:dyDescent="0.4">
      <c r="A62" s="37"/>
      <c r="B62" s="37"/>
      <c r="C62" s="37"/>
      <c r="D62" s="37"/>
      <c r="E62" s="9"/>
      <c r="F62" s="102"/>
      <c r="G62" s="102"/>
      <c r="H62" s="102"/>
      <c r="I62" s="153"/>
      <c r="J62" s="84"/>
      <c r="K62" s="153"/>
      <c r="L62" s="84"/>
      <c r="M62" s="9"/>
      <c r="N62" s="9"/>
      <c r="O62" s="139"/>
      <c r="P62" s="37"/>
      <c r="Q62" s="37"/>
      <c r="R62" s="12"/>
      <c r="S62" s="38"/>
      <c r="T62" s="37"/>
      <c r="U62" s="37"/>
    </row>
    <row r="63" spans="1:21" x14ac:dyDescent="0.4">
      <c r="A63" s="37"/>
      <c r="B63" s="37"/>
      <c r="C63" s="37"/>
      <c r="D63" s="37"/>
      <c r="E63" s="9"/>
      <c r="F63" s="102"/>
      <c r="G63" s="102"/>
      <c r="H63" s="102"/>
      <c r="I63" s="153"/>
      <c r="J63" s="84"/>
      <c r="K63" s="153"/>
      <c r="L63" s="84"/>
      <c r="M63" s="9"/>
      <c r="N63" s="9"/>
      <c r="O63" s="9"/>
      <c r="P63" s="37"/>
      <c r="Q63" s="37"/>
      <c r="R63" s="12"/>
      <c r="S63" s="38"/>
      <c r="T63" s="37"/>
      <c r="U63" s="37"/>
    </row>
    <row r="64" spans="1:21" x14ac:dyDescent="0.4">
      <c r="A64" s="37"/>
      <c r="B64" s="37"/>
      <c r="C64" s="37"/>
      <c r="D64" s="37"/>
      <c r="E64" s="9"/>
      <c r="F64" s="102"/>
      <c r="G64" s="102"/>
      <c r="H64" s="102"/>
      <c r="I64" s="153"/>
      <c r="J64" s="84"/>
      <c r="K64" s="153"/>
      <c r="L64" s="84"/>
      <c r="M64" s="9"/>
      <c r="N64" s="9"/>
      <c r="O64" s="139"/>
      <c r="P64" s="37"/>
      <c r="Q64" s="37"/>
      <c r="R64" s="12"/>
      <c r="S64" s="38"/>
      <c r="T64" s="37"/>
      <c r="U64" s="37"/>
    </row>
    <row r="65" spans="1:21" x14ac:dyDescent="0.4">
      <c r="A65" s="37"/>
      <c r="B65" s="37"/>
      <c r="C65" s="37"/>
      <c r="D65" s="37"/>
      <c r="E65" s="9"/>
      <c r="F65" s="102"/>
      <c r="G65" s="102"/>
      <c r="H65" s="102"/>
      <c r="I65" s="153"/>
      <c r="J65" s="84"/>
      <c r="K65" s="153"/>
      <c r="L65" s="84"/>
      <c r="M65" s="9"/>
      <c r="N65" s="9"/>
      <c r="O65" s="139"/>
      <c r="P65" s="37"/>
      <c r="Q65" s="37"/>
      <c r="R65" s="12"/>
      <c r="S65" s="38"/>
      <c r="T65" s="37"/>
      <c r="U65" s="37"/>
    </row>
    <row r="66" spans="1:21" x14ac:dyDescent="0.4">
      <c r="A66" s="37"/>
      <c r="B66" s="37"/>
      <c r="C66" s="37"/>
      <c r="D66" s="37"/>
      <c r="E66" s="9"/>
      <c r="F66" s="102"/>
      <c r="G66" s="102"/>
      <c r="H66" s="102"/>
      <c r="I66" s="153"/>
      <c r="J66" s="84"/>
      <c r="K66" s="153"/>
      <c r="L66" s="84"/>
      <c r="M66" s="9"/>
      <c r="N66" s="9"/>
      <c r="O66" s="9"/>
      <c r="P66" s="37"/>
      <c r="Q66" s="37"/>
      <c r="R66" s="12"/>
      <c r="S66" s="38"/>
      <c r="T66" s="37"/>
      <c r="U66" s="37"/>
    </row>
    <row r="67" spans="1:21" x14ac:dyDescent="0.4">
      <c r="A67" s="37"/>
      <c r="B67" s="37"/>
      <c r="C67" s="37"/>
      <c r="D67" s="37"/>
      <c r="E67" s="9"/>
      <c r="F67" s="102"/>
      <c r="G67" s="102"/>
      <c r="H67" s="102"/>
      <c r="I67" s="153"/>
      <c r="J67" s="84"/>
      <c r="K67" s="153"/>
      <c r="L67" s="84"/>
      <c r="M67" s="9"/>
      <c r="N67" s="9"/>
      <c r="O67" s="139"/>
      <c r="P67" s="37"/>
      <c r="Q67" s="37"/>
      <c r="R67" s="12"/>
      <c r="S67" s="38"/>
      <c r="T67" s="37"/>
      <c r="U67" s="37"/>
    </row>
    <row r="68" spans="1:21" x14ac:dyDescent="0.4">
      <c r="A68" s="37"/>
      <c r="B68" s="37"/>
      <c r="C68" s="37"/>
      <c r="D68" s="37"/>
      <c r="E68" s="9"/>
      <c r="F68" s="102"/>
      <c r="G68" s="102"/>
      <c r="H68" s="102"/>
      <c r="I68" s="153"/>
      <c r="J68" s="84"/>
      <c r="K68" s="153"/>
      <c r="L68" s="84"/>
      <c r="M68" s="9"/>
      <c r="N68" s="9"/>
      <c r="O68" s="139"/>
      <c r="P68" s="37"/>
      <c r="Q68" s="37"/>
      <c r="R68" s="12"/>
      <c r="S68" s="38"/>
      <c r="T68" s="37"/>
      <c r="U68" s="37"/>
    </row>
    <row r="69" spans="1:21" x14ac:dyDescent="0.4">
      <c r="A69" s="37"/>
      <c r="B69" s="37"/>
      <c r="C69" s="37"/>
      <c r="D69" s="37"/>
      <c r="E69" s="9"/>
      <c r="F69" s="102"/>
      <c r="G69" s="102"/>
      <c r="H69" s="102"/>
      <c r="I69" s="153"/>
      <c r="J69" s="84"/>
      <c r="K69" s="153"/>
      <c r="L69" s="84"/>
      <c r="M69" s="9"/>
      <c r="N69" s="9"/>
      <c r="O69" s="139"/>
      <c r="P69" s="37"/>
      <c r="Q69" s="37"/>
      <c r="R69" s="12"/>
      <c r="S69" s="38"/>
      <c r="T69" s="37"/>
      <c r="U69" s="37"/>
    </row>
    <row r="70" spans="1:21" x14ac:dyDescent="0.4">
      <c r="A70" s="37"/>
      <c r="B70" s="37"/>
      <c r="C70" s="37"/>
      <c r="D70" s="37"/>
      <c r="E70" s="9"/>
      <c r="F70" s="102"/>
      <c r="G70" s="102"/>
      <c r="H70" s="102"/>
      <c r="I70" s="153"/>
      <c r="J70" s="84"/>
      <c r="K70" s="153"/>
      <c r="L70" s="84"/>
      <c r="M70" s="9"/>
      <c r="N70" s="9"/>
      <c r="O70" s="139"/>
      <c r="P70" s="37"/>
      <c r="Q70" s="37"/>
      <c r="R70" s="12"/>
      <c r="S70" s="38"/>
      <c r="T70" s="37"/>
      <c r="U70" s="37"/>
    </row>
    <row r="71" spans="1:21" x14ac:dyDescent="0.4">
      <c r="A71" s="37"/>
      <c r="B71" s="37"/>
      <c r="C71" s="37"/>
      <c r="D71" s="37"/>
      <c r="E71" s="9"/>
      <c r="F71" s="102"/>
      <c r="G71" s="102"/>
      <c r="H71" s="102"/>
      <c r="I71" s="153"/>
      <c r="J71" s="84"/>
      <c r="K71" s="153"/>
      <c r="L71" s="84"/>
      <c r="M71" s="9"/>
      <c r="N71" s="9"/>
      <c r="O71" s="139"/>
      <c r="P71" s="37"/>
      <c r="Q71" s="37"/>
      <c r="R71" s="12"/>
      <c r="S71" s="38"/>
      <c r="T71" s="37"/>
      <c r="U71" s="37"/>
    </row>
    <row r="72" spans="1:21" x14ac:dyDescent="0.4">
      <c r="A72" s="37"/>
      <c r="B72" s="37"/>
      <c r="C72" s="37"/>
      <c r="D72" s="37"/>
      <c r="E72" s="9"/>
      <c r="F72" s="102"/>
      <c r="G72" s="102"/>
      <c r="H72" s="102"/>
      <c r="I72" s="153"/>
      <c r="J72" s="84"/>
      <c r="K72" s="153"/>
      <c r="L72" s="84"/>
      <c r="M72" s="9"/>
      <c r="N72" s="9"/>
      <c r="O72" s="139"/>
      <c r="P72" s="37"/>
      <c r="Q72" s="37"/>
      <c r="R72" s="12"/>
      <c r="S72" s="38"/>
      <c r="T72" s="37"/>
      <c r="U72" s="37"/>
    </row>
    <row r="73" spans="1:21" x14ac:dyDescent="0.4">
      <c r="A73" s="37"/>
      <c r="B73" s="37"/>
      <c r="C73" s="37"/>
      <c r="D73" s="37"/>
      <c r="E73" s="9"/>
      <c r="F73" s="102"/>
      <c r="G73" s="102"/>
      <c r="H73" s="102"/>
      <c r="I73" s="153"/>
      <c r="J73" s="84"/>
      <c r="K73" s="153"/>
      <c r="L73" s="84"/>
      <c r="M73" s="9"/>
      <c r="N73" s="9"/>
      <c r="O73" s="139"/>
      <c r="P73" s="37"/>
      <c r="Q73" s="37"/>
      <c r="R73" s="12"/>
      <c r="S73" s="38"/>
      <c r="T73" s="37"/>
      <c r="U73" s="37"/>
    </row>
    <row r="74" spans="1:21" x14ac:dyDescent="0.4">
      <c r="A74" s="37"/>
      <c r="B74" s="37"/>
      <c r="C74" s="37"/>
      <c r="D74" s="37"/>
      <c r="E74" s="9"/>
      <c r="F74" s="102"/>
      <c r="G74" s="102"/>
      <c r="H74" s="102"/>
      <c r="I74" s="153"/>
      <c r="J74" s="84"/>
      <c r="K74" s="153"/>
      <c r="L74" s="84"/>
      <c r="M74" s="9"/>
      <c r="N74" s="9"/>
      <c r="O74" s="139"/>
      <c r="P74" s="37"/>
      <c r="Q74" s="37"/>
      <c r="R74" s="12"/>
      <c r="S74" s="38"/>
      <c r="T74" s="37"/>
      <c r="U74" s="37"/>
    </row>
    <row r="75" spans="1:21" x14ac:dyDescent="0.4">
      <c r="A75" s="37"/>
      <c r="B75" s="37"/>
      <c r="C75" s="37"/>
      <c r="D75" s="37"/>
      <c r="E75" s="9"/>
      <c r="F75" s="102"/>
      <c r="G75" s="102"/>
      <c r="H75" s="102"/>
      <c r="I75" s="153"/>
      <c r="J75" s="84"/>
      <c r="K75" s="153"/>
      <c r="L75" s="84"/>
      <c r="M75" s="9"/>
      <c r="N75" s="9"/>
      <c r="O75" s="139"/>
      <c r="P75" s="37"/>
      <c r="Q75" s="37"/>
      <c r="R75" s="12"/>
      <c r="S75" s="38"/>
      <c r="T75" s="37"/>
      <c r="U75" s="37"/>
    </row>
    <row r="76" spans="1:21" x14ac:dyDescent="0.4">
      <c r="A76" s="37"/>
      <c r="B76" s="37"/>
      <c r="C76" s="37"/>
      <c r="D76" s="37"/>
      <c r="E76" s="9"/>
      <c r="F76" s="102"/>
      <c r="G76" s="102"/>
      <c r="H76" s="102"/>
      <c r="I76" s="153"/>
      <c r="J76" s="84"/>
      <c r="K76" s="153"/>
      <c r="L76" s="84"/>
      <c r="M76" s="9"/>
      <c r="N76" s="9"/>
      <c r="O76" s="139"/>
      <c r="P76" s="37"/>
      <c r="Q76" s="37"/>
      <c r="R76" s="12"/>
      <c r="S76" s="38"/>
      <c r="T76" s="37"/>
      <c r="U76" s="37"/>
    </row>
    <row r="77" spans="1:21" x14ac:dyDescent="0.4">
      <c r="A77" s="37"/>
      <c r="B77" s="37"/>
      <c r="C77" s="37"/>
      <c r="D77" s="37"/>
      <c r="E77" s="9"/>
      <c r="F77" s="102"/>
      <c r="G77" s="102"/>
      <c r="H77" s="102"/>
      <c r="I77" s="153"/>
      <c r="J77" s="84"/>
      <c r="K77" s="153"/>
      <c r="L77" s="84"/>
      <c r="M77" s="9"/>
      <c r="N77" s="9"/>
      <c r="O77" s="139"/>
      <c r="P77" s="37"/>
      <c r="Q77" s="37"/>
      <c r="R77" s="12"/>
      <c r="S77" s="38"/>
      <c r="T77" s="37"/>
      <c r="U77" s="37"/>
    </row>
    <row r="78" spans="1:21" x14ac:dyDescent="0.4">
      <c r="A78" s="37"/>
      <c r="B78" s="37"/>
      <c r="C78" s="37"/>
      <c r="D78" s="37"/>
      <c r="E78" s="9"/>
      <c r="F78" s="102"/>
      <c r="G78" s="102"/>
      <c r="H78" s="102"/>
      <c r="I78" s="153"/>
      <c r="J78" s="84"/>
      <c r="K78" s="153"/>
      <c r="L78" s="84"/>
      <c r="M78" s="9"/>
      <c r="N78" s="9"/>
      <c r="O78" s="139"/>
      <c r="P78" s="37"/>
      <c r="Q78" s="37"/>
      <c r="R78" s="12"/>
      <c r="S78" s="38"/>
      <c r="T78" s="37"/>
      <c r="U78" s="37"/>
    </row>
    <row r="79" spans="1:21" x14ac:dyDescent="0.4">
      <c r="A79" s="37"/>
      <c r="B79" s="37"/>
      <c r="C79" s="37"/>
      <c r="D79" s="37"/>
      <c r="E79" s="9"/>
      <c r="F79" s="102"/>
      <c r="G79" s="102"/>
      <c r="H79" s="102"/>
      <c r="I79" s="153"/>
      <c r="J79" s="84"/>
      <c r="K79" s="153"/>
      <c r="L79" s="84"/>
      <c r="M79" s="9"/>
      <c r="N79" s="9"/>
      <c r="O79" s="139"/>
      <c r="P79" s="37"/>
      <c r="Q79" s="37"/>
      <c r="R79" s="12"/>
      <c r="S79" s="38"/>
      <c r="T79" s="37"/>
      <c r="U79" s="37"/>
    </row>
    <row r="80" spans="1:21" x14ac:dyDescent="0.4">
      <c r="A80" s="37"/>
      <c r="B80" s="37"/>
      <c r="C80" s="37"/>
      <c r="D80" s="37"/>
      <c r="E80" s="9"/>
      <c r="F80" s="102"/>
      <c r="G80" s="102"/>
      <c r="H80" s="102"/>
      <c r="I80" s="153"/>
      <c r="J80" s="84"/>
      <c r="K80" s="153"/>
      <c r="L80" s="84"/>
      <c r="M80" s="9"/>
      <c r="N80" s="9"/>
      <c r="O80" s="139"/>
      <c r="P80" s="37"/>
      <c r="Q80" s="37"/>
      <c r="R80" s="12"/>
      <c r="S80" s="38"/>
      <c r="T80" s="37"/>
      <c r="U80" s="37"/>
    </row>
    <row r="81" spans="1:21" x14ac:dyDescent="0.4">
      <c r="A81" s="37"/>
      <c r="B81" s="37"/>
      <c r="C81" s="37"/>
      <c r="D81" s="37"/>
      <c r="E81" s="9"/>
      <c r="F81" s="102"/>
      <c r="G81" s="102"/>
      <c r="H81" s="102"/>
      <c r="I81" s="153"/>
      <c r="J81" s="84"/>
      <c r="K81" s="153"/>
      <c r="L81" s="84"/>
      <c r="M81" s="9"/>
      <c r="N81" s="9"/>
      <c r="O81" s="139"/>
      <c r="P81" s="37"/>
      <c r="Q81" s="37"/>
      <c r="R81" s="12"/>
      <c r="S81" s="38"/>
      <c r="T81" s="37"/>
      <c r="U81" s="37"/>
    </row>
    <row r="82" spans="1:21" x14ac:dyDescent="0.4">
      <c r="A82" s="37"/>
      <c r="B82" s="37"/>
      <c r="C82" s="37"/>
      <c r="D82" s="37"/>
      <c r="E82" s="9"/>
      <c r="F82" s="102"/>
      <c r="G82" s="102"/>
      <c r="H82" s="102"/>
      <c r="I82" s="153"/>
      <c r="J82" s="84"/>
      <c r="K82" s="153"/>
      <c r="L82" s="84"/>
      <c r="M82" s="9"/>
      <c r="N82" s="9"/>
      <c r="O82" s="139"/>
      <c r="P82" s="37"/>
      <c r="Q82" s="37"/>
      <c r="R82" s="12"/>
      <c r="S82" s="38"/>
      <c r="T82" s="37"/>
      <c r="U82" s="37"/>
    </row>
    <row r="83" spans="1:21" x14ac:dyDescent="0.4">
      <c r="A83" s="37"/>
      <c r="B83" s="37"/>
      <c r="C83" s="37"/>
      <c r="D83" s="37"/>
      <c r="E83" s="9"/>
      <c r="F83" s="102"/>
      <c r="G83" s="102"/>
      <c r="H83" s="102"/>
      <c r="I83" s="153"/>
      <c r="J83" s="84"/>
      <c r="K83" s="153"/>
      <c r="L83" s="84"/>
      <c r="M83" s="9"/>
      <c r="N83" s="9"/>
      <c r="O83" s="139"/>
      <c r="P83" s="37"/>
      <c r="Q83" s="37"/>
      <c r="R83" s="12"/>
      <c r="S83" s="38"/>
      <c r="T83" s="37"/>
      <c r="U83" s="37"/>
    </row>
    <row r="84" spans="1:21" x14ac:dyDescent="0.4">
      <c r="A84" s="37"/>
      <c r="B84" s="37"/>
      <c r="C84" s="37"/>
      <c r="D84" s="37"/>
      <c r="E84" s="9"/>
      <c r="F84" s="102"/>
      <c r="G84" s="102"/>
      <c r="H84" s="102"/>
      <c r="I84" s="153"/>
      <c r="J84" s="84"/>
      <c r="K84" s="153"/>
      <c r="L84" s="84"/>
      <c r="M84" s="9"/>
      <c r="N84" s="9"/>
      <c r="O84" s="139"/>
      <c r="P84" s="37"/>
      <c r="Q84" s="37"/>
      <c r="R84" s="12"/>
      <c r="S84" s="38"/>
      <c r="T84" s="37"/>
      <c r="U84" s="37"/>
    </row>
    <row r="85" spans="1:21" x14ac:dyDescent="0.4">
      <c r="A85" s="37"/>
      <c r="B85" s="37"/>
      <c r="C85" s="37"/>
      <c r="D85" s="37"/>
      <c r="E85" s="9"/>
      <c r="F85" s="102"/>
      <c r="G85" s="102"/>
      <c r="H85" s="102"/>
      <c r="I85" s="153"/>
      <c r="J85" s="84"/>
      <c r="K85" s="153"/>
      <c r="L85" s="84"/>
      <c r="M85" s="9"/>
      <c r="N85" s="9"/>
      <c r="O85" s="139"/>
      <c r="P85" s="37"/>
      <c r="Q85" s="37"/>
      <c r="R85" s="12"/>
      <c r="S85" s="38"/>
      <c r="T85" s="37"/>
      <c r="U85" s="37"/>
    </row>
    <row r="86" spans="1:21" x14ac:dyDescent="0.4">
      <c r="A86" s="37"/>
      <c r="B86" s="37"/>
      <c r="C86" s="37"/>
      <c r="D86" s="37"/>
      <c r="E86" s="9"/>
      <c r="F86" s="102"/>
      <c r="G86" s="102"/>
      <c r="H86" s="102"/>
      <c r="I86" s="153"/>
      <c r="J86" s="84"/>
      <c r="K86" s="153"/>
      <c r="L86" s="84"/>
      <c r="M86" s="9"/>
      <c r="N86" s="9"/>
      <c r="O86" s="139"/>
      <c r="P86" s="37"/>
      <c r="Q86" s="37"/>
      <c r="R86" s="12"/>
      <c r="S86" s="38"/>
      <c r="T86" s="37"/>
      <c r="U86" s="37"/>
    </row>
    <row r="87" spans="1:21" x14ac:dyDescent="0.4">
      <c r="A87" s="37"/>
      <c r="B87" s="37"/>
      <c r="C87" s="37"/>
      <c r="D87" s="37"/>
      <c r="E87" s="9"/>
      <c r="F87" s="102"/>
      <c r="G87" s="102"/>
      <c r="H87" s="102"/>
      <c r="I87" s="153"/>
      <c r="J87" s="84"/>
      <c r="K87" s="153"/>
      <c r="L87" s="84"/>
      <c r="M87" s="9"/>
      <c r="N87" s="9"/>
      <c r="O87" s="9"/>
      <c r="P87" s="37"/>
      <c r="Q87" s="37"/>
      <c r="R87" s="12"/>
      <c r="S87" s="38"/>
      <c r="T87" s="37"/>
      <c r="U87" s="37"/>
    </row>
    <row r="88" spans="1:21" x14ac:dyDescent="0.4">
      <c r="A88" s="37"/>
      <c r="B88" s="37"/>
      <c r="C88" s="37"/>
      <c r="D88" s="37"/>
      <c r="E88" s="9"/>
      <c r="F88" s="102"/>
      <c r="G88" s="102"/>
      <c r="H88" s="102"/>
      <c r="I88" s="153"/>
      <c r="J88" s="84"/>
      <c r="K88" s="153"/>
      <c r="L88" s="84"/>
      <c r="M88" s="9"/>
      <c r="N88" s="9"/>
      <c r="O88" s="139"/>
      <c r="P88" s="37"/>
      <c r="Q88" s="37"/>
      <c r="R88" s="12"/>
      <c r="S88" s="38"/>
      <c r="T88" s="37"/>
      <c r="U88" s="37"/>
    </row>
    <row r="89" spans="1:21" x14ac:dyDescent="0.4">
      <c r="A89" s="37"/>
      <c r="B89" s="37"/>
      <c r="C89" s="37"/>
      <c r="D89" s="37"/>
      <c r="E89" s="9"/>
      <c r="F89" s="102"/>
      <c r="G89" s="102"/>
      <c r="H89" s="102"/>
      <c r="I89" s="153"/>
      <c r="J89" s="84"/>
      <c r="K89" s="153"/>
      <c r="L89" s="84"/>
      <c r="M89" s="9"/>
      <c r="N89" s="9"/>
      <c r="O89" s="9"/>
      <c r="P89" s="37"/>
      <c r="Q89" s="37"/>
      <c r="R89" s="12"/>
      <c r="S89" s="38"/>
      <c r="T89" s="37"/>
      <c r="U89" s="37"/>
    </row>
    <row r="90" spans="1:21" x14ac:dyDescent="0.4">
      <c r="A90" s="37"/>
      <c r="B90" s="37"/>
      <c r="C90" s="37"/>
      <c r="D90" s="37"/>
      <c r="E90" s="9"/>
      <c r="F90" s="102"/>
      <c r="G90" s="102"/>
      <c r="H90" s="102"/>
      <c r="I90" s="153"/>
      <c r="J90" s="84"/>
      <c r="K90" s="153"/>
      <c r="L90" s="84"/>
      <c r="M90" s="9"/>
      <c r="N90" s="9"/>
      <c r="O90" s="9"/>
      <c r="P90" s="37"/>
      <c r="Q90" s="37"/>
      <c r="R90" s="12"/>
      <c r="S90" s="38"/>
      <c r="T90" s="37"/>
      <c r="U90" s="37"/>
    </row>
    <row r="91" spans="1:21" x14ac:dyDescent="0.4">
      <c r="A91" s="37"/>
      <c r="B91" s="37"/>
      <c r="C91" s="37"/>
      <c r="D91" s="37"/>
      <c r="E91" s="9"/>
      <c r="F91" s="102"/>
      <c r="G91" s="102"/>
      <c r="H91" s="102"/>
      <c r="I91" s="153"/>
      <c r="J91" s="84"/>
      <c r="K91" s="153"/>
      <c r="L91" s="84"/>
      <c r="M91" s="9"/>
      <c r="N91" s="9"/>
      <c r="O91" s="9"/>
      <c r="P91" s="37"/>
      <c r="Q91" s="37"/>
      <c r="R91" s="12"/>
      <c r="S91" s="38"/>
      <c r="T91" s="37"/>
      <c r="U91" s="37"/>
    </row>
    <row r="92" spans="1:21" x14ac:dyDescent="0.4">
      <c r="A92" s="37"/>
      <c r="B92" s="37"/>
      <c r="C92" s="37"/>
      <c r="D92" s="37"/>
      <c r="E92" s="9"/>
      <c r="F92" s="102"/>
      <c r="G92" s="102"/>
      <c r="H92" s="102"/>
      <c r="I92" s="153"/>
      <c r="J92" s="84"/>
      <c r="K92" s="153"/>
      <c r="L92" s="84"/>
      <c r="M92" s="9"/>
      <c r="N92" s="9"/>
      <c r="O92" s="9"/>
      <c r="P92" s="37"/>
      <c r="Q92" s="37"/>
      <c r="R92" s="12"/>
      <c r="S92" s="38"/>
      <c r="T92" s="37"/>
      <c r="U92" s="37"/>
    </row>
    <row r="93" spans="1:21" x14ac:dyDescent="0.4">
      <c r="A93" s="37"/>
      <c r="B93" s="37"/>
      <c r="C93" s="37"/>
      <c r="D93" s="37"/>
      <c r="E93" s="9"/>
      <c r="F93" s="102"/>
      <c r="G93" s="102"/>
      <c r="H93" s="102"/>
      <c r="I93" s="153"/>
      <c r="J93" s="84"/>
      <c r="K93" s="153"/>
      <c r="L93" s="84"/>
      <c r="M93" s="9"/>
      <c r="N93" s="9"/>
      <c r="O93" s="9"/>
      <c r="P93" s="37"/>
      <c r="Q93" s="37"/>
      <c r="R93" s="12"/>
      <c r="S93" s="38"/>
      <c r="T93" s="37"/>
      <c r="U93" s="37"/>
    </row>
    <row r="94" spans="1:21" x14ac:dyDescent="0.4">
      <c r="A94" s="37"/>
      <c r="B94" s="37"/>
      <c r="C94" s="37"/>
      <c r="D94" s="37"/>
      <c r="E94" s="106"/>
      <c r="F94" s="102"/>
      <c r="G94" s="102"/>
      <c r="H94" s="102"/>
      <c r="I94" s="153"/>
      <c r="J94" s="84"/>
      <c r="K94" s="153"/>
      <c r="L94" s="84"/>
      <c r="M94" s="9"/>
      <c r="N94" s="9"/>
      <c r="O94" s="9"/>
      <c r="P94" s="37"/>
      <c r="Q94" s="37"/>
      <c r="R94" s="12"/>
      <c r="S94" s="38"/>
      <c r="T94" s="37"/>
      <c r="U94" s="37"/>
    </row>
    <row r="95" spans="1:21" x14ac:dyDescent="0.4">
      <c r="A95" s="37"/>
      <c r="B95" s="37"/>
      <c r="C95" s="37"/>
      <c r="D95" s="37"/>
      <c r="E95" s="9"/>
      <c r="F95" s="102"/>
      <c r="G95" s="102"/>
      <c r="H95" s="102"/>
      <c r="I95" s="153"/>
      <c r="J95" s="84"/>
      <c r="K95" s="153"/>
      <c r="L95" s="84"/>
      <c r="M95" s="9"/>
      <c r="N95" s="9"/>
      <c r="O95" s="9"/>
      <c r="P95" s="37"/>
      <c r="Q95" s="37"/>
      <c r="R95" s="12"/>
      <c r="S95" s="38"/>
      <c r="T95" s="37"/>
      <c r="U95" s="37"/>
    </row>
    <row r="96" spans="1:21" x14ac:dyDescent="0.4">
      <c r="A96" s="37"/>
      <c r="B96" s="37"/>
      <c r="C96" s="37"/>
      <c r="D96" s="37"/>
      <c r="E96" s="9"/>
      <c r="F96" s="102"/>
      <c r="G96" s="102"/>
      <c r="H96" s="102"/>
      <c r="I96" s="153"/>
      <c r="J96" s="84"/>
      <c r="K96" s="153"/>
      <c r="L96" s="84"/>
      <c r="M96" s="9"/>
      <c r="N96" s="9"/>
      <c r="O96" s="9"/>
      <c r="P96" s="37"/>
      <c r="Q96" s="37"/>
      <c r="R96" s="12"/>
      <c r="S96" s="38"/>
      <c r="T96" s="37"/>
      <c r="U96" s="37"/>
    </row>
    <row r="97" spans="1:21" x14ac:dyDescent="0.4">
      <c r="A97" s="37"/>
      <c r="B97" s="37"/>
      <c r="C97" s="37"/>
      <c r="D97" s="37"/>
      <c r="E97" s="9"/>
      <c r="F97" s="102"/>
      <c r="G97" s="102"/>
      <c r="H97" s="102"/>
      <c r="I97" s="153"/>
      <c r="J97" s="84"/>
      <c r="K97" s="153"/>
      <c r="L97" s="84"/>
      <c r="M97" s="9"/>
      <c r="N97" s="9"/>
      <c r="O97" s="9"/>
      <c r="P97" s="37"/>
      <c r="Q97" s="37"/>
      <c r="R97" s="12"/>
      <c r="S97" s="38"/>
      <c r="T97" s="37"/>
      <c r="U97" s="37"/>
    </row>
    <row r="98" spans="1:21" x14ac:dyDescent="0.4">
      <c r="A98" s="37"/>
      <c r="B98" s="37"/>
      <c r="C98" s="37"/>
      <c r="D98" s="37"/>
      <c r="E98" s="9"/>
      <c r="F98" s="102"/>
      <c r="G98" s="102"/>
      <c r="H98" s="102"/>
      <c r="I98" s="153"/>
      <c r="J98" s="84"/>
      <c r="K98" s="153"/>
      <c r="L98" s="84"/>
      <c r="M98" s="9"/>
      <c r="N98" s="9"/>
      <c r="O98" s="9"/>
      <c r="P98" s="37"/>
      <c r="Q98" s="37"/>
      <c r="R98" s="12"/>
      <c r="S98" s="38"/>
      <c r="T98" s="37"/>
      <c r="U98" s="37"/>
    </row>
    <row r="99" spans="1:21" x14ac:dyDescent="0.4">
      <c r="A99" s="37"/>
      <c r="B99" s="37"/>
      <c r="C99" s="37"/>
      <c r="D99" s="37"/>
      <c r="E99" s="9"/>
      <c r="F99" s="102"/>
      <c r="G99" s="102"/>
      <c r="H99" s="102"/>
      <c r="I99" s="153"/>
      <c r="J99" s="84"/>
      <c r="K99" s="153"/>
      <c r="L99" s="84"/>
      <c r="M99" s="9"/>
      <c r="N99" s="9"/>
      <c r="O99" s="9"/>
      <c r="P99" s="37"/>
      <c r="Q99" s="37"/>
      <c r="R99" s="12"/>
      <c r="S99" s="38"/>
      <c r="T99" s="37"/>
      <c r="U99" s="37"/>
    </row>
    <row r="100" spans="1:21" x14ac:dyDescent="0.4">
      <c r="A100" s="37"/>
      <c r="B100" s="37"/>
      <c r="C100" s="37"/>
      <c r="D100" s="37"/>
      <c r="E100" s="9"/>
      <c r="F100" s="102"/>
      <c r="G100" s="102"/>
      <c r="H100" s="102"/>
      <c r="I100" s="153"/>
      <c r="J100" s="84"/>
      <c r="K100" s="153"/>
      <c r="L100" s="84"/>
      <c r="M100" s="9"/>
      <c r="N100" s="9"/>
      <c r="O100" s="9"/>
      <c r="P100" s="37"/>
      <c r="Q100" s="37"/>
      <c r="R100" s="12"/>
      <c r="S100" s="38"/>
      <c r="T100" s="37"/>
      <c r="U100" s="37"/>
    </row>
    <row r="101" spans="1:21" x14ac:dyDescent="0.4">
      <c r="A101" s="37"/>
      <c r="B101" s="37"/>
      <c r="C101" s="37"/>
      <c r="D101" s="37"/>
      <c r="E101" s="9"/>
      <c r="F101" s="102"/>
      <c r="G101" s="102"/>
      <c r="H101" s="102"/>
      <c r="I101" s="153"/>
      <c r="J101" s="84"/>
      <c r="K101" s="153"/>
      <c r="L101" s="84"/>
      <c r="M101" s="9"/>
      <c r="N101" s="9"/>
      <c r="O101" s="9"/>
      <c r="P101" s="37"/>
      <c r="Q101" s="37"/>
      <c r="R101" s="12"/>
      <c r="S101" s="38"/>
      <c r="T101" s="37"/>
      <c r="U101" s="37"/>
    </row>
    <row r="102" spans="1:21" x14ac:dyDescent="0.4">
      <c r="A102" s="37"/>
      <c r="B102" s="37"/>
      <c r="C102" s="37"/>
      <c r="D102" s="37"/>
      <c r="E102" s="9"/>
      <c r="F102" s="102"/>
      <c r="G102" s="102"/>
      <c r="H102" s="102"/>
      <c r="I102" s="153"/>
      <c r="J102" s="84"/>
      <c r="K102" s="153"/>
      <c r="L102" s="84"/>
      <c r="M102" s="9"/>
      <c r="N102" s="9"/>
      <c r="O102" s="9"/>
      <c r="P102" s="37"/>
      <c r="Q102" s="37"/>
      <c r="R102" s="12"/>
      <c r="S102" s="38"/>
      <c r="T102" s="37"/>
      <c r="U102" s="37"/>
    </row>
    <row r="103" spans="1:21" x14ac:dyDescent="0.4">
      <c r="A103" s="37"/>
      <c r="B103" s="37"/>
      <c r="C103" s="37"/>
      <c r="D103" s="37"/>
      <c r="E103" s="9"/>
      <c r="F103" s="102"/>
      <c r="G103" s="102"/>
      <c r="H103" s="102"/>
      <c r="I103" s="153"/>
      <c r="J103" s="84"/>
      <c r="K103" s="153"/>
      <c r="L103" s="84"/>
      <c r="M103" s="9"/>
      <c r="N103" s="9"/>
      <c r="O103" s="9"/>
      <c r="P103" s="37"/>
      <c r="Q103" s="37"/>
      <c r="R103" s="12"/>
      <c r="S103" s="38"/>
      <c r="T103" s="37"/>
      <c r="U103" s="37"/>
    </row>
    <row r="104" spans="1:21" x14ac:dyDescent="0.4">
      <c r="A104" s="37"/>
      <c r="B104" s="37"/>
      <c r="C104" s="37"/>
      <c r="D104" s="37"/>
      <c r="E104" s="9"/>
      <c r="F104" s="102"/>
      <c r="G104" s="102"/>
      <c r="H104" s="102"/>
      <c r="I104" s="153"/>
      <c r="J104" s="84"/>
      <c r="K104" s="153"/>
      <c r="L104" s="84"/>
      <c r="M104" s="9"/>
      <c r="N104" s="9"/>
      <c r="O104" s="9"/>
      <c r="P104" s="37"/>
      <c r="Q104" s="37"/>
      <c r="R104" s="12"/>
      <c r="S104" s="38"/>
      <c r="T104" s="37"/>
      <c r="U104" s="37"/>
    </row>
    <row r="105" spans="1:21" x14ac:dyDescent="0.4">
      <c r="A105" s="37"/>
      <c r="B105" s="37"/>
      <c r="C105" s="37"/>
      <c r="D105" s="37"/>
      <c r="E105" s="9"/>
      <c r="F105" s="102"/>
      <c r="G105" s="102"/>
      <c r="H105" s="102"/>
      <c r="I105" s="153"/>
      <c r="J105" s="84"/>
      <c r="K105" s="153"/>
      <c r="L105" s="84"/>
      <c r="M105" s="9"/>
      <c r="N105" s="9"/>
      <c r="O105" s="9"/>
      <c r="P105" s="37"/>
      <c r="Q105" s="37"/>
      <c r="R105" s="12"/>
      <c r="S105" s="38"/>
      <c r="T105" s="37"/>
      <c r="U105" s="37"/>
    </row>
    <row r="106" spans="1:21" x14ac:dyDescent="0.4">
      <c r="A106" s="37"/>
      <c r="B106" s="37"/>
      <c r="C106" s="37"/>
      <c r="D106" s="37"/>
      <c r="E106" s="9"/>
      <c r="F106" s="102"/>
      <c r="G106" s="102"/>
      <c r="H106" s="102"/>
      <c r="I106" s="153"/>
      <c r="J106" s="84"/>
      <c r="K106" s="153"/>
      <c r="L106" s="84"/>
      <c r="M106" s="9"/>
      <c r="N106" s="9"/>
      <c r="O106" s="9"/>
      <c r="P106" s="37"/>
      <c r="Q106" s="37"/>
      <c r="R106" s="12"/>
      <c r="S106" s="38"/>
      <c r="T106" s="37"/>
      <c r="U106" s="37"/>
    </row>
    <row r="107" spans="1:21" x14ac:dyDescent="0.4">
      <c r="A107" s="37"/>
      <c r="B107" s="37"/>
      <c r="C107" s="37"/>
      <c r="D107" s="37"/>
      <c r="E107" s="9"/>
      <c r="F107" s="102"/>
      <c r="G107" s="102"/>
      <c r="H107" s="102"/>
      <c r="I107" s="153"/>
      <c r="J107" s="84"/>
      <c r="K107" s="153"/>
      <c r="L107" s="84"/>
      <c r="M107" s="9"/>
      <c r="N107" s="9"/>
      <c r="O107" s="9"/>
      <c r="P107" s="37"/>
      <c r="Q107" s="37"/>
      <c r="R107" s="12"/>
      <c r="S107" s="38"/>
      <c r="T107" s="37"/>
      <c r="U107" s="37"/>
    </row>
    <row r="108" spans="1:21" s="73" customFormat="1" x14ac:dyDescent="0.4">
      <c r="A108" s="128"/>
      <c r="B108" s="128"/>
      <c r="C108" s="128"/>
      <c r="D108" s="128"/>
      <c r="N108"/>
      <c r="O108" s="99"/>
      <c r="T108"/>
      <c r="U108"/>
    </row>
    <row r="109" spans="1:21" s="73" customFormat="1" x14ac:dyDescent="0.4">
      <c r="A109" s="128"/>
      <c r="B109" s="128"/>
      <c r="C109" s="128"/>
      <c r="D109" s="128"/>
      <c r="I109" s="177"/>
      <c r="N109"/>
      <c r="T109"/>
      <c r="U109"/>
    </row>
    <row r="110" spans="1:21" s="73" customFormat="1" x14ac:dyDescent="0.4">
      <c r="A110" s="128"/>
      <c r="B110" s="128"/>
      <c r="C110" s="128"/>
      <c r="D110" s="128"/>
      <c r="N110"/>
      <c r="T110"/>
      <c r="U110"/>
    </row>
    <row r="111" spans="1:21" s="73" customFormat="1" x14ac:dyDescent="0.4">
      <c r="A111" s="128"/>
      <c r="B111" s="128"/>
      <c r="C111" s="128"/>
      <c r="D111" s="128"/>
      <c r="S111" s="186"/>
      <c r="T111"/>
      <c r="U111"/>
    </row>
    <row r="112" spans="1:21" s="73" customFormat="1" x14ac:dyDescent="0.4">
      <c r="A112" s="128"/>
      <c r="B112" s="73" t="s">
        <v>2</v>
      </c>
      <c r="C112" s="73" t="s">
        <v>777</v>
      </c>
      <c r="D112" s="73">
        <v>240</v>
      </c>
      <c r="F112"/>
      <c r="G112"/>
      <c r="H112"/>
      <c r="I112"/>
      <c r="J112"/>
      <c r="K112"/>
      <c r="L112"/>
      <c r="M112"/>
      <c r="N112"/>
      <c r="O112"/>
      <c r="P112"/>
      <c r="Q112"/>
      <c r="R112"/>
      <c r="S112"/>
      <c r="T112"/>
      <c r="U112"/>
    </row>
    <row r="113" spans="1:21" s="73" customFormat="1" x14ac:dyDescent="0.4">
      <c r="A113" s="128"/>
      <c r="B113" s="73" t="s">
        <v>14</v>
      </c>
      <c r="C113" s="73" t="s">
        <v>2629</v>
      </c>
      <c r="D113" s="73">
        <v>480</v>
      </c>
      <c r="F113"/>
      <c r="G113"/>
      <c r="H113"/>
      <c r="I113"/>
      <c r="J113"/>
      <c r="K113"/>
      <c r="L113"/>
      <c r="M113"/>
      <c r="N113"/>
      <c r="O113"/>
      <c r="P113"/>
      <c r="Q113"/>
      <c r="R113"/>
      <c r="S113"/>
      <c r="T113"/>
      <c r="U113"/>
    </row>
    <row r="114" spans="1:21" s="73" customFormat="1" x14ac:dyDescent="0.4">
      <c r="A114" s="128"/>
      <c r="B114" s="73" t="s">
        <v>158</v>
      </c>
      <c r="C114" s="73" t="s">
        <v>778</v>
      </c>
      <c r="D114" s="73">
        <v>2880</v>
      </c>
      <c r="F114"/>
      <c r="G114"/>
      <c r="H114"/>
      <c r="I114"/>
      <c r="J114"/>
      <c r="K114"/>
      <c r="L114"/>
      <c r="M114"/>
      <c r="N114"/>
      <c r="O114"/>
      <c r="P114"/>
      <c r="Q114"/>
      <c r="R114"/>
      <c r="S114"/>
      <c r="T114"/>
      <c r="U114"/>
    </row>
    <row r="115" spans="1:21" x14ac:dyDescent="0.4">
      <c r="A115" s="73"/>
      <c r="E115" s="73"/>
    </row>
    <row r="116" spans="1:21" x14ac:dyDescent="0.4">
      <c r="B116" s="128"/>
      <c r="C116" s="128"/>
      <c r="D116" s="128"/>
    </row>
    <row r="117" spans="1:21" x14ac:dyDescent="0.4">
      <c r="B117" s="128"/>
      <c r="C117" s="128"/>
      <c r="D117" s="128"/>
    </row>
  </sheetData>
  <autoFilter ref="A1:U107" xr:uid="{00000000-0001-0000-1F00-000000000000}">
    <sortState xmlns:xlrd2="http://schemas.microsoft.com/office/spreadsheetml/2017/richdata2" ref="A2:U107">
      <sortCondition ref="A1:A107"/>
    </sortState>
  </autoFilter>
  <phoneticPr fontId="62" type="noConversion"/>
  <conditionalFormatting sqref="F2:L107">
    <cfRule type="cellIs" dxfId="14" priority="1" operator="equal">
      <formula>"NOK"</formula>
    </cfRule>
  </conditionalFormatting>
  <conditionalFormatting sqref="P2 P4:P6 P8:P107">
    <cfRule type="cellIs" dxfId="13" priority="3" operator="equal">
      <formula>"NOK"</formula>
    </cfRule>
  </conditionalFormatting>
  <pageMargins left="0.7" right="0.7" top="0.75" bottom="0.75" header="0.3" footer="0.3"/>
  <pageSetup paperSize="9" orientation="portrait" horizontalDpi="300" verticalDpi="3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10"/>
  <dimension ref="A1:V118"/>
  <sheetViews>
    <sheetView topLeftCell="C1" zoomScaleNormal="100" workbookViewId="0">
      <selection activeCell="C2" sqref="A2:XFD108"/>
    </sheetView>
  </sheetViews>
  <sheetFormatPr baseColWidth="10" defaultColWidth="11.4609375" defaultRowHeight="14.6" x14ac:dyDescent="0.4"/>
  <cols>
    <col min="1" max="1" width="5.765625" customWidth="1"/>
    <col min="2" max="2" width="9.765625" bestFit="1" customWidth="1"/>
    <col min="3" max="3" width="6.765625" bestFit="1" customWidth="1"/>
    <col min="4" max="4" width="11.4609375" bestFit="1" customWidth="1"/>
    <col min="5" max="5" width="41.765625" customWidth="1"/>
    <col min="6" max="6" width="13" customWidth="1"/>
    <col min="7" max="7" width="16.765625" customWidth="1"/>
    <col min="8" max="9" width="14.53515625" customWidth="1"/>
    <col min="10" max="12" width="10.23046875" customWidth="1"/>
    <col min="13" max="13" width="57.23046875" customWidth="1"/>
    <col min="14" max="14" width="48.765625" customWidth="1"/>
    <col min="15" max="15" width="30.4609375" bestFit="1" customWidth="1"/>
    <col min="16" max="16" width="13.765625" bestFit="1" customWidth="1"/>
    <col min="17" max="17" width="7.23046875" bestFit="1" customWidth="1"/>
    <col min="18" max="18" width="12.23046875" bestFit="1" customWidth="1"/>
    <col min="19" max="19" width="5.23046875" bestFit="1" customWidth="1"/>
  </cols>
  <sheetData>
    <row r="1" spans="1:22" x14ac:dyDescent="0.4">
      <c r="A1" s="7" t="s">
        <v>0</v>
      </c>
      <c r="B1" s="6"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6" t="s">
        <v>684</v>
      </c>
      <c r="R1" s="7" t="s">
        <v>659</v>
      </c>
      <c r="S1" s="6" t="s">
        <v>888</v>
      </c>
      <c r="T1" s="156" t="s">
        <v>2627</v>
      </c>
      <c r="U1" s="156" t="s">
        <v>2630</v>
      </c>
    </row>
    <row r="2" spans="1:22" x14ac:dyDescent="0.4">
      <c r="A2" s="37"/>
      <c r="B2" s="101"/>
      <c r="C2" s="37"/>
      <c r="D2" s="37"/>
      <c r="E2" s="12"/>
      <c r="F2" s="102"/>
      <c r="G2" s="102"/>
      <c r="H2" s="102"/>
      <c r="I2" s="153"/>
      <c r="J2" s="103"/>
      <c r="K2" s="153"/>
      <c r="L2" s="103"/>
      <c r="M2" s="139"/>
      <c r="N2" s="139"/>
      <c r="O2" s="100"/>
      <c r="P2" s="37"/>
      <c r="Q2" s="37"/>
      <c r="R2" s="12"/>
      <c r="S2" s="38"/>
      <c r="T2" s="37"/>
      <c r="U2" s="37"/>
    </row>
    <row r="3" spans="1:22" x14ac:dyDescent="0.4">
      <c r="A3" s="37"/>
      <c r="B3" s="101"/>
      <c r="C3" s="37"/>
      <c r="D3" s="37"/>
      <c r="E3" s="12"/>
      <c r="F3" s="102"/>
      <c r="G3" s="102"/>
      <c r="H3" s="102"/>
      <c r="I3" s="153"/>
      <c r="J3" s="103"/>
      <c r="K3" s="153"/>
      <c r="L3" s="103"/>
      <c r="M3" s="12"/>
      <c r="N3" s="139"/>
      <c r="O3" s="139"/>
      <c r="P3" s="37"/>
      <c r="Q3" s="37"/>
      <c r="R3" s="12"/>
      <c r="S3" s="38"/>
      <c r="T3" s="37"/>
      <c r="U3" s="37"/>
    </row>
    <row r="4" spans="1:22" x14ac:dyDescent="0.4">
      <c r="A4" s="37"/>
      <c r="B4" s="101"/>
      <c r="C4" s="37"/>
      <c r="D4" s="37"/>
      <c r="E4" s="12"/>
      <c r="F4" s="102"/>
      <c r="G4" s="102"/>
      <c r="H4" s="102"/>
      <c r="I4" s="153"/>
      <c r="J4" s="103"/>
      <c r="K4" s="153"/>
      <c r="L4" s="103"/>
      <c r="M4" s="12"/>
      <c r="N4" s="139"/>
      <c r="O4" s="139"/>
      <c r="P4" s="37"/>
      <c r="Q4" s="37"/>
      <c r="R4" s="12"/>
      <c r="S4" s="38"/>
      <c r="T4" s="37"/>
      <c r="U4" s="37"/>
    </row>
    <row r="5" spans="1:22" x14ac:dyDescent="0.4">
      <c r="A5" s="37"/>
      <c r="B5" s="101"/>
      <c r="C5" s="37"/>
      <c r="D5" s="37"/>
      <c r="E5" s="12"/>
      <c r="F5" s="102"/>
      <c r="G5" s="102"/>
      <c r="H5" s="102"/>
      <c r="I5" s="153"/>
      <c r="J5" s="103"/>
      <c r="K5" s="153"/>
      <c r="L5" s="103"/>
      <c r="M5" s="12"/>
      <c r="N5" s="139"/>
      <c r="O5" s="139"/>
      <c r="P5" s="37"/>
      <c r="Q5" s="37"/>
      <c r="R5" s="12"/>
      <c r="S5" s="38"/>
      <c r="T5" s="37"/>
      <c r="U5" s="37"/>
    </row>
    <row r="6" spans="1:22" x14ac:dyDescent="0.4">
      <c r="A6" s="37"/>
      <c r="B6" s="101"/>
      <c r="C6" s="37"/>
      <c r="D6" s="37"/>
      <c r="E6" s="12"/>
      <c r="F6" s="102"/>
      <c r="G6" s="102"/>
      <c r="H6" s="102"/>
      <c r="I6" s="153"/>
      <c r="J6" s="103"/>
      <c r="K6" s="153"/>
      <c r="L6" s="103"/>
      <c r="M6" s="12"/>
      <c r="N6" s="139"/>
      <c r="O6" s="139"/>
      <c r="P6" s="37"/>
      <c r="Q6" s="37"/>
      <c r="R6" s="12"/>
      <c r="S6" s="38"/>
      <c r="T6" s="37"/>
      <c r="U6" s="37"/>
      <c r="V6" s="187"/>
    </row>
    <row r="7" spans="1:22" x14ac:dyDescent="0.4">
      <c r="A7" s="37"/>
      <c r="B7" s="101"/>
      <c r="C7" s="37"/>
      <c r="D7" s="37"/>
      <c r="E7" s="12"/>
      <c r="F7" s="102"/>
      <c r="G7" s="102"/>
      <c r="H7" s="102"/>
      <c r="I7" s="153"/>
      <c r="J7" s="103"/>
      <c r="K7" s="153"/>
      <c r="L7" s="103"/>
      <c r="M7" s="12"/>
      <c r="N7" s="139"/>
      <c r="O7" s="139"/>
      <c r="P7" s="37"/>
      <c r="Q7" s="37"/>
      <c r="R7" s="12"/>
      <c r="S7" s="38"/>
      <c r="T7" s="37"/>
      <c r="U7" s="37"/>
    </row>
    <row r="8" spans="1:22" x14ac:dyDescent="0.4">
      <c r="A8" s="37"/>
      <c r="B8" s="101"/>
      <c r="C8" s="37"/>
      <c r="D8" s="37"/>
      <c r="E8" s="12"/>
      <c r="F8" s="102"/>
      <c r="G8" s="102"/>
      <c r="H8" s="102"/>
      <c r="I8" s="153"/>
      <c r="J8" s="103"/>
      <c r="K8" s="153"/>
      <c r="L8" s="103"/>
      <c r="M8" s="12"/>
      <c r="N8" s="139"/>
      <c r="O8" s="139"/>
      <c r="P8" s="37"/>
      <c r="Q8" s="37"/>
      <c r="R8" s="12"/>
      <c r="S8" s="38"/>
      <c r="T8" s="37"/>
      <c r="U8" s="37"/>
    </row>
    <row r="9" spans="1:22" x14ac:dyDescent="0.4">
      <c r="A9" s="37"/>
      <c r="B9" s="101"/>
      <c r="C9" s="37"/>
      <c r="D9" s="37"/>
      <c r="E9" s="12"/>
      <c r="F9" s="102"/>
      <c r="G9" s="102"/>
      <c r="H9" s="102"/>
      <c r="I9" s="153"/>
      <c r="J9" s="103"/>
      <c r="K9" s="153"/>
      <c r="L9" s="103"/>
      <c r="M9" s="12"/>
      <c r="N9" s="139"/>
      <c r="O9" s="139"/>
      <c r="P9" s="37"/>
      <c r="Q9" s="37"/>
      <c r="R9" s="12"/>
      <c r="S9" s="38"/>
      <c r="T9" s="37"/>
      <c r="U9" s="37"/>
    </row>
    <row r="10" spans="1:22" x14ac:dyDescent="0.4">
      <c r="A10" s="37"/>
      <c r="B10" s="101"/>
      <c r="C10" s="37"/>
      <c r="D10" s="37"/>
      <c r="E10" s="12"/>
      <c r="F10" s="102"/>
      <c r="G10" s="102"/>
      <c r="H10" s="102"/>
      <c r="I10" s="153"/>
      <c r="J10" s="103"/>
      <c r="K10" s="153"/>
      <c r="L10" s="103"/>
      <c r="M10" s="12"/>
      <c r="N10" s="139"/>
      <c r="O10" s="139"/>
      <c r="P10" s="37"/>
      <c r="Q10" s="37"/>
      <c r="R10" s="12"/>
      <c r="S10" s="38"/>
      <c r="T10" s="37"/>
      <c r="U10" s="37"/>
    </row>
    <row r="11" spans="1:22" x14ac:dyDescent="0.4">
      <c r="A11" s="37"/>
      <c r="B11" s="101"/>
      <c r="C11" s="37"/>
      <c r="D11" s="37"/>
      <c r="E11" s="12"/>
      <c r="F11" s="102"/>
      <c r="G11" s="102"/>
      <c r="H11" s="102"/>
      <c r="I11" s="153"/>
      <c r="J11" s="103"/>
      <c r="K11" s="153"/>
      <c r="L11" s="103"/>
      <c r="M11" s="12"/>
      <c r="N11" s="139"/>
      <c r="O11" s="139"/>
      <c r="P11" s="37"/>
      <c r="Q11" s="37"/>
      <c r="R11" s="12"/>
      <c r="S11" s="38"/>
      <c r="T11" s="37"/>
      <c r="U11" s="37"/>
    </row>
    <row r="12" spans="1:22" x14ac:dyDescent="0.4">
      <c r="A12" s="37"/>
      <c r="B12" s="101"/>
      <c r="C12" s="37"/>
      <c r="D12" s="37"/>
      <c r="E12" s="12"/>
      <c r="F12" s="102"/>
      <c r="G12" s="102"/>
      <c r="H12" s="102"/>
      <c r="I12" s="153"/>
      <c r="J12" s="103"/>
      <c r="K12" s="153"/>
      <c r="L12" s="103"/>
      <c r="M12" s="12"/>
      <c r="N12" s="139"/>
      <c r="O12" s="139"/>
      <c r="P12" s="37"/>
      <c r="Q12" s="37"/>
      <c r="R12" s="12"/>
      <c r="S12" s="38"/>
      <c r="T12" s="37"/>
      <c r="U12" s="37"/>
    </row>
    <row r="13" spans="1:22" x14ac:dyDescent="0.4">
      <c r="A13" s="37"/>
      <c r="B13" s="101"/>
      <c r="C13" s="37"/>
      <c r="D13" s="37"/>
      <c r="E13" s="12"/>
      <c r="F13" s="102"/>
      <c r="G13" s="102"/>
      <c r="H13" s="102"/>
      <c r="I13" s="153"/>
      <c r="J13" s="103"/>
      <c r="K13" s="153"/>
      <c r="L13" s="103"/>
      <c r="M13" s="12"/>
      <c r="N13" s="139"/>
      <c r="O13" s="139"/>
      <c r="P13" s="37"/>
      <c r="Q13" s="37"/>
      <c r="R13" s="12"/>
      <c r="S13" s="38"/>
      <c r="T13" s="37"/>
      <c r="U13" s="37"/>
    </row>
    <row r="14" spans="1:22" x14ac:dyDescent="0.4">
      <c r="A14" s="37"/>
      <c r="B14" s="101"/>
      <c r="C14" s="37"/>
      <c r="D14" s="37"/>
      <c r="E14" s="12"/>
      <c r="F14" s="102"/>
      <c r="G14" s="102"/>
      <c r="H14" s="102"/>
      <c r="I14" s="153"/>
      <c r="J14" s="103"/>
      <c r="K14" s="153"/>
      <c r="L14" s="103"/>
      <c r="M14" s="12"/>
      <c r="N14" s="139"/>
      <c r="O14" s="139"/>
      <c r="P14" s="37"/>
      <c r="Q14" s="37"/>
      <c r="R14" s="12"/>
      <c r="S14" s="38"/>
      <c r="T14" s="37"/>
      <c r="U14" s="37"/>
    </row>
    <row r="15" spans="1:22" x14ac:dyDescent="0.4">
      <c r="A15" s="37"/>
      <c r="B15" s="101"/>
      <c r="C15" s="37"/>
      <c r="D15" s="37"/>
      <c r="E15" s="12"/>
      <c r="F15" s="102"/>
      <c r="G15" s="102"/>
      <c r="H15" s="102"/>
      <c r="I15" s="153"/>
      <c r="J15" s="103"/>
      <c r="K15" s="153"/>
      <c r="L15" s="103"/>
      <c r="M15" s="12"/>
      <c r="N15" s="139"/>
      <c r="O15" s="139"/>
      <c r="P15" s="37"/>
      <c r="Q15" s="37"/>
      <c r="R15" s="12"/>
      <c r="S15" s="38"/>
      <c r="T15" s="37"/>
      <c r="U15" s="37"/>
    </row>
    <row r="16" spans="1:22" x14ac:dyDescent="0.4">
      <c r="A16" s="37"/>
      <c r="B16" s="101"/>
      <c r="C16" s="37"/>
      <c r="D16" s="37"/>
      <c r="E16" s="12"/>
      <c r="F16" s="102"/>
      <c r="G16" s="102"/>
      <c r="H16" s="102"/>
      <c r="I16" s="153"/>
      <c r="J16" s="103"/>
      <c r="K16" s="153"/>
      <c r="L16" s="103"/>
      <c r="M16" s="12"/>
      <c r="N16" s="139"/>
      <c r="O16" s="139"/>
      <c r="P16" s="37"/>
      <c r="Q16" s="37"/>
      <c r="R16" s="12"/>
      <c r="S16" s="38"/>
      <c r="T16" s="37"/>
      <c r="U16" s="37"/>
    </row>
    <row r="17" spans="1:21" x14ac:dyDescent="0.4">
      <c r="A17" s="37"/>
      <c r="B17" s="101"/>
      <c r="C17" s="37"/>
      <c r="D17" s="37"/>
      <c r="E17" s="12"/>
      <c r="F17" s="102"/>
      <c r="G17" s="102"/>
      <c r="H17" s="102"/>
      <c r="I17" s="153"/>
      <c r="J17" s="103"/>
      <c r="K17" s="153"/>
      <c r="L17" s="103"/>
      <c r="M17" s="12"/>
      <c r="N17" s="139"/>
      <c r="O17" s="139"/>
      <c r="P17" s="37"/>
      <c r="Q17" s="37"/>
      <c r="R17" s="12"/>
      <c r="S17" s="38"/>
      <c r="T17" s="37"/>
      <c r="U17" s="37"/>
    </row>
    <row r="18" spans="1:21" x14ac:dyDescent="0.4">
      <c r="A18" s="37"/>
      <c r="B18" s="101"/>
      <c r="C18" s="37"/>
      <c r="D18" s="37"/>
      <c r="E18" s="12"/>
      <c r="F18" s="102"/>
      <c r="G18" s="102"/>
      <c r="H18" s="102"/>
      <c r="I18" s="153"/>
      <c r="J18" s="103"/>
      <c r="K18" s="153"/>
      <c r="L18" s="103"/>
      <c r="M18" s="12"/>
      <c r="N18" s="139"/>
      <c r="O18" s="139"/>
      <c r="P18" s="37"/>
      <c r="Q18" s="37"/>
      <c r="R18" s="12"/>
      <c r="S18" s="38"/>
      <c r="T18" s="37"/>
      <c r="U18" s="37"/>
    </row>
    <row r="19" spans="1:21" x14ac:dyDescent="0.4">
      <c r="A19" s="37"/>
      <c r="B19" s="101"/>
      <c r="C19" s="37"/>
      <c r="D19" s="37"/>
      <c r="E19" s="12"/>
      <c r="F19" s="102"/>
      <c r="G19" s="102"/>
      <c r="H19" s="102"/>
      <c r="I19" s="153"/>
      <c r="J19" s="103"/>
      <c r="K19" s="153"/>
      <c r="L19" s="103"/>
      <c r="M19" s="12"/>
      <c r="N19" s="139"/>
      <c r="O19" s="139"/>
      <c r="P19" s="37"/>
      <c r="Q19" s="37"/>
      <c r="R19" s="12"/>
      <c r="S19" s="38"/>
      <c r="T19" s="37"/>
      <c r="U19" s="37"/>
    </row>
    <row r="20" spans="1:21" x14ac:dyDescent="0.4">
      <c r="A20" s="37"/>
      <c r="B20" s="101"/>
      <c r="C20" s="37"/>
      <c r="D20" s="37"/>
      <c r="E20" s="12"/>
      <c r="F20" s="102"/>
      <c r="G20" s="102"/>
      <c r="H20" s="102"/>
      <c r="I20" s="153"/>
      <c r="J20" s="103"/>
      <c r="K20" s="153"/>
      <c r="L20" s="103"/>
      <c r="M20" s="12"/>
      <c r="N20" s="139"/>
      <c r="O20" s="139"/>
      <c r="P20" s="37"/>
      <c r="Q20" s="37"/>
      <c r="R20" s="12"/>
      <c r="S20" s="38"/>
      <c r="T20" s="37"/>
      <c r="U20" s="37"/>
    </row>
    <row r="21" spans="1:21" x14ac:dyDescent="0.4">
      <c r="A21" s="37"/>
      <c r="B21" s="101"/>
      <c r="C21" s="37"/>
      <c r="D21" s="37"/>
      <c r="E21" s="12"/>
      <c r="F21" s="102"/>
      <c r="G21" s="102"/>
      <c r="H21" s="102"/>
      <c r="I21" s="153"/>
      <c r="J21" s="103"/>
      <c r="K21" s="153"/>
      <c r="L21" s="103"/>
      <c r="M21" s="12"/>
      <c r="N21" s="139"/>
      <c r="O21" s="139"/>
      <c r="P21" s="37"/>
      <c r="Q21" s="37"/>
      <c r="R21" s="12"/>
      <c r="S21" s="38"/>
      <c r="T21" s="37"/>
      <c r="U21" s="37"/>
    </row>
    <row r="22" spans="1:21" x14ac:dyDescent="0.4">
      <c r="A22" s="37"/>
      <c r="B22" s="101"/>
      <c r="C22" s="37"/>
      <c r="D22" s="37"/>
      <c r="E22" s="12"/>
      <c r="F22" s="102"/>
      <c r="G22" s="102"/>
      <c r="H22" s="102"/>
      <c r="I22" s="153"/>
      <c r="J22" s="103"/>
      <c r="K22" s="153"/>
      <c r="L22" s="103"/>
      <c r="M22" s="12"/>
      <c r="N22" s="139"/>
      <c r="O22" s="139"/>
      <c r="P22" s="37"/>
      <c r="Q22" s="37"/>
      <c r="R22" s="12"/>
      <c r="S22" s="38"/>
      <c r="T22" s="37"/>
      <c r="U22" s="37"/>
    </row>
    <row r="23" spans="1:21" x14ac:dyDescent="0.4">
      <c r="A23" s="37"/>
      <c r="B23" s="101"/>
      <c r="C23" s="37"/>
      <c r="D23" s="37"/>
      <c r="E23" s="12"/>
      <c r="F23" s="102"/>
      <c r="G23" s="102"/>
      <c r="H23" s="102"/>
      <c r="I23" s="153"/>
      <c r="J23" s="103"/>
      <c r="K23" s="153"/>
      <c r="L23" s="103"/>
      <c r="M23" s="12"/>
      <c r="N23" s="139"/>
      <c r="O23" s="139"/>
      <c r="P23" s="37"/>
      <c r="Q23" s="37"/>
      <c r="R23" s="12"/>
      <c r="S23" s="38"/>
      <c r="T23" s="37"/>
      <c r="U23" s="37"/>
    </row>
    <row r="24" spans="1:21" x14ac:dyDescent="0.4">
      <c r="A24" s="37"/>
      <c r="B24" s="101"/>
      <c r="C24" s="37"/>
      <c r="D24" s="37"/>
      <c r="E24" s="12"/>
      <c r="F24" s="102"/>
      <c r="G24" s="102"/>
      <c r="H24" s="102"/>
      <c r="I24" s="153"/>
      <c r="J24" s="103"/>
      <c r="K24" s="153"/>
      <c r="L24" s="103"/>
      <c r="M24" s="12"/>
      <c r="N24" s="139"/>
      <c r="O24" s="139"/>
      <c r="P24" s="37"/>
      <c r="Q24" s="37"/>
      <c r="R24" s="12"/>
      <c r="S24" s="38"/>
      <c r="T24" s="37"/>
      <c r="U24" s="37"/>
    </row>
    <row r="25" spans="1:21" x14ac:dyDescent="0.4">
      <c r="A25" s="37"/>
      <c r="B25" s="101"/>
      <c r="C25" s="37"/>
      <c r="D25" s="37"/>
      <c r="E25" s="12"/>
      <c r="F25" s="102"/>
      <c r="G25" s="102"/>
      <c r="H25" s="102"/>
      <c r="I25" s="153"/>
      <c r="J25" s="103"/>
      <c r="K25" s="153"/>
      <c r="L25" s="103"/>
      <c r="M25" s="12"/>
      <c r="N25" s="139"/>
      <c r="O25" s="139"/>
      <c r="P25" s="37"/>
      <c r="Q25" s="37"/>
      <c r="R25" s="12"/>
      <c r="S25" s="38"/>
      <c r="T25" s="37"/>
      <c r="U25" s="37"/>
    </row>
    <row r="26" spans="1:21" x14ac:dyDescent="0.4">
      <c r="A26" s="37"/>
      <c r="B26" s="101"/>
      <c r="C26" s="37"/>
      <c r="D26" s="37"/>
      <c r="E26" s="12"/>
      <c r="F26" s="102"/>
      <c r="G26" s="102"/>
      <c r="H26" s="102"/>
      <c r="I26" s="153"/>
      <c r="J26" s="103"/>
      <c r="K26" s="153"/>
      <c r="L26" s="103"/>
      <c r="M26" s="12"/>
      <c r="N26" s="139"/>
      <c r="O26" s="139"/>
      <c r="P26" s="37"/>
      <c r="Q26" s="37"/>
      <c r="R26" s="12"/>
      <c r="S26" s="38"/>
      <c r="T26" s="37"/>
      <c r="U26" s="37"/>
    </row>
    <row r="27" spans="1:21" x14ac:dyDescent="0.4">
      <c r="A27" s="37"/>
      <c r="B27" s="101"/>
      <c r="C27" s="37"/>
      <c r="D27" s="37"/>
      <c r="E27" s="12"/>
      <c r="F27" s="102"/>
      <c r="G27" s="102"/>
      <c r="H27" s="102"/>
      <c r="I27" s="153"/>
      <c r="J27" s="103"/>
      <c r="K27" s="153"/>
      <c r="L27" s="103"/>
      <c r="M27" s="12"/>
      <c r="N27" s="139"/>
      <c r="O27" s="139"/>
      <c r="P27" s="37"/>
      <c r="Q27" s="37"/>
      <c r="R27" s="12"/>
      <c r="S27" s="38"/>
      <c r="T27" s="37"/>
      <c r="U27" s="37"/>
    </row>
    <row r="28" spans="1:21" x14ac:dyDescent="0.4">
      <c r="A28" s="37"/>
      <c r="B28" s="101"/>
      <c r="C28" s="37"/>
      <c r="D28" s="37"/>
      <c r="E28" s="12"/>
      <c r="F28" s="102"/>
      <c r="G28" s="102"/>
      <c r="H28" s="102"/>
      <c r="I28" s="153"/>
      <c r="J28" s="103"/>
      <c r="K28" s="153"/>
      <c r="L28" s="103"/>
      <c r="M28" s="12"/>
      <c r="N28" s="139"/>
      <c r="O28" s="139"/>
      <c r="P28" s="37"/>
      <c r="Q28" s="37"/>
      <c r="R28" s="12"/>
      <c r="S28" s="38"/>
      <c r="T28" s="37"/>
      <c r="U28" s="37"/>
    </row>
    <row r="29" spans="1:21" x14ac:dyDescent="0.4">
      <c r="A29" s="37"/>
      <c r="B29" s="101"/>
      <c r="C29" s="37"/>
      <c r="D29" s="37"/>
      <c r="E29" s="12"/>
      <c r="F29" s="102"/>
      <c r="G29" s="102"/>
      <c r="H29" s="102"/>
      <c r="I29" s="153"/>
      <c r="J29" s="103"/>
      <c r="K29" s="153"/>
      <c r="L29" s="103"/>
      <c r="M29" s="12"/>
      <c r="N29" s="139"/>
      <c r="O29" s="139"/>
      <c r="P29" s="37"/>
      <c r="Q29" s="37"/>
      <c r="R29" s="12"/>
      <c r="S29" s="38"/>
      <c r="T29" s="37"/>
      <c r="U29" s="37"/>
    </row>
    <row r="30" spans="1:21" x14ac:dyDescent="0.4">
      <c r="A30" s="37"/>
      <c r="B30" s="101"/>
      <c r="C30" s="37"/>
      <c r="D30" s="37"/>
      <c r="E30" s="12"/>
      <c r="F30" s="102"/>
      <c r="G30" s="102"/>
      <c r="H30" s="102"/>
      <c r="I30" s="153"/>
      <c r="J30" s="103"/>
      <c r="K30" s="153"/>
      <c r="L30" s="103"/>
      <c r="M30" s="12"/>
      <c r="N30" s="139"/>
      <c r="O30" s="139"/>
      <c r="P30" s="37"/>
      <c r="Q30" s="37"/>
      <c r="R30" s="12"/>
      <c r="S30" s="38"/>
      <c r="T30" s="37"/>
      <c r="U30" s="37"/>
    </row>
    <row r="31" spans="1:21" x14ac:dyDescent="0.4">
      <c r="A31" s="37"/>
      <c r="B31" s="101"/>
      <c r="C31" s="37"/>
      <c r="D31" s="37"/>
      <c r="E31" s="12"/>
      <c r="F31" s="102"/>
      <c r="G31" s="102"/>
      <c r="H31" s="102"/>
      <c r="I31" s="153"/>
      <c r="J31" s="103"/>
      <c r="K31" s="153"/>
      <c r="L31" s="103"/>
      <c r="M31" s="12"/>
      <c r="N31" s="139"/>
      <c r="O31" s="139"/>
      <c r="P31" s="37"/>
      <c r="Q31" s="37"/>
      <c r="R31" s="12"/>
      <c r="S31" s="38"/>
      <c r="T31" s="37"/>
      <c r="U31" s="37"/>
    </row>
    <row r="32" spans="1:21" x14ac:dyDescent="0.4">
      <c r="A32" s="37"/>
      <c r="B32" s="101"/>
      <c r="C32" s="37"/>
      <c r="D32" s="37"/>
      <c r="E32" s="12"/>
      <c r="F32" s="102"/>
      <c r="G32" s="102"/>
      <c r="H32" s="102"/>
      <c r="I32" s="153"/>
      <c r="J32" s="103"/>
      <c r="K32" s="153"/>
      <c r="L32" s="103"/>
      <c r="M32" s="12"/>
      <c r="N32" s="139"/>
      <c r="O32" s="139"/>
      <c r="P32" s="37"/>
      <c r="Q32" s="37"/>
      <c r="R32" s="12"/>
      <c r="S32" s="38"/>
      <c r="T32" s="37"/>
      <c r="U32" s="37"/>
    </row>
    <row r="33" spans="1:21" x14ac:dyDescent="0.4">
      <c r="A33" s="37"/>
      <c r="B33" s="101"/>
      <c r="C33" s="37"/>
      <c r="D33" s="37"/>
      <c r="E33" s="12"/>
      <c r="F33" s="102"/>
      <c r="G33" s="102"/>
      <c r="H33" s="102"/>
      <c r="I33" s="153"/>
      <c r="J33" s="103"/>
      <c r="K33" s="153"/>
      <c r="L33" s="103"/>
      <c r="M33" s="12"/>
      <c r="N33" s="139"/>
      <c r="O33" s="139"/>
      <c r="P33" s="37"/>
      <c r="Q33" s="37"/>
      <c r="R33" s="12"/>
      <c r="S33" s="38"/>
      <c r="T33" s="37"/>
      <c r="U33" s="37"/>
    </row>
    <row r="34" spans="1:21" x14ac:dyDescent="0.4">
      <c r="A34" s="37"/>
      <c r="B34" s="101"/>
      <c r="C34" s="37"/>
      <c r="D34" s="37"/>
      <c r="E34" s="12"/>
      <c r="F34" s="102"/>
      <c r="G34" s="102"/>
      <c r="H34" s="102"/>
      <c r="I34" s="153"/>
      <c r="J34" s="103"/>
      <c r="K34" s="153"/>
      <c r="L34" s="103"/>
      <c r="M34" s="12"/>
      <c r="N34" s="139"/>
      <c r="O34" s="139"/>
      <c r="P34" s="37"/>
      <c r="Q34" s="37"/>
      <c r="R34" s="12"/>
      <c r="S34" s="38"/>
      <c r="T34" s="37"/>
      <c r="U34" s="37"/>
    </row>
    <row r="35" spans="1:21" x14ac:dyDescent="0.4">
      <c r="A35" s="37"/>
      <c r="B35" s="101"/>
      <c r="C35" s="37"/>
      <c r="D35" s="37"/>
      <c r="E35" s="12"/>
      <c r="F35" s="102"/>
      <c r="G35" s="102"/>
      <c r="H35" s="102"/>
      <c r="I35" s="153"/>
      <c r="J35" s="103"/>
      <c r="K35" s="153"/>
      <c r="L35" s="103"/>
      <c r="M35" s="12"/>
      <c r="N35" s="139"/>
      <c r="O35" s="139"/>
      <c r="P35" s="37"/>
      <c r="Q35" s="37"/>
      <c r="R35" s="12"/>
      <c r="S35" s="38"/>
      <c r="T35" s="37"/>
      <c r="U35" s="37"/>
    </row>
    <row r="36" spans="1:21" x14ac:dyDescent="0.4">
      <c r="A36" s="37"/>
      <c r="B36" s="101"/>
      <c r="C36" s="37"/>
      <c r="D36" s="37"/>
      <c r="E36" s="12"/>
      <c r="F36" s="102"/>
      <c r="G36" s="102"/>
      <c r="H36" s="102"/>
      <c r="I36" s="153"/>
      <c r="J36" s="103"/>
      <c r="K36" s="153"/>
      <c r="L36" s="103"/>
      <c r="M36" s="12"/>
      <c r="N36" s="139"/>
      <c r="O36" s="139"/>
      <c r="P36" s="37"/>
      <c r="Q36" s="37"/>
      <c r="R36" s="12"/>
      <c r="S36" s="38"/>
      <c r="T36" s="37"/>
      <c r="U36" s="37"/>
    </row>
    <row r="37" spans="1:21" x14ac:dyDescent="0.4">
      <c r="A37" s="37"/>
      <c r="B37" s="101"/>
      <c r="C37" s="37"/>
      <c r="D37" s="37"/>
      <c r="E37" s="12"/>
      <c r="F37" s="102"/>
      <c r="G37" s="102"/>
      <c r="H37" s="102"/>
      <c r="I37" s="153"/>
      <c r="J37" s="103"/>
      <c r="K37" s="153"/>
      <c r="L37" s="103"/>
      <c r="M37" s="12"/>
      <c r="N37" s="139"/>
      <c r="O37" s="139"/>
      <c r="P37" s="37"/>
      <c r="Q37" s="37"/>
      <c r="R37" s="12"/>
      <c r="S37" s="38"/>
      <c r="T37" s="37"/>
      <c r="U37" s="37"/>
    </row>
    <row r="38" spans="1:21" x14ac:dyDescent="0.4">
      <c r="A38" s="37"/>
      <c r="B38" s="101"/>
      <c r="C38" s="37"/>
      <c r="D38" s="37"/>
      <c r="E38" s="12"/>
      <c r="F38" s="102"/>
      <c r="G38" s="102"/>
      <c r="H38" s="102"/>
      <c r="I38" s="153"/>
      <c r="J38" s="103"/>
      <c r="K38" s="153"/>
      <c r="L38" s="103"/>
      <c r="M38" s="12"/>
      <c r="N38" s="139"/>
      <c r="O38" s="139"/>
      <c r="P38" s="37"/>
      <c r="Q38" s="37"/>
      <c r="R38" s="12"/>
      <c r="S38" s="38"/>
      <c r="T38" s="37"/>
      <c r="U38" s="37"/>
    </row>
    <row r="39" spans="1:21" x14ac:dyDescent="0.4">
      <c r="A39" s="37"/>
      <c r="B39" s="101"/>
      <c r="C39" s="37"/>
      <c r="D39" s="37"/>
      <c r="E39" s="12"/>
      <c r="F39" s="102"/>
      <c r="G39" s="102"/>
      <c r="H39" s="102"/>
      <c r="I39" s="153"/>
      <c r="J39" s="103"/>
      <c r="K39" s="153"/>
      <c r="L39" s="103"/>
      <c r="M39" s="12"/>
      <c r="N39" s="139"/>
      <c r="O39" s="139"/>
      <c r="P39" s="37"/>
      <c r="Q39" s="37"/>
      <c r="R39" s="12"/>
      <c r="S39" s="38"/>
      <c r="T39" s="37"/>
      <c r="U39" s="37"/>
    </row>
    <row r="40" spans="1:21" x14ac:dyDescent="0.4">
      <c r="A40" s="37"/>
      <c r="B40" s="101"/>
      <c r="C40" s="37"/>
      <c r="D40" s="37"/>
      <c r="E40" s="12"/>
      <c r="F40" s="102"/>
      <c r="G40" s="102"/>
      <c r="H40" s="102"/>
      <c r="I40" s="153"/>
      <c r="J40" s="103"/>
      <c r="K40" s="153"/>
      <c r="L40" s="103"/>
      <c r="M40" s="12"/>
      <c r="N40" s="139"/>
      <c r="O40" s="139"/>
      <c r="P40" s="37"/>
      <c r="Q40" s="37"/>
      <c r="R40" s="12"/>
      <c r="S40" s="38"/>
      <c r="T40" s="37"/>
      <c r="U40" s="37"/>
    </row>
    <row r="41" spans="1:21" x14ac:dyDescent="0.4">
      <c r="A41" s="37"/>
      <c r="B41" s="101"/>
      <c r="C41" s="37"/>
      <c r="D41" s="37"/>
      <c r="E41" s="12"/>
      <c r="F41" s="102"/>
      <c r="G41" s="102"/>
      <c r="H41" s="102"/>
      <c r="I41" s="153"/>
      <c r="J41" s="103"/>
      <c r="K41" s="153"/>
      <c r="L41" s="103"/>
      <c r="M41" s="12"/>
      <c r="N41" s="139"/>
      <c r="O41" s="139"/>
      <c r="P41" s="37"/>
      <c r="Q41" s="37"/>
      <c r="R41" s="12"/>
      <c r="S41" s="38"/>
      <c r="T41" s="37"/>
      <c r="U41" s="37"/>
    </row>
    <row r="42" spans="1:21" x14ac:dyDescent="0.4">
      <c r="A42" s="37"/>
      <c r="B42" s="101"/>
      <c r="C42" s="37"/>
      <c r="D42" s="37"/>
      <c r="E42" s="12"/>
      <c r="F42" s="102"/>
      <c r="G42" s="102"/>
      <c r="H42" s="102"/>
      <c r="I42" s="153"/>
      <c r="J42" s="103"/>
      <c r="K42" s="153"/>
      <c r="L42" s="103"/>
      <c r="M42" s="12"/>
      <c r="N42" s="139"/>
      <c r="O42" s="139"/>
      <c r="P42" s="37"/>
      <c r="Q42" s="37"/>
      <c r="R42" s="12"/>
      <c r="S42" s="38"/>
      <c r="T42" s="37"/>
      <c r="U42" s="37"/>
    </row>
    <row r="43" spans="1:21" x14ac:dyDescent="0.4">
      <c r="A43" s="37"/>
      <c r="B43" s="101"/>
      <c r="C43" s="37"/>
      <c r="D43" s="37"/>
      <c r="E43" s="12"/>
      <c r="F43" s="102"/>
      <c r="G43" s="102"/>
      <c r="H43" s="102"/>
      <c r="I43" s="153"/>
      <c r="J43" s="103"/>
      <c r="K43" s="153"/>
      <c r="L43" s="103"/>
      <c r="M43" s="12"/>
      <c r="N43" s="139"/>
      <c r="O43" s="139"/>
      <c r="P43" s="37"/>
      <c r="Q43" s="37"/>
      <c r="R43" s="12"/>
      <c r="S43" s="38"/>
      <c r="T43" s="37"/>
      <c r="U43" s="37"/>
    </row>
    <row r="44" spans="1:21" x14ac:dyDescent="0.4">
      <c r="A44" s="37"/>
      <c r="B44" s="101"/>
      <c r="C44" s="37"/>
      <c r="D44" s="37"/>
      <c r="E44" s="12"/>
      <c r="F44" s="102"/>
      <c r="G44" s="102"/>
      <c r="H44" s="102"/>
      <c r="I44" s="153"/>
      <c r="J44" s="103"/>
      <c r="K44" s="153"/>
      <c r="L44" s="103"/>
      <c r="M44" s="12"/>
      <c r="N44" s="139"/>
      <c r="O44" s="139"/>
      <c r="P44" s="37"/>
      <c r="Q44" s="37"/>
      <c r="R44" s="12"/>
      <c r="S44" s="38"/>
      <c r="T44" s="37"/>
      <c r="U44" s="37"/>
    </row>
    <row r="45" spans="1:21" x14ac:dyDescent="0.4">
      <c r="A45" s="37"/>
      <c r="B45" s="101"/>
      <c r="C45" s="37"/>
      <c r="D45" s="37"/>
      <c r="E45" s="12"/>
      <c r="F45" s="102"/>
      <c r="G45" s="102"/>
      <c r="H45" s="102"/>
      <c r="I45" s="153"/>
      <c r="J45" s="103"/>
      <c r="K45" s="153"/>
      <c r="L45" s="103"/>
      <c r="M45" s="12"/>
      <c r="N45" s="139"/>
      <c r="O45" s="139"/>
      <c r="P45" s="37"/>
      <c r="Q45" s="37"/>
      <c r="R45" s="12"/>
      <c r="S45" s="38"/>
      <c r="T45" s="37"/>
      <c r="U45" s="37"/>
    </row>
    <row r="46" spans="1:21" x14ac:dyDescent="0.4">
      <c r="A46" s="37"/>
      <c r="B46" s="101"/>
      <c r="C46" s="37"/>
      <c r="D46" s="37"/>
      <c r="E46" s="12"/>
      <c r="F46" s="102"/>
      <c r="G46" s="102"/>
      <c r="H46" s="102"/>
      <c r="I46" s="153"/>
      <c r="J46" s="103"/>
      <c r="K46" s="153"/>
      <c r="L46" s="103"/>
      <c r="M46" s="12"/>
      <c r="N46" s="139"/>
      <c r="O46" s="139"/>
      <c r="P46" s="37"/>
      <c r="Q46" s="37"/>
      <c r="R46" s="12"/>
      <c r="S46" s="38"/>
      <c r="T46" s="37"/>
      <c r="U46" s="37"/>
    </row>
    <row r="47" spans="1:21" x14ac:dyDescent="0.4">
      <c r="A47" s="37"/>
      <c r="B47" s="101"/>
      <c r="C47" s="37"/>
      <c r="D47" s="37"/>
      <c r="E47" s="12"/>
      <c r="F47" s="102"/>
      <c r="G47" s="102"/>
      <c r="H47" s="102"/>
      <c r="I47" s="153"/>
      <c r="J47" s="103"/>
      <c r="K47" s="153"/>
      <c r="L47" s="103"/>
      <c r="M47" s="12"/>
      <c r="N47" s="139"/>
      <c r="O47" s="139"/>
      <c r="P47" s="37"/>
      <c r="Q47" s="37"/>
      <c r="R47" s="12"/>
      <c r="S47" s="38"/>
      <c r="T47" s="37"/>
      <c r="U47" s="37"/>
    </row>
    <row r="48" spans="1:21" x14ac:dyDescent="0.4">
      <c r="A48" s="37"/>
      <c r="B48" s="101"/>
      <c r="C48" s="37"/>
      <c r="D48" s="37"/>
      <c r="E48" s="12"/>
      <c r="F48" s="102"/>
      <c r="G48" s="102"/>
      <c r="H48" s="102"/>
      <c r="I48" s="153"/>
      <c r="J48" s="103"/>
      <c r="K48" s="153"/>
      <c r="L48" s="103"/>
      <c r="M48" s="12"/>
      <c r="N48" s="139"/>
      <c r="O48" s="139"/>
      <c r="P48" s="37"/>
      <c r="Q48" s="37"/>
      <c r="R48" s="12"/>
      <c r="S48" s="38"/>
      <c r="T48" s="37"/>
      <c r="U48" s="37"/>
    </row>
    <row r="49" spans="1:21" x14ac:dyDescent="0.4">
      <c r="A49" s="37"/>
      <c r="B49" s="101"/>
      <c r="C49" s="37"/>
      <c r="D49" s="37"/>
      <c r="E49" s="12"/>
      <c r="F49" s="102"/>
      <c r="G49" s="102"/>
      <c r="H49" s="102"/>
      <c r="I49" s="153"/>
      <c r="J49" s="103"/>
      <c r="K49" s="153"/>
      <c r="L49" s="103"/>
      <c r="M49" s="12"/>
      <c r="N49" s="139"/>
      <c r="O49" s="139"/>
      <c r="P49" s="37"/>
      <c r="Q49" s="37"/>
      <c r="R49" s="12"/>
      <c r="S49" s="38"/>
      <c r="T49" s="37"/>
      <c r="U49" s="37"/>
    </row>
    <row r="50" spans="1:21" x14ac:dyDescent="0.4">
      <c r="A50" s="37"/>
      <c r="B50" s="101"/>
      <c r="C50" s="37"/>
      <c r="D50" s="37"/>
      <c r="E50" s="12"/>
      <c r="F50" s="102"/>
      <c r="G50" s="102"/>
      <c r="H50" s="102"/>
      <c r="I50" s="153"/>
      <c r="J50" s="103"/>
      <c r="K50" s="153"/>
      <c r="L50" s="103"/>
      <c r="M50" s="12"/>
      <c r="N50" s="139"/>
      <c r="O50" s="139"/>
      <c r="P50" s="37"/>
      <c r="Q50" s="37"/>
      <c r="R50" s="12"/>
      <c r="S50" s="38"/>
      <c r="T50" s="37"/>
      <c r="U50" s="37"/>
    </row>
    <row r="51" spans="1:21" x14ac:dyDescent="0.4">
      <c r="A51" s="37"/>
      <c r="B51" s="101"/>
      <c r="C51" s="37"/>
      <c r="D51" s="37"/>
      <c r="E51" s="12"/>
      <c r="F51" s="102"/>
      <c r="G51" s="102"/>
      <c r="H51" s="102"/>
      <c r="I51" s="153"/>
      <c r="J51" s="103"/>
      <c r="K51" s="153"/>
      <c r="L51" s="103"/>
      <c r="M51" s="12"/>
      <c r="N51" s="139"/>
      <c r="O51" s="139"/>
      <c r="P51" s="37"/>
      <c r="Q51" s="37"/>
      <c r="R51" s="12"/>
      <c r="S51" s="38"/>
      <c r="T51" s="37"/>
      <c r="U51" s="37"/>
    </row>
    <row r="52" spans="1:21" x14ac:dyDescent="0.4">
      <c r="A52" s="37"/>
      <c r="B52" s="101"/>
      <c r="C52" s="37"/>
      <c r="D52" s="37"/>
      <c r="E52" s="12"/>
      <c r="F52" s="102"/>
      <c r="G52" s="102"/>
      <c r="H52" s="102"/>
      <c r="I52" s="153"/>
      <c r="J52" s="103"/>
      <c r="K52" s="153"/>
      <c r="L52" s="103"/>
      <c r="M52" s="12"/>
      <c r="N52" s="139"/>
      <c r="O52" s="139"/>
      <c r="P52" s="37"/>
      <c r="Q52" s="37"/>
      <c r="R52" s="12"/>
      <c r="S52" s="38"/>
      <c r="T52" s="37"/>
      <c r="U52" s="37"/>
    </row>
    <row r="53" spans="1:21" x14ac:dyDescent="0.4">
      <c r="A53" s="37"/>
      <c r="B53" s="101"/>
      <c r="C53" s="37"/>
      <c r="D53" s="37"/>
      <c r="E53" s="12"/>
      <c r="F53" s="102"/>
      <c r="G53" s="102"/>
      <c r="H53" s="102"/>
      <c r="I53" s="153"/>
      <c r="J53" s="103"/>
      <c r="K53" s="153"/>
      <c r="L53" s="103"/>
      <c r="M53" s="12"/>
      <c r="N53" s="139"/>
      <c r="O53" s="139"/>
      <c r="P53" s="37"/>
      <c r="Q53" s="37"/>
      <c r="R53" s="12"/>
      <c r="S53" s="38"/>
      <c r="T53" s="37"/>
      <c r="U53" s="37"/>
    </row>
    <row r="54" spans="1:21" x14ac:dyDescent="0.4">
      <c r="A54" s="37"/>
      <c r="B54" s="101"/>
      <c r="C54" s="37"/>
      <c r="D54" s="37"/>
      <c r="E54" s="12"/>
      <c r="F54" s="102"/>
      <c r="G54" s="102"/>
      <c r="H54" s="102"/>
      <c r="I54" s="153"/>
      <c r="J54" s="103"/>
      <c r="K54" s="153"/>
      <c r="L54" s="103"/>
      <c r="M54" s="12"/>
      <c r="N54" s="139"/>
      <c r="O54" s="139"/>
      <c r="P54" s="37"/>
      <c r="Q54" s="37"/>
      <c r="R54" s="12"/>
      <c r="S54" s="38"/>
      <c r="T54" s="37"/>
      <c r="U54" s="37"/>
    </row>
    <row r="55" spans="1:21" x14ac:dyDescent="0.4">
      <c r="A55" s="37"/>
      <c r="B55" s="101"/>
      <c r="C55" s="37"/>
      <c r="D55" s="37"/>
      <c r="E55" s="12"/>
      <c r="F55" s="102"/>
      <c r="G55" s="102"/>
      <c r="H55" s="102"/>
      <c r="I55" s="153"/>
      <c r="J55" s="103"/>
      <c r="K55" s="153"/>
      <c r="L55" s="103"/>
      <c r="M55" s="12"/>
      <c r="N55" s="139"/>
      <c r="O55" s="139"/>
      <c r="P55" s="37"/>
      <c r="Q55" s="37"/>
      <c r="R55" s="12"/>
      <c r="S55" s="38"/>
      <c r="T55" s="37"/>
      <c r="U55" s="37"/>
    </row>
    <row r="56" spans="1:21" x14ac:dyDescent="0.4">
      <c r="A56" s="37"/>
      <c r="B56" s="101"/>
      <c r="C56" s="37"/>
      <c r="D56" s="37"/>
      <c r="E56" s="12"/>
      <c r="F56" s="102"/>
      <c r="G56" s="102"/>
      <c r="H56" s="102"/>
      <c r="I56" s="153"/>
      <c r="J56" s="103"/>
      <c r="K56" s="153"/>
      <c r="L56" s="103"/>
      <c r="M56" s="12"/>
      <c r="N56" s="139"/>
      <c r="O56" s="139"/>
      <c r="P56" s="37"/>
      <c r="Q56" s="37"/>
      <c r="R56" s="12"/>
      <c r="S56" s="38"/>
      <c r="T56" s="37"/>
      <c r="U56" s="37"/>
    </row>
    <row r="57" spans="1:21" x14ac:dyDescent="0.4">
      <c r="A57" s="37"/>
      <c r="B57" s="101"/>
      <c r="C57" s="37"/>
      <c r="D57" s="37"/>
      <c r="E57" s="12"/>
      <c r="F57" s="102"/>
      <c r="G57" s="102"/>
      <c r="H57" s="102"/>
      <c r="I57" s="153"/>
      <c r="J57" s="103"/>
      <c r="K57" s="153"/>
      <c r="L57" s="103"/>
      <c r="M57" s="12"/>
      <c r="N57" s="139"/>
      <c r="O57" s="139"/>
      <c r="P57" s="37"/>
      <c r="Q57" s="37"/>
      <c r="R57" s="12"/>
      <c r="S57" s="38"/>
      <c r="T57" s="37"/>
      <c r="U57" s="37"/>
    </row>
    <row r="58" spans="1:21" x14ac:dyDescent="0.4">
      <c r="A58" s="37"/>
      <c r="B58" s="101"/>
      <c r="C58" s="37"/>
      <c r="D58" s="37"/>
      <c r="E58" s="12"/>
      <c r="F58" s="102"/>
      <c r="G58" s="102"/>
      <c r="H58" s="102"/>
      <c r="I58" s="153"/>
      <c r="J58" s="103"/>
      <c r="K58" s="153"/>
      <c r="L58" s="103"/>
      <c r="M58" s="12"/>
      <c r="N58" s="139"/>
      <c r="O58" s="139"/>
      <c r="P58" s="37"/>
      <c r="Q58" s="37"/>
      <c r="R58" s="12"/>
      <c r="S58" s="38"/>
      <c r="T58" s="37"/>
      <c r="U58" s="37"/>
    </row>
    <row r="59" spans="1:21" x14ac:dyDescent="0.4">
      <c r="A59" s="37"/>
      <c r="B59" s="101"/>
      <c r="C59" s="37"/>
      <c r="D59" s="37"/>
      <c r="E59" s="12"/>
      <c r="F59" s="102"/>
      <c r="G59" s="102"/>
      <c r="H59" s="102"/>
      <c r="I59" s="153"/>
      <c r="J59" s="103"/>
      <c r="K59" s="153"/>
      <c r="L59" s="103"/>
      <c r="M59" s="12"/>
      <c r="N59" s="139"/>
      <c r="O59" s="139"/>
      <c r="P59" s="37"/>
      <c r="Q59" s="37"/>
      <c r="R59" s="12"/>
      <c r="S59" s="38"/>
      <c r="T59" s="37"/>
      <c r="U59" s="37"/>
    </row>
    <row r="60" spans="1:21" x14ac:dyDescent="0.4">
      <c r="A60" s="37"/>
      <c r="B60" s="101"/>
      <c r="C60" s="37"/>
      <c r="D60" s="37"/>
      <c r="E60" s="12"/>
      <c r="F60" s="102"/>
      <c r="G60" s="102"/>
      <c r="H60" s="102"/>
      <c r="I60" s="153"/>
      <c r="J60" s="103"/>
      <c r="K60" s="153"/>
      <c r="L60" s="103"/>
      <c r="M60" s="12"/>
      <c r="N60" s="139"/>
      <c r="O60" s="139"/>
      <c r="P60" s="37"/>
      <c r="Q60" s="37"/>
      <c r="R60" s="12"/>
      <c r="S60" s="38"/>
      <c r="T60" s="37"/>
      <c r="U60" s="37"/>
    </row>
    <row r="61" spans="1:21" x14ac:dyDescent="0.4">
      <c r="A61" s="37"/>
      <c r="B61" s="37"/>
      <c r="C61" s="37"/>
      <c r="D61" s="37"/>
      <c r="E61" s="12"/>
      <c r="F61" s="102"/>
      <c r="G61" s="102"/>
      <c r="H61" s="102"/>
      <c r="I61" s="153"/>
      <c r="J61" s="103"/>
      <c r="K61" s="153"/>
      <c r="L61" s="103"/>
      <c r="M61" s="12"/>
      <c r="N61" s="9"/>
      <c r="O61" s="139"/>
      <c r="P61" s="37"/>
      <c r="Q61" s="37"/>
      <c r="R61" s="12"/>
      <c r="S61" s="38"/>
      <c r="T61" s="37"/>
      <c r="U61" s="37"/>
    </row>
    <row r="62" spans="1:21" x14ac:dyDescent="0.4">
      <c r="A62" s="37"/>
      <c r="B62" s="101"/>
      <c r="C62" s="37"/>
      <c r="D62" s="37"/>
      <c r="E62" s="12"/>
      <c r="F62" s="102"/>
      <c r="G62" s="102"/>
      <c r="H62" s="102"/>
      <c r="I62" s="153"/>
      <c r="J62" s="103"/>
      <c r="K62" s="153"/>
      <c r="L62" s="103"/>
      <c r="M62" s="12"/>
      <c r="N62" s="139"/>
      <c r="O62" s="139"/>
      <c r="P62" s="37"/>
      <c r="Q62" s="37"/>
      <c r="R62" s="12"/>
      <c r="S62" s="38"/>
      <c r="T62" s="37"/>
      <c r="U62" s="37"/>
    </row>
    <row r="63" spans="1:21" x14ac:dyDescent="0.4">
      <c r="A63" s="37"/>
      <c r="B63" s="101"/>
      <c r="C63" s="37"/>
      <c r="D63" s="37"/>
      <c r="E63" s="12"/>
      <c r="F63" s="102"/>
      <c r="G63" s="102"/>
      <c r="H63" s="102"/>
      <c r="I63" s="153"/>
      <c r="J63" s="103"/>
      <c r="K63" s="153"/>
      <c r="L63" s="103"/>
      <c r="M63" s="12"/>
      <c r="N63" s="139"/>
      <c r="O63" s="139"/>
      <c r="P63" s="37"/>
      <c r="Q63" s="37"/>
      <c r="R63" s="12"/>
      <c r="S63" s="38"/>
      <c r="T63" s="37"/>
      <c r="U63" s="37"/>
    </row>
    <row r="64" spans="1:21" x14ac:dyDescent="0.4">
      <c r="A64" s="37"/>
      <c r="B64" s="101"/>
      <c r="C64" s="37"/>
      <c r="D64" s="37"/>
      <c r="E64" s="12"/>
      <c r="F64" s="102"/>
      <c r="G64" s="102"/>
      <c r="H64" s="102"/>
      <c r="I64" s="153"/>
      <c r="J64" s="103"/>
      <c r="K64" s="153"/>
      <c r="L64" s="103"/>
      <c r="M64" s="12"/>
      <c r="N64" s="139"/>
      <c r="O64" s="139"/>
      <c r="P64" s="37"/>
      <c r="Q64" s="37"/>
      <c r="R64" s="12"/>
      <c r="S64" s="38"/>
      <c r="T64" s="37"/>
      <c r="U64" s="37"/>
    </row>
    <row r="65" spans="1:21" x14ac:dyDescent="0.4">
      <c r="A65" s="37"/>
      <c r="B65" s="101"/>
      <c r="C65" s="37"/>
      <c r="D65" s="37"/>
      <c r="E65" s="12"/>
      <c r="F65" s="102"/>
      <c r="G65" s="102"/>
      <c r="H65" s="102"/>
      <c r="I65" s="153"/>
      <c r="J65" s="103"/>
      <c r="K65" s="153"/>
      <c r="L65" s="103"/>
      <c r="M65" s="12"/>
      <c r="N65" s="139"/>
      <c r="O65" s="139"/>
      <c r="P65" s="37"/>
      <c r="Q65" s="37"/>
      <c r="R65" s="12"/>
      <c r="S65" s="38"/>
      <c r="T65" s="37"/>
      <c r="U65" s="37"/>
    </row>
    <row r="66" spans="1:21" x14ac:dyDescent="0.4">
      <c r="A66" s="37"/>
      <c r="B66" s="101"/>
      <c r="C66" s="37"/>
      <c r="D66" s="37"/>
      <c r="E66" s="12"/>
      <c r="F66" s="102"/>
      <c r="G66" s="102"/>
      <c r="H66" s="102"/>
      <c r="I66" s="153"/>
      <c r="J66" s="103"/>
      <c r="K66" s="153"/>
      <c r="L66" s="103"/>
      <c r="M66" s="12"/>
      <c r="N66" s="139"/>
      <c r="O66" s="139"/>
      <c r="P66" s="37"/>
      <c r="Q66" s="37"/>
      <c r="R66" s="12"/>
      <c r="S66" s="38"/>
      <c r="T66" s="37"/>
      <c r="U66" s="37"/>
    </row>
    <row r="67" spans="1:21" x14ac:dyDescent="0.4">
      <c r="A67" s="37"/>
      <c r="B67" s="101"/>
      <c r="C67" s="37"/>
      <c r="D67" s="37"/>
      <c r="E67" s="12"/>
      <c r="F67" s="102"/>
      <c r="G67" s="102"/>
      <c r="H67" s="102"/>
      <c r="I67" s="153"/>
      <c r="J67" s="103"/>
      <c r="K67" s="153"/>
      <c r="L67" s="103"/>
      <c r="M67" s="12"/>
      <c r="N67" s="139"/>
      <c r="O67" s="139"/>
      <c r="P67" s="37"/>
      <c r="Q67" s="37"/>
      <c r="R67" s="12"/>
      <c r="S67" s="38"/>
      <c r="T67" s="37"/>
      <c r="U67" s="37"/>
    </row>
    <row r="68" spans="1:21" x14ac:dyDescent="0.4">
      <c r="A68" s="37"/>
      <c r="B68" s="101"/>
      <c r="C68" s="37"/>
      <c r="D68" s="37"/>
      <c r="E68" s="12"/>
      <c r="F68" s="102"/>
      <c r="G68" s="102"/>
      <c r="H68" s="102"/>
      <c r="I68" s="153"/>
      <c r="J68" s="103"/>
      <c r="K68" s="153"/>
      <c r="L68" s="103"/>
      <c r="M68" s="12"/>
      <c r="N68" s="139"/>
      <c r="O68" s="139"/>
      <c r="P68" s="37"/>
      <c r="Q68" s="37"/>
      <c r="R68" s="12"/>
      <c r="S68" s="38"/>
      <c r="T68" s="37"/>
      <c r="U68" s="37"/>
    </row>
    <row r="69" spans="1:21" x14ac:dyDescent="0.4">
      <c r="A69" s="37"/>
      <c r="B69" s="101"/>
      <c r="C69" s="37"/>
      <c r="D69" s="37"/>
      <c r="E69" s="12"/>
      <c r="F69" s="102"/>
      <c r="G69" s="102"/>
      <c r="H69" s="102"/>
      <c r="I69" s="153"/>
      <c r="J69" s="103"/>
      <c r="K69" s="153"/>
      <c r="L69" s="103"/>
      <c r="M69" s="12"/>
      <c r="N69" s="139"/>
      <c r="O69" s="139"/>
      <c r="P69" s="37"/>
      <c r="Q69" s="37"/>
      <c r="R69" s="12"/>
      <c r="S69" s="38"/>
      <c r="T69" s="37"/>
      <c r="U69" s="37"/>
    </row>
    <row r="70" spans="1:21" x14ac:dyDescent="0.4">
      <c r="A70" s="37"/>
      <c r="B70" s="101"/>
      <c r="C70" s="37"/>
      <c r="D70" s="37"/>
      <c r="E70" s="12"/>
      <c r="F70" s="102"/>
      <c r="G70" s="102"/>
      <c r="H70" s="102"/>
      <c r="I70" s="153"/>
      <c r="J70" s="103"/>
      <c r="K70" s="153"/>
      <c r="L70" s="103"/>
      <c r="M70" s="12"/>
      <c r="N70" s="139"/>
      <c r="O70" s="139"/>
      <c r="P70" s="37"/>
      <c r="Q70" s="37"/>
      <c r="R70" s="12"/>
      <c r="S70" s="38"/>
      <c r="T70" s="37"/>
      <c r="U70" s="37"/>
    </row>
    <row r="71" spans="1:21" x14ac:dyDescent="0.4">
      <c r="A71" s="37"/>
      <c r="B71" s="101"/>
      <c r="C71" s="37"/>
      <c r="D71" s="37"/>
      <c r="E71" s="12"/>
      <c r="F71" s="102"/>
      <c r="G71" s="102"/>
      <c r="H71" s="102"/>
      <c r="I71" s="153"/>
      <c r="J71" s="103"/>
      <c r="K71" s="153"/>
      <c r="L71" s="103"/>
      <c r="M71" s="12"/>
      <c r="N71" s="139"/>
      <c r="O71" s="139"/>
      <c r="P71" s="37"/>
      <c r="Q71" s="37"/>
      <c r="R71" s="12"/>
      <c r="S71" s="38"/>
      <c r="T71" s="37"/>
      <c r="U71" s="37"/>
    </row>
    <row r="72" spans="1:21" x14ac:dyDescent="0.4">
      <c r="A72" s="37"/>
      <c r="B72" s="101"/>
      <c r="C72" s="37"/>
      <c r="D72" s="37"/>
      <c r="E72" s="12"/>
      <c r="F72" s="102"/>
      <c r="G72" s="102"/>
      <c r="H72" s="102"/>
      <c r="I72" s="153"/>
      <c r="J72" s="103"/>
      <c r="K72" s="153"/>
      <c r="L72" s="103"/>
      <c r="M72" s="12"/>
      <c r="N72" s="139"/>
      <c r="O72" s="139"/>
      <c r="P72" s="37"/>
      <c r="Q72" s="37"/>
      <c r="R72" s="12"/>
      <c r="S72" s="38"/>
      <c r="T72" s="37"/>
      <c r="U72" s="37"/>
    </row>
    <row r="73" spans="1:21" x14ac:dyDescent="0.4">
      <c r="A73" s="37"/>
      <c r="B73" s="101"/>
      <c r="C73" s="37"/>
      <c r="D73" s="37"/>
      <c r="E73" s="12"/>
      <c r="F73" s="102"/>
      <c r="G73" s="102"/>
      <c r="H73" s="102"/>
      <c r="I73" s="153"/>
      <c r="J73" s="103"/>
      <c r="K73" s="153"/>
      <c r="L73" s="103"/>
      <c r="M73" s="12"/>
      <c r="N73" s="139"/>
      <c r="O73" s="139"/>
      <c r="P73" s="37"/>
      <c r="Q73" s="37"/>
      <c r="R73" s="12"/>
      <c r="S73" s="38"/>
      <c r="T73" s="37"/>
      <c r="U73" s="37"/>
    </row>
    <row r="74" spans="1:21" x14ac:dyDescent="0.4">
      <c r="A74" s="37"/>
      <c r="B74" s="101"/>
      <c r="C74" s="37"/>
      <c r="D74" s="37"/>
      <c r="E74" s="12"/>
      <c r="F74" s="102"/>
      <c r="G74" s="102"/>
      <c r="H74" s="102"/>
      <c r="I74" s="153"/>
      <c r="J74" s="103"/>
      <c r="K74" s="153"/>
      <c r="L74" s="103"/>
      <c r="M74" s="12"/>
      <c r="N74" s="139"/>
      <c r="O74" s="139"/>
      <c r="P74" s="37"/>
      <c r="Q74" s="37"/>
      <c r="R74" s="12"/>
      <c r="S74" s="38"/>
      <c r="T74" s="37"/>
      <c r="U74" s="37"/>
    </row>
    <row r="75" spans="1:21" x14ac:dyDescent="0.4">
      <c r="A75" s="37"/>
      <c r="B75" s="101"/>
      <c r="C75" s="37"/>
      <c r="D75" s="37"/>
      <c r="E75" s="12"/>
      <c r="F75" s="102"/>
      <c r="G75" s="102"/>
      <c r="H75" s="102"/>
      <c r="I75" s="153"/>
      <c r="J75" s="103"/>
      <c r="K75" s="153"/>
      <c r="L75" s="103"/>
      <c r="M75" s="12"/>
      <c r="N75" s="139"/>
      <c r="O75" s="139"/>
      <c r="P75" s="37"/>
      <c r="Q75" s="37"/>
      <c r="R75" s="12"/>
      <c r="S75" s="38"/>
      <c r="T75" s="37"/>
      <c r="U75" s="37"/>
    </row>
    <row r="76" spans="1:21" x14ac:dyDescent="0.4">
      <c r="A76" s="37"/>
      <c r="B76" s="101"/>
      <c r="C76" s="37"/>
      <c r="D76" s="37"/>
      <c r="E76" s="12"/>
      <c r="F76" s="102"/>
      <c r="G76" s="102"/>
      <c r="H76" s="102"/>
      <c r="I76" s="153"/>
      <c r="J76" s="103"/>
      <c r="K76" s="153"/>
      <c r="L76" s="103"/>
      <c r="M76" s="12"/>
      <c r="N76" s="139"/>
      <c r="O76" s="139"/>
      <c r="P76" s="37"/>
      <c r="Q76" s="37"/>
      <c r="R76" s="12"/>
      <c r="S76" s="38"/>
      <c r="T76" s="37"/>
      <c r="U76" s="37"/>
    </row>
    <row r="77" spans="1:21" x14ac:dyDescent="0.4">
      <c r="A77" s="37"/>
      <c r="B77" s="101"/>
      <c r="C77" s="37"/>
      <c r="D77" s="37"/>
      <c r="E77" s="12"/>
      <c r="F77" s="102"/>
      <c r="G77" s="102"/>
      <c r="H77" s="102"/>
      <c r="I77" s="153"/>
      <c r="J77" s="103"/>
      <c r="K77" s="153"/>
      <c r="L77" s="103"/>
      <c r="M77" s="12"/>
      <c r="N77" s="139"/>
      <c r="O77" s="139"/>
      <c r="P77" s="37"/>
      <c r="Q77" s="37"/>
      <c r="R77" s="12"/>
      <c r="S77" s="38"/>
      <c r="T77" s="37"/>
      <c r="U77" s="37"/>
    </row>
    <row r="78" spans="1:21" x14ac:dyDescent="0.4">
      <c r="A78" s="37"/>
      <c r="B78" s="101"/>
      <c r="C78" s="37"/>
      <c r="D78" s="37"/>
      <c r="E78" s="12"/>
      <c r="F78" s="102"/>
      <c r="G78" s="102"/>
      <c r="H78" s="102"/>
      <c r="I78" s="153"/>
      <c r="J78" s="103"/>
      <c r="K78" s="153"/>
      <c r="L78" s="103"/>
      <c r="M78" s="12"/>
      <c r="N78" s="139"/>
      <c r="O78" s="139"/>
      <c r="P78" s="37"/>
      <c r="Q78" s="37"/>
      <c r="R78" s="12"/>
      <c r="S78" s="38"/>
      <c r="T78" s="37"/>
      <c r="U78" s="37"/>
    </row>
    <row r="79" spans="1:21" x14ac:dyDescent="0.4">
      <c r="A79" s="37"/>
      <c r="B79" s="101"/>
      <c r="C79" s="37"/>
      <c r="D79" s="37"/>
      <c r="E79" s="12"/>
      <c r="F79" s="102"/>
      <c r="G79" s="102"/>
      <c r="H79" s="102"/>
      <c r="I79" s="153"/>
      <c r="J79" s="103"/>
      <c r="K79" s="153"/>
      <c r="L79" s="103"/>
      <c r="M79" s="12"/>
      <c r="N79" s="139"/>
      <c r="O79" s="139"/>
      <c r="P79" s="37"/>
      <c r="Q79" s="37"/>
      <c r="R79" s="12"/>
      <c r="S79" s="38"/>
      <c r="T79" s="37"/>
      <c r="U79" s="37"/>
    </row>
    <row r="80" spans="1:21" x14ac:dyDescent="0.4">
      <c r="A80" s="37"/>
      <c r="B80" s="101"/>
      <c r="C80" s="37"/>
      <c r="D80" s="37"/>
      <c r="E80" s="12"/>
      <c r="F80" s="102"/>
      <c r="G80" s="102"/>
      <c r="H80" s="102"/>
      <c r="I80" s="153"/>
      <c r="J80" s="103"/>
      <c r="K80" s="153"/>
      <c r="L80" s="103"/>
      <c r="M80" s="12"/>
      <c r="N80" s="139"/>
      <c r="O80" s="139"/>
      <c r="P80" s="37"/>
      <c r="Q80" s="37"/>
      <c r="R80" s="12"/>
      <c r="S80" s="38"/>
      <c r="T80" s="37"/>
      <c r="U80" s="37"/>
    </row>
    <row r="81" spans="1:21" x14ac:dyDescent="0.4">
      <c r="A81" s="37"/>
      <c r="B81" s="101"/>
      <c r="C81" s="37"/>
      <c r="D81" s="37"/>
      <c r="E81" s="12"/>
      <c r="F81" s="102"/>
      <c r="G81" s="102"/>
      <c r="H81" s="102"/>
      <c r="I81" s="153"/>
      <c r="J81" s="103"/>
      <c r="K81" s="153"/>
      <c r="L81" s="103"/>
      <c r="M81" s="12"/>
      <c r="N81" s="139"/>
      <c r="O81" s="139"/>
      <c r="P81" s="37"/>
      <c r="Q81" s="37"/>
      <c r="R81" s="12"/>
      <c r="S81" s="38"/>
      <c r="T81" s="37"/>
      <c r="U81" s="37"/>
    </row>
    <row r="82" spans="1:21" x14ac:dyDescent="0.4">
      <c r="A82" s="37"/>
      <c r="B82" s="101"/>
      <c r="C82" s="37"/>
      <c r="D82" s="37"/>
      <c r="E82" s="12"/>
      <c r="F82" s="102"/>
      <c r="G82" s="102"/>
      <c r="H82" s="102"/>
      <c r="I82" s="153"/>
      <c r="J82" s="103"/>
      <c r="K82" s="153"/>
      <c r="L82" s="103"/>
      <c r="M82" s="12"/>
      <c r="N82" s="139"/>
      <c r="O82" s="139"/>
      <c r="P82" s="37"/>
      <c r="Q82" s="37"/>
      <c r="R82" s="12"/>
      <c r="S82" s="38"/>
      <c r="T82" s="37"/>
      <c r="U82" s="37"/>
    </row>
    <row r="83" spans="1:21" x14ac:dyDescent="0.4">
      <c r="A83" s="37"/>
      <c r="B83" s="101"/>
      <c r="C83" s="37"/>
      <c r="D83" s="37"/>
      <c r="E83" s="12"/>
      <c r="F83" s="102"/>
      <c r="G83" s="102"/>
      <c r="H83" s="102"/>
      <c r="I83" s="153"/>
      <c r="J83" s="103"/>
      <c r="K83" s="153"/>
      <c r="L83" s="103"/>
      <c r="M83" s="12"/>
      <c r="N83" s="139"/>
      <c r="O83" s="139"/>
      <c r="P83" s="37"/>
      <c r="Q83" s="37"/>
      <c r="R83" s="12"/>
      <c r="S83" s="38"/>
      <c r="T83" s="37"/>
      <c r="U83" s="37"/>
    </row>
    <row r="84" spans="1:21" x14ac:dyDescent="0.4">
      <c r="A84" s="37"/>
      <c r="B84" s="37"/>
      <c r="C84" s="37"/>
      <c r="D84" s="37"/>
      <c r="E84" s="12"/>
      <c r="F84" s="102"/>
      <c r="G84" s="102"/>
      <c r="H84" s="102"/>
      <c r="I84" s="153"/>
      <c r="J84" s="103"/>
      <c r="K84" s="153"/>
      <c r="L84" s="103"/>
      <c r="M84" s="12"/>
      <c r="N84" s="9"/>
      <c r="O84" s="12"/>
      <c r="P84" s="37"/>
      <c r="Q84" s="37"/>
      <c r="R84" s="12"/>
      <c r="S84" s="38"/>
      <c r="T84" s="37"/>
      <c r="U84" s="37"/>
    </row>
    <row r="85" spans="1:21" x14ac:dyDescent="0.4">
      <c r="A85" s="37"/>
      <c r="B85" s="37"/>
      <c r="C85" s="37"/>
      <c r="D85" s="37"/>
      <c r="E85" s="12"/>
      <c r="F85" s="102"/>
      <c r="G85" s="102"/>
      <c r="H85" s="102"/>
      <c r="I85" s="153"/>
      <c r="J85" s="103"/>
      <c r="K85" s="153"/>
      <c r="L85" s="103"/>
      <c r="M85" s="12"/>
      <c r="N85" s="9"/>
      <c r="O85" s="9"/>
      <c r="P85" s="37"/>
      <c r="Q85" s="37"/>
      <c r="R85" s="12"/>
      <c r="S85" s="38"/>
      <c r="T85" s="37"/>
      <c r="U85" s="37"/>
    </row>
    <row r="86" spans="1:21" x14ac:dyDescent="0.4">
      <c r="A86" s="37"/>
      <c r="B86" s="37"/>
      <c r="C86" s="37"/>
      <c r="D86" s="37"/>
      <c r="E86" s="12"/>
      <c r="F86" s="102"/>
      <c r="G86" s="102"/>
      <c r="H86" s="102"/>
      <c r="I86" s="153"/>
      <c r="J86" s="103"/>
      <c r="K86" s="153"/>
      <c r="L86" s="103"/>
      <c r="M86" s="12"/>
      <c r="N86" s="9"/>
      <c r="O86" s="12"/>
      <c r="P86" s="37"/>
      <c r="Q86" s="37"/>
      <c r="R86" s="12"/>
      <c r="S86" s="38"/>
      <c r="T86" s="37"/>
      <c r="U86" s="37"/>
    </row>
    <row r="87" spans="1:21" x14ac:dyDescent="0.4">
      <c r="A87" s="37"/>
      <c r="B87" s="37"/>
      <c r="C87" s="37"/>
      <c r="D87" s="37"/>
      <c r="E87" s="12"/>
      <c r="F87" s="102"/>
      <c r="G87" s="102"/>
      <c r="H87" s="102"/>
      <c r="I87" s="153"/>
      <c r="J87" s="103"/>
      <c r="K87" s="153"/>
      <c r="L87" s="103"/>
      <c r="M87" s="12"/>
      <c r="N87" s="9"/>
      <c r="O87" s="12"/>
      <c r="P87" s="37"/>
      <c r="Q87" s="37"/>
      <c r="R87" s="12"/>
      <c r="S87" s="38"/>
      <c r="T87" s="37"/>
      <c r="U87" s="37"/>
    </row>
    <row r="88" spans="1:21" x14ac:dyDescent="0.4">
      <c r="A88" s="37"/>
      <c r="B88" s="37"/>
      <c r="C88" s="37"/>
      <c r="D88" s="37"/>
      <c r="E88" s="12"/>
      <c r="F88" s="102"/>
      <c r="G88" s="102"/>
      <c r="H88" s="102"/>
      <c r="I88" s="153"/>
      <c r="J88" s="103"/>
      <c r="K88" s="153"/>
      <c r="L88" s="103"/>
      <c r="M88" s="12"/>
      <c r="N88" s="9"/>
      <c r="O88" s="12"/>
      <c r="P88" s="37"/>
      <c r="Q88" s="37"/>
      <c r="R88" s="12"/>
      <c r="S88" s="38"/>
      <c r="T88" s="37"/>
      <c r="U88" s="37"/>
    </row>
    <row r="89" spans="1:21" x14ac:dyDescent="0.4">
      <c r="A89" s="37"/>
      <c r="B89" s="37"/>
      <c r="C89" s="37"/>
      <c r="D89" s="37"/>
      <c r="E89" s="12"/>
      <c r="F89" s="102"/>
      <c r="G89" s="102"/>
      <c r="H89" s="102"/>
      <c r="I89" s="153"/>
      <c r="J89" s="103"/>
      <c r="K89" s="153"/>
      <c r="L89" s="103"/>
      <c r="M89" s="12"/>
      <c r="N89" s="9"/>
      <c r="O89" s="12"/>
      <c r="P89" s="37"/>
      <c r="Q89" s="37"/>
      <c r="R89" s="12"/>
      <c r="S89" s="38"/>
      <c r="T89" s="37"/>
      <c r="U89" s="37"/>
    </row>
    <row r="90" spans="1:21" x14ac:dyDescent="0.4">
      <c r="A90" s="37"/>
      <c r="B90" s="37"/>
      <c r="C90" s="37"/>
      <c r="D90" s="37"/>
      <c r="E90" s="12"/>
      <c r="F90" s="102"/>
      <c r="G90" s="102"/>
      <c r="H90" s="102"/>
      <c r="I90" s="153"/>
      <c r="J90" s="103"/>
      <c r="K90" s="153"/>
      <c r="L90" s="103"/>
      <c r="M90" s="12"/>
      <c r="N90" s="9"/>
      <c r="O90" s="12"/>
      <c r="P90" s="37"/>
      <c r="Q90" s="37"/>
      <c r="R90" s="12"/>
      <c r="S90" s="38"/>
      <c r="T90" s="37"/>
      <c r="U90" s="37"/>
    </row>
    <row r="91" spans="1:21" x14ac:dyDescent="0.4">
      <c r="A91" s="37"/>
      <c r="B91" s="37"/>
      <c r="C91" s="37"/>
      <c r="D91" s="37"/>
      <c r="E91" s="12"/>
      <c r="F91" s="102"/>
      <c r="G91" s="102"/>
      <c r="H91" s="102"/>
      <c r="I91" s="153"/>
      <c r="J91" s="103"/>
      <c r="K91" s="153"/>
      <c r="L91" s="103"/>
      <c r="M91" s="12"/>
      <c r="N91" s="9"/>
      <c r="O91" s="12"/>
      <c r="P91" s="37"/>
      <c r="Q91" s="37"/>
      <c r="R91" s="12"/>
      <c r="S91" s="38"/>
      <c r="T91" s="37"/>
      <c r="U91" s="37"/>
    </row>
    <row r="92" spans="1:21" x14ac:dyDescent="0.4">
      <c r="A92" s="37"/>
      <c r="B92" s="37"/>
      <c r="C92" s="37"/>
      <c r="D92" s="37"/>
      <c r="E92" s="12"/>
      <c r="F92" s="102"/>
      <c r="G92" s="102"/>
      <c r="H92" s="102"/>
      <c r="I92" s="153"/>
      <c r="J92" s="103"/>
      <c r="K92" s="153"/>
      <c r="L92" s="103"/>
      <c r="M92" s="12"/>
      <c r="N92" s="9"/>
      <c r="O92" s="12"/>
      <c r="P92" s="37"/>
      <c r="Q92" s="37"/>
      <c r="R92" s="12"/>
      <c r="S92" s="38"/>
      <c r="T92" s="37"/>
      <c r="U92" s="37"/>
    </row>
    <row r="93" spans="1:21" x14ac:dyDescent="0.4">
      <c r="A93" s="37"/>
      <c r="B93" s="37"/>
      <c r="C93" s="37"/>
      <c r="D93" s="37"/>
      <c r="E93" s="12"/>
      <c r="F93" s="102"/>
      <c r="G93" s="102"/>
      <c r="H93" s="102"/>
      <c r="I93" s="153"/>
      <c r="J93" s="103"/>
      <c r="K93" s="153"/>
      <c r="L93" s="103"/>
      <c r="M93" s="12"/>
      <c r="N93" s="9"/>
      <c r="O93" s="12"/>
      <c r="P93" s="37"/>
      <c r="Q93" s="37"/>
      <c r="R93" s="12"/>
      <c r="S93" s="38"/>
      <c r="T93" s="37"/>
      <c r="U93" s="37"/>
    </row>
    <row r="94" spans="1:21" x14ac:dyDescent="0.4">
      <c r="A94" s="37"/>
      <c r="B94" s="37"/>
      <c r="C94" s="37"/>
      <c r="D94" s="37"/>
      <c r="E94" s="12"/>
      <c r="F94" s="102"/>
      <c r="G94" s="102"/>
      <c r="H94" s="102"/>
      <c r="I94" s="153"/>
      <c r="J94" s="103"/>
      <c r="K94" s="153"/>
      <c r="L94" s="103"/>
      <c r="M94" s="12"/>
      <c r="N94" s="9"/>
      <c r="O94" s="12"/>
      <c r="P94" s="37"/>
      <c r="Q94" s="37"/>
      <c r="R94" s="12"/>
      <c r="S94" s="38"/>
      <c r="T94" s="37"/>
      <c r="U94" s="37"/>
    </row>
    <row r="95" spans="1:21" x14ac:dyDescent="0.4">
      <c r="A95" s="37"/>
      <c r="B95" s="37"/>
      <c r="C95" s="37"/>
      <c r="D95" s="37"/>
      <c r="E95" s="12"/>
      <c r="F95" s="102"/>
      <c r="G95" s="102"/>
      <c r="H95" s="102"/>
      <c r="I95" s="153"/>
      <c r="J95" s="103"/>
      <c r="K95" s="153"/>
      <c r="L95" s="103"/>
      <c r="M95" s="12"/>
      <c r="N95" s="9"/>
      <c r="O95" s="12"/>
      <c r="P95" s="37"/>
      <c r="Q95" s="37"/>
      <c r="R95" s="12"/>
      <c r="S95" s="38"/>
      <c r="T95" s="37"/>
      <c r="U95" s="37"/>
    </row>
    <row r="96" spans="1:21" x14ac:dyDescent="0.4">
      <c r="A96" s="37"/>
      <c r="B96" s="37"/>
      <c r="C96" s="37"/>
      <c r="D96" s="37"/>
      <c r="E96" s="12"/>
      <c r="F96" s="102"/>
      <c r="G96" s="102"/>
      <c r="H96" s="102"/>
      <c r="I96" s="153"/>
      <c r="J96" s="103"/>
      <c r="K96" s="153"/>
      <c r="L96" s="103"/>
      <c r="M96" s="12"/>
      <c r="N96" s="9"/>
      <c r="O96" s="12"/>
      <c r="P96" s="37"/>
      <c r="Q96" s="37"/>
      <c r="R96" s="12"/>
      <c r="S96" s="38"/>
      <c r="T96" s="37"/>
      <c r="U96" s="37"/>
    </row>
    <row r="97" spans="1:21" x14ac:dyDescent="0.4">
      <c r="A97" s="37"/>
      <c r="B97" s="37"/>
      <c r="C97" s="37"/>
      <c r="D97" s="37"/>
      <c r="E97" s="12"/>
      <c r="F97" s="102"/>
      <c r="G97" s="102"/>
      <c r="H97" s="102"/>
      <c r="I97" s="153"/>
      <c r="J97" s="103"/>
      <c r="K97" s="153"/>
      <c r="L97" s="103"/>
      <c r="M97" s="12"/>
      <c r="N97" s="9"/>
      <c r="O97" s="12"/>
      <c r="P97" s="37"/>
      <c r="Q97" s="37"/>
      <c r="R97" s="12"/>
      <c r="S97" s="38"/>
      <c r="T97" s="37"/>
      <c r="U97" s="37"/>
    </row>
    <row r="98" spans="1:21" x14ac:dyDescent="0.4">
      <c r="A98" s="37"/>
      <c r="B98" s="37"/>
      <c r="C98" s="37"/>
      <c r="D98" s="37"/>
      <c r="E98" s="12"/>
      <c r="F98" s="102"/>
      <c r="G98" s="102"/>
      <c r="H98" s="102"/>
      <c r="I98" s="153"/>
      <c r="J98" s="103"/>
      <c r="K98" s="153"/>
      <c r="L98" s="103"/>
      <c r="M98" s="12"/>
      <c r="N98" s="9"/>
      <c r="O98" s="12"/>
      <c r="P98" s="37"/>
      <c r="Q98" s="37"/>
      <c r="R98" s="12"/>
      <c r="S98" s="38"/>
      <c r="T98" s="37"/>
      <c r="U98" s="37"/>
    </row>
    <row r="99" spans="1:21" x14ac:dyDescent="0.4">
      <c r="A99" s="37"/>
      <c r="B99" s="101"/>
      <c r="C99" s="37"/>
      <c r="D99" s="37"/>
      <c r="E99" s="12"/>
      <c r="F99" s="102"/>
      <c r="G99" s="102"/>
      <c r="H99" s="102"/>
      <c r="I99" s="153"/>
      <c r="J99" s="103"/>
      <c r="K99" s="153"/>
      <c r="L99" s="103"/>
      <c r="M99" s="12"/>
      <c r="N99" s="139"/>
      <c r="O99" s="139"/>
      <c r="P99" s="37"/>
      <c r="Q99" s="37"/>
      <c r="R99" s="12"/>
      <c r="S99" s="38"/>
      <c r="T99" s="37"/>
      <c r="U99" s="37"/>
    </row>
    <row r="100" spans="1:21" x14ac:dyDescent="0.4">
      <c r="A100" s="37"/>
      <c r="B100" s="37"/>
      <c r="C100" s="37"/>
      <c r="D100" s="37"/>
      <c r="E100" s="12"/>
      <c r="F100" s="102"/>
      <c r="G100" s="102"/>
      <c r="H100" s="102"/>
      <c r="I100" s="153"/>
      <c r="J100" s="103"/>
      <c r="K100" s="153"/>
      <c r="L100" s="103"/>
      <c r="M100" s="12"/>
      <c r="N100" s="9"/>
      <c r="O100" s="12"/>
      <c r="P100" s="37"/>
      <c r="Q100" s="37"/>
      <c r="R100" s="12"/>
      <c r="S100" s="38"/>
      <c r="T100" s="37"/>
      <c r="U100" s="37"/>
    </row>
    <row r="101" spans="1:21" x14ac:dyDescent="0.4">
      <c r="A101" s="37"/>
      <c r="B101" s="37"/>
      <c r="C101" s="37"/>
      <c r="D101" s="37"/>
      <c r="E101" s="12"/>
      <c r="F101" s="102"/>
      <c r="G101" s="102"/>
      <c r="H101" s="102"/>
      <c r="I101" s="153"/>
      <c r="J101" s="103"/>
      <c r="K101" s="153"/>
      <c r="L101" s="103"/>
      <c r="M101" s="12"/>
      <c r="N101" s="9"/>
      <c r="O101" s="12"/>
      <c r="P101" s="37"/>
      <c r="Q101" s="37"/>
      <c r="R101" s="12"/>
      <c r="S101" s="38"/>
      <c r="T101" s="37"/>
      <c r="U101" s="37"/>
    </row>
    <row r="102" spans="1:21" x14ac:dyDescent="0.4">
      <c r="A102" s="37"/>
      <c r="B102" s="37"/>
      <c r="C102" s="37"/>
      <c r="D102" s="37"/>
      <c r="E102" s="12"/>
      <c r="F102" s="102"/>
      <c r="G102" s="102"/>
      <c r="H102" s="102"/>
      <c r="I102" s="153"/>
      <c r="J102" s="103"/>
      <c r="K102" s="153"/>
      <c r="L102" s="103"/>
      <c r="M102" s="12"/>
      <c r="N102" s="9"/>
      <c r="O102" s="12"/>
      <c r="P102" s="37"/>
      <c r="Q102" s="37"/>
      <c r="R102" s="12"/>
      <c r="S102" s="38"/>
      <c r="T102" s="37"/>
      <c r="U102" s="37"/>
    </row>
    <row r="103" spans="1:21" x14ac:dyDescent="0.4">
      <c r="A103" s="37"/>
      <c r="B103" s="37"/>
      <c r="C103" s="37"/>
      <c r="D103" s="37"/>
      <c r="E103" s="12"/>
      <c r="F103" s="102"/>
      <c r="G103" s="102"/>
      <c r="H103" s="102"/>
      <c r="I103" s="153"/>
      <c r="J103" s="103"/>
      <c r="K103" s="153"/>
      <c r="L103" s="103"/>
      <c r="M103" s="12"/>
      <c r="N103" s="12"/>
      <c r="O103" s="12"/>
      <c r="P103" s="37"/>
      <c r="Q103" s="37"/>
      <c r="R103" s="12"/>
      <c r="S103" s="38"/>
      <c r="T103" s="37"/>
      <c r="U103" s="37"/>
    </row>
    <row r="104" spans="1:21" x14ac:dyDescent="0.4">
      <c r="A104" s="37"/>
      <c r="B104" s="37"/>
      <c r="C104" s="37"/>
      <c r="D104" s="37"/>
      <c r="E104" s="12"/>
      <c r="F104" s="102"/>
      <c r="G104" s="102"/>
      <c r="H104" s="102"/>
      <c r="I104" s="153"/>
      <c r="J104" s="103"/>
      <c r="K104" s="153"/>
      <c r="L104" s="103"/>
      <c r="M104" s="12"/>
      <c r="N104" s="12"/>
      <c r="O104" s="9"/>
      <c r="P104" s="37"/>
      <c r="Q104" s="37"/>
      <c r="R104" s="12"/>
      <c r="S104" s="38"/>
      <c r="T104" s="37"/>
      <c r="U104" s="37"/>
    </row>
    <row r="105" spans="1:21" x14ac:dyDescent="0.4">
      <c r="A105" s="37"/>
      <c r="B105" s="12"/>
      <c r="C105" s="37"/>
      <c r="D105" s="37"/>
      <c r="E105" s="12"/>
      <c r="F105" s="102"/>
      <c r="G105" s="102"/>
      <c r="H105" s="102"/>
      <c r="I105" s="153"/>
      <c r="J105" s="103"/>
      <c r="K105" s="153"/>
      <c r="L105" s="103"/>
      <c r="M105" s="100"/>
      <c r="N105" s="9"/>
      <c r="O105" s="12"/>
      <c r="P105" s="83"/>
      <c r="Q105" s="37"/>
      <c r="R105" s="12"/>
      <c r="S105" s="38"/>
      <c r="T105" s="37"/>
      <c r="U105" s="37"/>
    </row>
    <row r="106" spans="1:21" x14ac:dyDescent="0.4">
      <c r="A106" s="37"/>
      <c r="B106" s="102"/>
      <c r="C106" s="37"/>
      <c r="D106" s="143"/>
      <c r="E106" s="144"/>
      <c r="F106" s="154"/>
      <c r="G106" s="154"/>
      <c r="H106" s="154"/>
      <c r="I106" s="153"/>
      <c r="J106" s="103"/>
      <c r="K106" s="153"/>
      <c r="L106" s="103"/>
      <c r="M106" s="12"/>
      <c r="N106" s="9"/>
      <c r="O106" s="9"/>
      <c r="P106" s="37"/>
      <c r="Q106" s="37"/>
      <c r="R106" s="12"/>
      <c r="S106" s="38"/>
      <c r="T106" s="37"/>
      <c r="U106" s="37"/>
    </row>
    <row r="107" spans="1:21" x14ac:dyDescent="0.4">
      <c r="A107" s="37"/>
      <c r="B107" s="102"/>
      <c r="C107" s="37"/>
      <c r="D107" s="143"/>
      <c r="E107" s="12"/>
      <c r="F107" s="154"/>
      <c r="G107" s="154"/>
      <c r="H107" s="154"/>
      <c r="I107" s="153"/>
      <c r="J107" s="103"/>
      <c r="K107" s="153"/>
      <c r="L107" s="103"/>
      <c r="M107" s="12"/>
      <c r="N107" s="9"/>
      <c r="O107" s="9"/>
      <c r="P107" s="37"/>
      <c r="Q107" s="37"/>
      <c r="R107" s="12"/>
      <c r="S107" s="38"/>
      <c r="T107" s="37"/>
      <c r="U107" s="37"/>
    </row>
    <row r="108" spans="1:21" x14ac:dyDescent="0.4">
      <c r="A108" s="37"/>
      <c r="B108" s="154"/>
      <c r="C108" s="37"/>
      <c r="D108" s="143"/>
      <c r="E108" s="12"/>
      <c r="F108" s="154"/>
      <c r="G108" s="154"/>
      <c r="H108" s="154"/>
      <c r="I108" s="153"/>
      <c r="J108" s="103"/>
      <c r="K108" s="153"/>
      <c r="L108" s="103"/>
      <c r="M108" s="12"/>
      <c r="N108" s="9"/>
      <c r="O108" s="12"/>
      <c r="P108" s="37"/>
      <c r="Q108" s="37"/>
      <c r="R108" s="12"/>
      <c r="S108" s="38"/>
      <c r="T108" s="37"/>
      <c r="U108" s="37"/>
    </row>
    <row r="109" spans="1:21" s="73" customFormat="1" x14ac:dyDescent="0.4">
      <c r="A109" s="128"/>
      <c r="B109" s="128"/>
      <c r="C109" s="128"/>
      <c r="D109" s="128"/>
      <c r="N109"/>
      <c r="O109" s="99"/>
    </row>
    <row r="110" spans="1:21" s="73" customFormat="1" x14ac:dyDescent="0.4">
      <c r="A110" s="128"/>
      <c r="B110" s="128"/>
      <c r="C110" s="128"/>
      <c r="D110" s="128"/>
      <c r="N110"/>
    </row>
    <row r="111" spans="1:21" s="73" customFormat="1" x14ac:dyDescent="0.4">
      <c r="A111" s="128"/>
      <c r="B111" s="128"/>
      <c r="C111" s="128"/>
      <c r="D111" s="128"/>
      <c r="N111"/>
    </row>
    <row r="112" spans="1:21" s="73" customFormat="1" x14ac:dyDescent="0.4">
      <c r="A112" s="128"/>
      <c r="B112" s="128"/>
      <c r="C112" s="128"/>
      <c r="D112" s="128"/>
    </row>
    <row r="113" spans="1:19" s="73" customFormat="1" x14ac:dyDescent="0.4">
      <c r="A113" s="128"/>
      <c r="B113" s="73" t="s">
        <v>2</v>
      </c>
      <c r="C113" s="73" t="s">
        <v>777</v>
      </c>
      <c r="D113" s="73">
        <v>240</v>
      </c>
      <c r="F113"/>
      <c r="G113"/>
      <c r="H113"/>
      <c r="I113"/>
      <c r="J113"/>
      <c r="K113"/>
      <c r="L113"/>
      <c r="M113"/>
      <c r="N113"/>
      <c r="O113"/>
      <c r="P113"/>
      <c r="Q113"/>
      <c r="R113"/>
      <c r="S113"/>
    </row>
    <row r="114" spans="1:19" s="73" customFormat="1" x14ac:dyDescent="0.4">
      <c r="A114" s="128"/>
      <c r="B114" s="73" t="s">
        <v>14</v>
      </c>
      <c r="C114" s="73" t="s">
        <v>2629</v>
      </c>
      <c r="D114" s="73">
        <v>480</v>
      </c>
      <c r="F114"/>
      <c r="G114"/>
      <c r="H114"/>
      <c r="I114"/>
      <c r="J114"/>
      <c r="K114"/>
      <c r="L114"/>
      <c r="M114"/>
      <c r="N114"/>
      <c r="O114"/>
      <c r="P114"/>
      <c r="Q114"/>
      <c r="R114"/>
      <c r="S114"/>
    </row>
    <row r="115" spans="1:19" s="73" customFormat="1" x14ac:dyDescent="0.4">
      <c r="A115" s="128"/>
      <c r="B115" s="73" t="s">
        <v>158</v>
      </c>
      <c r="C115" s="73" t="s">
        <v>778</v>
      </c>
      <c r="D115" s="73">
        <v>2880</v>
      </c>
      <c r="F115"/>
      <c r="G115"/>
      <c r="H115"/>
      <c r="I115"/>
      <c r="J115"/>
      <c r="K115"/>
      <c r="L115"/>
      <c r="M115"/>
      <c r="N115"/>
      <c r="O115"/>
      <c r="P115"/>
      <c r="Q115"/>
      <c r="R115"/>
      <c r="S115"/>
    </row>
    <row r="116" spans="1:19" x14ac:dyDescent="0.4">
      <c r="A116" s="73"/>
      <c r="E116" s="73"/>
    </row>
    <row r="117" spans="1:19" x14ac:dyDescent="0.4">
      <c r="B117" s="128"/>
      <c r="C117" s="128"/>
      <c r="D117" s="128"/>
    </row>
    <row r="118" spans="1:19" x14ac:dyDescent="0.4">
      <c r="B118" s="128"/>
      <c r="C118" s="128"/>
      <c r="D118" s="128"/>
    </row>
  </sheetData>
  <phoneticPr fontId="62" type="noConversion"/>
  <conditionalFormatting sqref="P2:P84 F2:L108 P86:P105 B106:B108 P107:P108">
    <cfRule type="cellIs" dxfId="12" priority="1" operator="equal">
      <formula>"NOK"</formula>
    </cfRule>
  </conditionalFormatting>
  <pageMargins left="0.7" right="0.7" top="0.75" bottom="0.75" header="0.3" footer="0.3"/>
  <pageSetup paperSize="9" orientation="portrait" horizontalDpi="4294967295" verticalDpi="4294967295"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5"/>
  <dimension ref="A1:W111"/>
  <sheetViews>
    <sheetView zoomScaleNormal="100" workbookViewId="0">
      <selection activeCell="A2" sqref="A2:XFD102"/>
    </sheetView>
  </sheetViews>
  <sheetFormatPr baseColWidth="10" defaultColWidth="11.4609375" defaultRowHeight="14.6" x14ac:dyDescent="0.4"/>
  <cols>
    <col min="1" max="1" width="5.765625" customWidth="1"/>
    <col min="2" max="2" width="11.765625" customWidth="1"/>
    <col min="3" max="3" width="9.23046875" bestFit="1" customWidth="1"/>
    <col min="4" max="4" width="11.4609375" customWidth="1"/>
    <col min="5" max="5" width="35.53515625" customWidth="1"/>
    <col min="6" max="6" width="14.765625" customWidth="1"/>
    <col min="7" max="7" width="16.765625" customWidth="1"/>
    <col min="8" max="9" width="14.53515625" customWidth="1"/>
    <col min="10" max="12" width="10.23046875" customWidth="1"/>
    <col min="13" max="13" width="57.23046875" customWidth="1"/>
    <col min="14" max="14" width="48.765625" customWidth="1"/>
    <col min="15" max="15" width="52.4609375" customWidth="1"/>
    <col min="16" max="16" width="9.4609375" bestFit="1" customWidth="1"/>
    <col min="17" max="17" width="8.4609375" bestFit="1" customWidth="1"/>
    <col min="18" max="18" width="15" bestFit="1" customWidth="1"/>
    <col min="19" max="19" width="5.23046875" bestFit="1" customWidth="1"/>
    <col min="20" max="20" width="8.23046875" bestFit="1" customWidth="1"/>
    <col min="21" max="21" width="8.765625" bestFit="1" customWidth="1"/>
  </cols>
  <sheetData>
    <row r="1" spans="1:23" x14ac:dyDescent="0.4">
      <c r="A1" s="7" t="s">
        <v>0</v>
      </c>
      <c r="B1" s="6"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6" t="s">
        <v>684</v>
      </c>
      <c r="R1" s="7" t="s">
        <v>659</v>
      </c>
      <c r="S1" s="157" t="s">
        <v>888</v>
      </c>
      <c r="T1" s="156" t="s">
        <v>2627</v>
      </c>
      <c r="U1" s="156" t="s">
        <v>2630</v>
      </c>
    </row>
    <row r="2" spans="1:23" x14ac:dyDescent="0.4">
      <c r="A2" s="37"/>
      <c r="B2" s="101"/>
      <c r="C2" s="37"/>
      <c r="D2" s="37"/>
      <c r="E2" s="12"/>
      <c r="F2" s="174"/>
      <c r="G2" s="174"/>
      <c r="H2" s="174"/>
      <c r="I2" s="153"/>
      <c r="J2" s="103"/>
      <c r="K2" s="153"/>
      <c r="L2" s="103"/>
      <c r="M2" s="104"/>
      <c r="N2" s="12"/>
      <c r="O2" s="12"/>
      <c r="P2" s="37"/>
      <c r="Q2" s="37"/>
      <c r="R2" s="12"/>
      <c r="S2" s="37"/>
      <c r="T2" s="37"/>
      <c r="U2" s="101"/>
    </row>
    <row r="3" spans="1:23" x14ac:dyDescent="0.4">
      <c r="A3" s="37"/>
      <c r="B3" s="101"/>
      <c r="C3" s="37"/>
      <c r="D3" s="37"/>
      <c r="E3" s="12"/>
      <c r="F3" s="174"/>
      <c r="G3" s="174"/>
      <c r="H3" s="174"/>
      <c r="I3" s="153"/>
      <c r="J3" s="103"/>
      <c r="K3" s="153"/>
      <c r="L3" s="103"/>
      <c r="M3" s="104"/>
      <c r="N3" s="12"/>
      <c r="O3" s="12"/>
      <c r="P3" s="37"/>
      <c r="Q3" s="37"/>
      <c r="R3" s="12"/>
      <c r="S3" s="37"/>
      <c r="T3" s="37"/>
      <c r="U3" s="101"/>
    </row>
    <row r="4" spans="1:23" x14ac:dyDescent="0.4">
      <c r="A4" s="37"/>
      <c r="B4" s="101"/>
      <c r="C4" s="37"/>
      <c r="D4" s="37"/>
      <c r="E4" s="12"/>
      <c r="F4" s="174"/>
      <c r="G4" s="174"/>
      <c r="H4" s="174"/>
      <c r="I4" s="153"/>
      <c r="J4" s="103"/>
      <c r="K4" s="153"/>
      <c r="L4" s="103"/>
      <c r="M4" s="104"/>
      <c r="N4" s="9"/>
      <c r="O4" s="9"/>
      <c r="P4" s="37"/>
      <c r="Q4" s="37"/>
      <c r="R4" s="12"/>
      <c r="S4" s="37"/>
      <c r="T4" s="37"/>
      <c r="U4" s="101"/>
    </row>
    <row r="5" spans="1:23" x14ac:dyDescent="0.4">
      <c r="A5" s="37"/>
      <c r="B5" s="101"/>
      <c r="C5" s="37"/>
      <c r="D5" s="37"/>
      <c r="E5" s="12"/>
      <c r="F5" s="174"/>
      <c r="G5" s="174"/>
      <c r="H5" s="174"/>
      <c r="I5" s="153"/>
      <c r="J5" s="103"/>
      <c r="K5" s="153"/>
      <c r="L5" s="103"/>
      <c r="M5" s="104"/>
      <c r="N5" s="12"/>
      <c r="O5" s="12"/>
      <c r="P5" s="37"/>
      <c r="Q5" s="37"/>
      <c r="R5" s="12"/>
      <c r="S5" s="37"/>
      <c r="T5" s="37"/>
      <c r="U5" s="101"/>
      <c r="W5" s="129"/>
    </row>
    <row r="6" spans="1:23" x14ac:dyDescent="0.4">
      <c r="A6" s="37"/>
      <c r="B6" s="178"/>
      <c r="C6" s="37"/>
      <c r="D6" s="37"/>
      <c r="E6" s="12"/>
      <c r="F6" s="174"/>
      <c r="G6" s="174"/>
      <c r="H6" s="174"/>
      <c r="I6" s="153"/>
      <c r="J6" s="103"/>
      <c r="K6" s="153"/>
      <c r="L6" s="103"/>
      <c r="M6" s="104"/>
      <c r="N6" s="12"/>
      <c r="O6" s="12"/>
      <c r="P6" s="37"/>
      <c r="Q6" s="37"/>
      <c r="R6" s="12"/>
      <c r="S6" s="37"/>
      <c r="T6" s="37"/>
      <c r="U6" s="101"/>
    </row>
    <row r="7" spans="1:23" x14ac:dyDescent="0.4">
      <c r="A7" s="37"/>
      <c r="B7" s="101"/>
      <c r="C7" s="37"/>
      <c r="D7" s="37"/>
      <c r="E7" s="12"/>
      <c r="F7" s="174"/>
      <c r="G7" s="174"/>
      <c r="H7" s="174"/>
      <c r="I7" s="153"/>
      <c r="J7" s="103"/>
      <c r="K7" s="153"/>
      <c r="L7" s="103"/>
      <c r="M7" s="104"/>
      <c r="N7" s="12"/>
      <c r="O7" s="12"/>
      <c r="P7" s="37"/>
      <c r="Q7" s="37"/>
      <c r="R7" s="12"/>
      <c r="S7" s="37"/>
      <c r="T7" s="37"/>
      <c r="U7" s="101"/>
    </row>
    <row r="8" spans="1:23" x14ac:dyDescent="0.4">
      <c r="A8" s="37"/>
      <c r="B8" s="101"/>
      <c r="C8" s="37"/>
      <c r="D8" s="37"/>
      <c r="E8" s="12"/>
      <c r="F8" s="174"/>
      <c r="G8" s="174"/>
      <c r="H8" s="174"/>
      <c r="I8" s="153"/>
      <c r="J8" s="103"/>
      <c r="K8" s="153"/>
      <c r="L8" s="103"/>
      <c r="M8" s="104"/>
      <c r="N8" s="12"/>
      <c r="O8" s="12"/>
      <c r="P8" s="37"/>
      <c r="Q8" s="37"/>
      <c r="R8" s="12"/>
      <c r="S8" s="37"/>
      <c r="T8" s="37"/>
      <c r="U8" s="101"/>
    </row>
    <row r="9" spans="1:23" x14ac:dyDescent="0.4">
      <c r="A9" s="37"/>
      <c r="B9" s="101"/>
      <c r="C9" s="37"/>
      <c r="D9" s="37"/>
      <c r="E9" s="12"/>
      <c r="F9" s="174"/>
      <c r="G9" s="174"/>
      <c r="H9" s="174"/>
      <c r="I9" s="153"/>
      <c r="J9" s="103"/>
      <c r="K9" s="153"/>
      <c r="L9" s="103"/>
      <c r="M9" s="104"/>
      <c r="N9" s="12"/>
      <c r="O9" s="12"/>
      <c r="P9" s="37"/>
      <c r="Q9" s="37"/>
      <c r="R9" s="12"/>
      <c r="S9" s="37"/>
      <c r="T9" s="37"/>
      <c r="U9" s="101"/>
    </row>
    <row r="10" spans="1:23" x14ac:dyDescent="0.4">
      <c r="A10" s="37"/>
      <c r="B10" s="101"/>
      <c r="C10" s="37"/>
      <c r="D10" s="37"/>
      <c r="E10" s="12"/>
      <c r="F10" s="174"/>
      <c r="G10" s="174"/>
      <c r="H10" s="174"/>
      <c r="I10" s="153"/>
      <c r="J10" s="103"/>
      <c r="K10" s="153"/>
      <c r="L10" s="103"/>
      <c r="M10" s="104"/>
      <c r="N10" s="12"/>
      <c r="O10" s="12"/>
      <c r="P10" s="37"/>
      <c r="Q10" s="37"/>
      <c r="R10" s="12"/>
      <c r="S10" s="37"/>
      <c r="T10" s="37"/>
      <c r="U10" s="101"/>
    </row>
    <row r="11" spans="1:23" x14ac:dyDescent="0.4">
      <c r="A11" s="37"/>
      <c r="B11" s="101"/>
      <c r="C11" s="37"/>
      <c r="D11" s="37"/>
      <c r="E11" s="9"/>
      <c r="F11" s="174"/>
      <c r="G11" s="174"/>
      <c r="H11" s="174"/>
      <c r="I11" s="153"/>
      <c r="J11" s="103"/>
      <c r="K11" s="153"/>
      <c r="L11" s="103"/>
      <c r="M11" s="104"/>
      <c r="N11" s="9"/>
      <c r="O11" s="9"/>
      <c r="P11" s="37"/>
      <c r="Q11" s="37"/>
      <c r="R11" s="12"/>
      <c r="S11" s="37"/>
      <c r="T11" s="37"/>
      <c r="U11" s="101"/>
    </row>
    <row r="12" spans="1:23" x14ac:dyDescent="0.4">
      <c r="A12" s="37"/>
      <c r="B12" s="101"/>
      <c r="C12" s="37"/>
      <c r="D12" s="37"/>
      <c r="E12" s="12"/>
      <c r="F12" s="174"/>
      <c r="G12" s="174"/>
      <c r="H12" s="174"/>
      <c r="I12" s="153"/>
      <c r="J12" s="103"/>
      <c r="K12" s="153"/>
      <c r="L12" s="103"/>
      <c r="M12" s="104"/>
      <c r="N12" s="12"/>
      <c r="O12" s="12"/>
      <c r="P12" s="37"/>
      <c r="Q12" s="37"/>
      <c r="R12" s="12"/>
      <c r="S12" s="37"/>
      <c r="T12" s="37"/>
      <c r="U12" s="101"/>
    </row>
    <row r="13" spans="1:23" x14ac:dyDescent="0.4">
      <c r="A13" s="37"/>
      <c r="B13" s="178"/>
      <c r="C13" s="37"/>
      <c r="D13" s="37"/>
      <c r="E13" s="12"/>
      <c r="F13" s="174"/>
      <c r="G13" s="174"/>
      <c r="H13" s="174"/>
      <c r="I13" s="153"/>
      <c r="J13" s="103"/>
      <c r="K13" s="153"/>
      <c r="L13" s="103"/>
      <c r="M13" s="104"/>
      <c r="N13" s="12"/>
      <c r="O13" s="12"/>
      <c r="P13" s="37"/>
      <c r="Q13" s="37"/>
      <c r="R13" s="12"/>
      <c r="S13" s="37"/>
      <c r="T13" s="37"/>
      <c r="U13" s="101"/>
    </row>
    <row r="14" spans="1:23" x14ac:dyDescent="0.4">
      <c r="A14" s="37"/>
      <c r="B14" s="101"/>
      <c r="C14" s="37"/>
      <c r="D14" s="37"/>
      <c r="E14" s="12"/>
      <c r="F14" s="174"/>
      <c r="G14" s="174"/>
      <c r="H14" s="174"/>
      <c r="I14" s="153"/>
      <c r="J14" s="103"/>
      <c r="K14" s="153"/>
      <c r="L14" s="103"/>
      <c r="M14" s="104"/>
      <c r="N14" s="12"/>
      <c r="O14" s="12"/>
      <c r="P14" s="37"/>
      <c r="Q14" s="37"/>
      <c r="R14" s="12"/>
      <c r="S14" s="37"/>
      <c r="T14" s="37"/>
      <c r="U14" s="101"/>
    </row>
    <row r="15" spans="1:23" x14ac:dyDescent="0.4">
      <c r="A15" s="37"/>
      <c r="B15" s="101"/>
      <c r="C15" s="37"/>
      <c r="D15" s="37"/>
      <c r="E15" s="12"/>
      <c r="F15" s="174"/>
      <c r="G15" s="174"/>
      <c r="H15" s="174"/>
      <c r="I15" s="153"/>
      <c r="J15" s="103"/>
      <c r="K15" s="153"/>
      <c r="L15" s="103"/>
      <c r="M15" s="104"/>
      <c r="N15" s="12"/>
      <c r="O15" s="12"/>
      <c r="P15" s="37"/>
      <c r="Q15" s="37"/>
      <c r="R15" s="12"/>
      <c r="S15" s="37"/>
      <c r="T15" s="37"/>
      <c r="U15" s="101"/>
    </row>
    <row r="16" spans="1:23" x14ac:dyDescent="0.4">
      <c r="A16" s="37"/>
      <c r="B16" s="101"/>
      <c r="C16" s="37"/>
      <c r="D16" s="37"/>
      <c r="E16" s="12"/>
      <c r="F16" s="174"/>
      <c r="G16" s="174"/>
      <c r="H16" s="174"/>
      <c r="I16" s="153"/>
      <c r="J16" s="103"/>
      <c r="K16" s="153"/>
      <c r="L16" s="103"/>
      <c r="M16" s="104"/>
      <c r="N16" s="12"/>
      <c r="O16" s="12"/>
      <c r="P16" s="37"/>
      <c r="Q16" s="37"/>
      <c r="R16" s="12"/>
      <c r="S16" s="37"/>
      <c r="T16" s="37"/>
      <c r="U16" s="101"/>
    </row>
    <row r="17" spans="1:21" x14ac:dyDescent="0.4">
      <c r="A17" s="37"/>
      <c r="B17" s="101"/>
      <c r="C17" s="37"/>
      <c r="D17" s="37"/>
      <c r="E17" s="12"/>
      <c r="F17" s="174"/>
      <c r="G17" s="174"/>
      <c r="H17" s="174"/>
      <c r="I17" s="153"/>
      <c r="J17" s="103"/>
      <c r="K17" s="153"/>
      <c r="L17" s="103"/>
      <c r="M17" s="104"/>
      <c r="N17" s="12"/>
      <c r="O17" s="12"/>
      <c r="P17" s="37"/>
      <c r="Q17" s="37"/>
      <c r="R17" s="12"/>
      <c r="S17" s="37"/>
      <c r="T17" s="37"/>
      <c r="U17" s="101"/>
    </row>
    <row r="18" spans="1:21" x14ac:dyDescent="0.4">
      <c r="A18" s="37"/>
      <c r="B18" s="101"/>
      <c r="C18" s="37"/>
      <c r="D18" s="37"/>
      <c r="E18" s="12"/>
      <c r="F18" s="174"/>
      <c r="G18" s="174"/>
      <c r="H18" s="174"/>
      <c r="I18" s="153"/>
      <c r="J18" s="103"/>
      <c r="K18" s="153"/>
      <c r="L18" s="103"/>
      <c r="M18" s="104"/>
      <c r="N18" s="12"/>
      <c r="O18" s="12"/>
      <c r="P18" s="37"/>
      <c r="Q18" s="37"/>
      <c r="R18" s="12"/>
      <c r="S18" s="37"/>
      <c r="T18" s="37"/>
      <c r="U18" s="101"/>
    </row>
    <row r="19" spans="1:21" x14ac:dyDescent="0.4">
      <c r="A19" s="37"/>
      <c r="B19" s="101"/>
      <c r="C19" s="37"/>
      <c r="D19" s="37"/>
      <c r="E19" s="12"/>
      <c r="F19" s="174"/>
      <c r="G19" s="174"/>
      <c r="H19" s="174"/>
      <c r="I19" s="153"/>
      <c r="J19" s="103"/>
      <c r="K19" s="153"/>
      <c r="L19" s="103"/>
      <c r="M19" s="104"/>
      <c r="N19" s="12"/>
      <c r="O19" s="12"/>
      <c r="P19" s="37"/>
      <c r="Q19" s="37"/>
      <c r="R19" s="12"/>
      <c r="S19" s="37"/>
      <c r="T19" s="37"/>
      <c r="U19" s="101"/>
    </row>
    <row r="20" spans="1:21" x14ac:dyDescent="0.4">
      <c r="A20" s="37"/>
      <c r="B20" s="101"/>
      <c r="C20" s="37"/>
      <c r="D20" s="37"/>
      <c r="E20" s="12"/>
      <c r="F20" s="174"/>
      <c r="G20" s="174"/>
      <c r="H20" s="174"/>
      <c r="I20" s="153"/>
      <c r="J20" s="103"/>
      <c r="K20" s="153"/>
      <c r="L20" s="103"/>
      <c r="M20" s="104"/>
      <c r="N20" s="12"/>
      <c r="O20" s="12"/>
      <c r="P20" s="37"/>
      <c r="Q20" s="37"/>
      <c r="R20" s="12"/>
      <c r="S20" s="37"/>
      <c r="T20" s="37"/>
      <c r="U20" s="101"/>
    </row>
    <row r="21" spans="1:21" x14ac:dyDescent="0.4">
      <c r="A21" s="37"/>
      <c r="B21" s="101"/>
      <c r="C21" s="37"/>
      <c r="D21" s="37"/>
      <c r="E21" s="12"/>
      <c r="F21" s="174"/>
      <c r="G21" s="174"/>
      <c r="H21" s="174"/>
      <c r="I21" s="153"/>
      <c r="J21" s="103"/>
      <c r="K21" s="153"/>
      <c r="L21" s="103"/>
      <c r="M21" s="104"/>
      <c r="N21" s="12"/>
      <c r="O21" s="12"/>
      <c r="P21" s="37"/>
      <c r="Q21" s="37"/>
      <c r="R21" s="12"/>
      <c r="S21" s="37"/>
      <c r="T21" s="37"/>
      <c r="U21" s="101"/>
    </row>
    <row r="22" spans="1:21" x14ac:dyDescent="0.4">
      <c r="A22" s="37"/>
      <c r="B22" s="101"/>
      <c r="C22" s="37"/>
      <c r="D22" s="37"/>
      <c r="E22" s="12"/>
      <c r="F22" s="174"/>
      <c r="G22" s="174"/>
      <c r="H22" s="174"/>
      <c r="I22" s="153"/>
      <c r="J22" s="103"/>
      <c r="K22" s="153"/>
      <c r="L22" s="103"/>
      <c r="M22" s="104"/>
      <c r="N22" s="12"/>
      <c r="O22" s="12"/>
      <c r="P22" s="37"/>
      <c r="Q22" s="37"/>
      <c r="R22" s="12"/>
      <c r="S22" s="37"/>
      <c r="T22" s="37"/>
      <c r="U22" s="101"/>
    </row>
    <row r="23" spans="1:21" x14ac:dyDescent="0.4">
      <c r="A23" s="37"/>
      <c r="B23" s="101"/>
      <c r="C23" s="37"/>
      <c r="D23" s="37"/>
      <c r="E23" s="12"/>
      <c r="F23" s="174"/>
      <c r="G23" s="174"/>
      <c r="H23" s="174"/>
      <c r="I23" s="153"/>
      <c r="J23" s="103"/>
      <c r="K23" s="153"/>
      <c r="L23" s="103"/>
      <c r="M23" s="104"/>
      <c r="N23" s="12"/>
      <c r="O23" s="12"/>
      <c r="P23" s="37"/>
      <c r="Q23" s="37"/>
      <c r="R23" s="12"/>
      <c r="S23" s="37"/>
      <c r="T23" s="37"/>
      <c r="U23" s="101"/>
    </row>
    <row r="24" spans="1:21" x14ac:dyDescent="0.4">
      <c r="A24" s="37"/>
      <c r="B24" s="101"/>
      <c r="C24" s="37"/>
      <c r="D24" s="37"/>
      <c r="E24" s="12"/>
      <c r="F24" s="174"/>
      <c r="G24" s="174"/>
      <c r="H24" s="174"/>
      <c r="I24" s="153"/>
      <c r="J24" s="103"/>
      <c r="K24" s="153"/>
      <c r="L24" s="103"/>
      <c r="M24" s="104"/>
      <c r="N24" s="12"/>
      <c r="O24" s="12"/>
      <c r="P24" s="37"/>
      <c r="Q24" s="37"/>
      <c r="R24" s="12"/>
      <c r="S24" s="37"/>
      <c r="T24" s="37"/>
      <c r="U24" s="101"/>
    </row>
    <row r="25" spans="1:21" x14ac:dyDescent="0.4">
      <c r="A25" s="37"/>
      <c r="B25" s="101"/>
      <c r="C25" s="37"/>
      <c r="D25" s="37"/>
      <c r="E25" s="12"/>
      <c r="F25" s="174"/>
      <c r="G25" s="174"/>
      <c r="H25" s="174"/>
      <c r="I25" s="153"/>
      <c r="J25" s="103"/>
      <c r="K25" s="153"/>
      <c r="L25" s="103"/>
      <c r="M25" s="104"/>
      <c r="N25" s="9"/>
      <c r="O25" s="12"/>
      <c r="P25" s="37"/>
      <c r="Q25" s="37"/>
      <c r="R25" s="12"/>
      <c r="S25" s="37"/>
      <c r="T25" s="37"/>
      <c r="U25" s="101"/>
    </row>
    <row r="26" spans="1:21" x14ac:dyDescent="0.4">
      <c r="A26" s="37"/>
      <c r="B26" s="101"/>
      <c r="C26" s="37"/>
      <c r="D26" s="37"/>
      <c r="E26" s="12"/>
      <c r="F26" s="174"/>
      <c r="G26" s="174"/>
      <c r="H26" s="174"/>
      <c r="I26" s="153"/>
      <c r="J26" s="103"/>
      <c r="K26" s="153"/>
      <c r="L26" s="103"/>
      <c r="M26" s="104"/>
      <c r="N26" s="12"/>
      <c r="O26" s="12"/>
      <c r="P26" s="37"/>
      <c r="Q26" s="37"/>
      <c r="R26" s="12"/>
      <c r="S26" s="37"/>
      <c r="T26" s="37"/>
      <c r="U26" s="101"/>
    </row>
    <row r="27" spans="1:21" x14ac:dyDescent="0.4">
      <c r="A27" s="37"/>
      <c r="B27" s="101"/>
      <c r="C27" s="37"/>
      <c r="D27" s="37"/>
      <c r="E27" s="12"/>
      <c r="F27" s="174"/>
      <c r="G27" s="174"/>
      <c r="H27" s="174"/>
      <c r="I27" s="153"/>
      <c r="J27" s="103"/>
      <c r="K27" s="153"/>
      <c r="L27" s="103"/>
      <c r="M27" s="104"/>
      <c r="N27" s="12"/>
      <c r="O27" s="12"/>
      <c r="P27" s="37"/>
      <c r="Q27" s="37"/>
      <c r="R27" s="12"/>
      <c r="S27" s="37"/>
      <c r="T27" s="37"/>
      <c r="U27" s="101"/>
    </row>
    <row r="28" spans="1:21" x14ac:dyDescent="0.4">
      <c r="A28" s="37"/>
      <c r="B28" s="101"/>
      <c r="C28" s="37"/>
      <c r="D28" s="37"/>
      <c r="E28" s="9"/>
      <c r="F28" s="174"/>
      <c r="G28" s="174"/>
      <c r="H28" s="174"/>
      <c r="I28" s="153"/>
      <c r="J28" s="103"/>
      <c r="K28" s="153"/>
      <c r="L28" s="103"/>
      <c r="M28" s="104"/>
      <c r="N28" s="12"/>
      <c r="O28" s="12"/>
      <c r="P28" s="37"/>
      <c r="Q28" s="37"/>
      <c r="R28" s="12"/>
      <c r="S28" s="37"/>
      <c r="T28" s="37"/>
      <c r="U28" s="101"/>
    </row>
    <row r="29" spans="1:21" x14ac:dyDescent="0.4">
      <c r="A29" s="37"/>
      <c r="B29" s="101"/>
      <c r="C29" s="37"/>
      <c r="D29" s="37"/>
      <c r="E29" s="9"/>
      <c r="F29" s="174"/>
      <c r="G29" s="174"/>
      <c r="H29" s="174"/>
      <c r="I29" s="153"/>
      <c r="J29" s="103"/>
      <c r="K29" s="153"/>
      <c r="L29" s="103"/>
      <c r="M29" s="104"/>
      <c r="N29" s="12"/>
      <c r="O29" s="12"/>
      <c r="P29" s="37"/>
      <c r="Q29" s="37"/>
      <c r="R29" s="12"/>
      <c r="S29" s="37"/>
      <c r="T29" s="37"/>
      <c r="U29" s="101"/>
    </row>
    <row r="30" spans="1:21" x14ac:dyDescent="0.4">
      <c r="A30" s="37"/>
      <c r="B30" s="101"/>
      <c r="C30" s="37"/>
      <c r="D30" s="37"/>
      <c r="E30" s="9"/>
      <c r="F30" s="174"/>
      <c r="G30" s="174"/>
      <c r="H30" s="174"/>
      <c r="I30" s="153"/>
      <c r="J30" s="103"/>
      <c r="K30" s="153"/>
      <c r="L30" s="103"/>
      <c r="M30" s="104"/>
      <c r="N30" s="12"/>
      <c r="O30" s="12"/>
      <c r="P30" s="37"/>
      <c r="Q30" s="37"/>
      <c r="R30" s="12"/>
      <c r="S30" s="37"/>
      <c r="T30" s="37"/>
      <c r="U30" s="101"/>
    </row>
    <row r="31" spans="1:21" x14ac:dyDescent="0.4">
      <c r="A31" s="37"/>
      <c r="B31" s="101"/>
      <c r="C31" s="37"/>
      <c r="D31" s="37"/>
      <c r="E31" s="9"/>
      <c r="F31" s="174"/>
      <c r="G31" s="174"/>
      <c r="H31" s="174"/>
      <c r="I31" s="153"/>
      <c r="J31" s="103"/>
      <c r="K31" s="153"/>
      <c r="L31" s="103"/>
      <c r="M31" s="104"/>
      <c r="N31" s="12"/>
      <c r="O31" s="12"/>
      <c r="P31" s="37"/>
      <c r="Q31" s="37"/>
      <c r="R31" s="12"/>
      <c r="S31" s="37"/>
      <c r="T31" s="37"/>
      <c r="U31" s="101"/>
    </row>
    <row r="32" spans="1:21" x14ac:dyDescent="0.4">
      <c r="A32" s="37"/>
      <c r="B32" s="101"/>
      <c r="C32" s="37"/>
      <c r="D32" s="37"/>
      <c r="E32" s="9"/>
      <c r="F32" s="174"/>
      <c r="G32" s="174"/>
      <c r="H32" s="174"/>
      <c r="I32" s="153"/>
      <c r="J32" s="103"/>
      <c r="K32" s="153"/>
      <c r="L32" s="103"/>
      <c r="M32" s="104"/>
      <c r="N32" s="12"/>
      <c r="O32" s="12"/>
      <c r="P32" s="37"/>
      <c r="Q32" s="37"/>
      <c r="R32" s="12"/>
      <c r="S32" s="37"/>
      <c r="T32" s="37"/>
      <c r="U32" s="101"/>
    </row>
    <row r="33" spans="1:21" x14ac:dyDescent="0.4">
      <c r="A33" s="37"/>
      <c r="B33" s="101"/>
      <c r="C33" s="37"/>
      <c r="D33" s="37"/>
      <c r="E33" s="9"/>
      <c r="F33" s="174"/>
      <c r="G33" s="174"/>
      <c r="H33" s="174"/>
      <c r="I33" s="153"/>
      <c r="J33" s="103"/>
      <c r="K33" s="153"/>
      <c r="L33" s="103"/>
      <c r="M33" s="104"/>
      <c r="N33" s="12"/>
      <c r="O33" s="12"/>
      <c r="P33" s="37"/>
      <c r="Q33" s="37"/>
      <c r="R33" s="12"/>
      <c r="S33" s="37"/>
      <c r="T33" s="37"/>
      <c r="U33" s="101"/>
    </row>
    <row r="34" spans="1:21" x14ac:dyDescent="0.4">
      <c r="A34" s="37"/>
      <c r="B34" s="101"/>
      <c r="C34" s="37"/>
      <c r="D34" s="37"/>
      <c r="E34" s="9"/>
      <c r="F34" s="174"/>
      <c r="G34" s="174"/>
      <c r="H34" s="174"/>
      <c r="I34" s="153"/>
      <c r="J34" s="103"/>
      <c r="K34" s="153"/>
      <c r="L34" s="103"/>
      <c r="M34" s="104"/>
      <c r="N34" s="12"/>
      <c r="O34" s="12"/>
      <c r="P34" s="37"/>
      <c r="Q34" s="37"/>
      <c r="R34" s="12"/>
      <c r="S34" s="37"/>
      <c r="T34" s="37"/>
      <c r="U34" s="101"/>
    </row>
    <row r="35" spans="1:21" x14ac:dyDescent="0.4">
      <c r="A35" s="37"/>
      <c r="B35" s="101"/>
      <c r="C35" s="37"/>
      <c r="D35" s="37"/>
      <c r="E35" s="9"/>
      <c r="F35" s="174"/>
      <c r="G35" s="174"/>
      <c r="H35" s="174"/>
      <c r="I35" s="153"/>
      <c r="J35" s="103"/>
      <c r="K35" s="153"/>
      <c r="L35" s="103"/>
      <c r="M35" s="104"/>
      <c r="N35" s="12"/>
      <c r="O35" s="12"/>
      <c r="P35" s="37"/>
      <c r="Q35" s="37"/>
      <c r="R35" s="12"/>
      <c r="S35" s="37"/>
      <c r="T35" s="37"/>
      <c r="U35" s="101"/>
    </row>
    <row r="36" spans="1:21" x14ac:dyDescent="0.4">
      <c r="A36" s="37"/>
      <c r="B36" s="101"/>
      <c r="C36" s="37"/>
      <c r="D36" s="37"/>
      <c r="E36" s="9"/>
      <c r="F36" s="174"/>
      <c r="G36" s="174"/>
      <c r="H36" s="174"/>
      <c r="I36" s="153"/>
      <c r="J36" s="103"/>
      <c r="K36" s="153"/>
      <c r="L36" s="103"/>
      <c r="M36" s="104"/>
      <c r="N36" s="12"/>
      <c r="O36" s="12"/>
      <c r="P36" s="37"/>
      <c r="Q36" s="37"/>
      <c r="R36" s="12"/>
      <c r="S36" s="37"/>
      <c r="T36" s="37"/>
      <c r="U36" s="101"/>
    </row>
    <row r="37" spans="1:21" x14ac:dyDescent="0.4">
      <c r="A37" s="37"/>
      <c r="B37" s="101"/>
      <c r="C37" s="37"/>
      <c r="D37" s="37"/>
      <c r="E37" s="9"/>
      <c r="F37" s="174"/>
      <c r="G37" s="174"/>
      <c r="H37" s="174"/>
      <c r="I37" s="153"/>
      <c r="J37" s="103"/>
      <c r="K37" s="153"/>
      <c r="L37" s="103"/>
      <c r="M37" s="104"/>
      <c r="N37" s="12"/>
      <c r="O37" s="12"/>
      <c r="P37" s="37"/>
      <c r="Q37" s="37"/>
      <c r="R37" s="12"/>
      <c r="S37" s="37"/>
      <c r="T37" s="37"/>
      <c r="U37" s="101"/>
    </row>
    <row r="38" spans="1:21" x14ac:dyDescent="0.4">
      <c r="A38" s="37"/>
      <c r="B38" s="101"/>
      <c r="C38" s="37"/>
      <c r="D38" s="37"/>
      <c r="E38" s="9"/>
      <c r="F38" s="174"/>
      <c r="G38" s="174"/>
      <c r="H38" s="174"/>
      <c r="I38" s="153"/>
      <c r="J38" s="103"/>
      <c r="K38" s="153"/>
      <c r="L38" s="103"/>
      <c r="M38" s="104"/>
      <c r="N38" s="12"/>
      <c r="O38" s="12"/>
      <c r="P38" s="37"/>
      <c r="Q38" s="37"/>
      <c r="R38" s="12"/>
      <c r="S38" s="37"/>
      <c r="T38" s="37"/>
      <c r="U38" s="101"/>
    </row>
    <row r="39" spans="1:21" x14ac:dyDescent="0.4">
      <c r="A39" s="37"/>
      <c r="B39" s="101"/>
      <c r="C39" s="37"/>
      <c r="D39" s="37"/>
      <c r="E39" s="9"/>
      <c r="F39" s="174"/>
      <c r="G39" s="174"/>
      <c r="H39" s="174"/>
      <c r="I39" s="153"/>
      <c r="J39" s="103"/>
      <c r="K39" s="153"/>
      <c r="L39" s="103"/>
      <c r="M39" s="104"/>
      <c r="N39" s="12"/>
      <c r="O39" s="12"/>
      <c r="P39" s="37"/>
      <c r="Q39" s="37"/>
      <c r="R39" s="12"/>
      <c r="S39" s="37"/>
      <c r="T39" s="37"/>
      <c r="U39" s="101"/>
    </row>
    <row r="40" spans="1:21" x14ac:dyDescent="0.4">
      <c r="A40" s="37"/>
      <c r="B40" s="101"/>
      <c r="C40" s="37"/>
      <c r="D40" s="37"/>
      <c r="E40" s="9"/>
      <c r="F40" s="174"/>
      <c r="G40" s="174"/>
      <c r="H40" s="174"/>
      <c r="I40" s="153"/>
      <c r="J40" s="103"/>
      <c r="K40" s="153"/>
      <c r="L40" s="103"/>
      <c r="M40" s="104"/>
      <c r="N40" s="12"/>
      <c r="O40" s="12"/>
      <c r="P40" s="37"/>
      <c r="Q40" s="37"/>
      <c r="R40" s="12"/>
      <c r="S40" s="37"/>
      <c r="T40" s="37"/>
      <c r="U40" s="101"/>
    </row>
    <row r="41" spans="1:21" x14ac:dyDescent="0.4">
      <c r="A41" s="37"/>
      <c r="B41" s="101"/>
      <c r="C41" s="37"/>
      <c r="D41" s="37"/>
      <c r="E41" s="9"/>
      <c r="F41" s="174"/>
      <c r="G41" s="174"/>
      <c r="H41" s="174"/>
      <c r="I41" s="153"/>
      <c r="J41" s="103"/>
      <c r="K41" s="153"/>
      <c r="L41" s="103"/>
      <c r="M41" s="104"/>
      <c r="N41" s="12"/>
      <c r="O41" s="12"/>
      <c r="P41" s="37"/>
      <c r="Q41" s="37"/>
      <c r="R41" s="12"/>
      <c r="S41" s="37"/>
      <c r="T41" s="37"/>
      <c r="U41" s="101"/>
    </row>
    <row r="42" spans="1:21" x14ac:dyDescent="0.4">
      <c r="A42" s="37"/>
      <c r="B42" s="101"/>
      <c r="C42" s="37"/>
      <c r="D42" s="37"/>
      <c r="E42" s="9"/>
      <c r="F42" s="174"/>
      <c r="G42" s="174"/>
      <c r="H42" s="174"/>
      <c r="I42" s="153"/>
      <c r="J42" s="103"/>
      <c r="K42" s="153"/>
      <c r="L42" s="103"/>
      <c r="M42" s="104"/>
      <c r="N42" s="12"/>
      <c r="O42" s="12"/>
      <c r="P42" s="37"/>
      <c r="Q42" s="37"/>
      <c r="R42" s="12"/>
      <c r="S42" s="37"/>
      <c r="T42" s="37"/>
      <c r="U42" s="101"/>
    </row>
    <row r="43" spans="1:21" x14ac:dyDescent="0.4">
      <c r="A43" s="37"/>
      <c r="B43" s="101"/>
      <c r="C43" s="37"/>
      <c r="D43" s="37"/>
      <c r="E43" s="9"/>
      <c r="F43" s="174"/>
      <c r="G43" s="174"/>
      <c r="H43" s="174"/>
      <c r="I43" s="153"/>
      <c r="J43" s="103"/>
      <c r="K43" s="153"/>
      <c r="L43" s="103"/>
      <c r="M43" s="104"/>
      <c r="N43" s="12"/>
      <c r="O43" s="12"/>
      <c r="P43" s="37"/>
      <c r="Q43" s="37"/>
      <c r="R43" s="12"/>
      <c r="S43" s="37"/>
      <c r="T43" s="37"/>
      <c r="U43" s="101"/>
    </row>
    <row r="44" spans="1:21" x14ac:dyDescent="0.4">
      <c r="A44" s="37"/>
      <c r="B44" s="101"/>
      <c r="C44" s="37"/>
      <c r="D44" s="37"/>
      <c r="E44" s="9"/>
      <c r="F44" s="174"/>
      <c r="G44" s="174"/>
      <c r="H44" s="174"/>
      <c r="I44" s="153"/>
      <c r="J44" s="103"/>
      <c r="K44" s="153"/>
      <c r="L44" s="103"/>
      <c r="M44" s="104"/>
      <c r="N44" s="12"/>
      <c r="O44" s="12"/>
      <c r="P44" s="37"/>
      <c r="Q44" s="37"/>
      <c r="R44" s="12"/>
      <c r="S44" s="37"/>
      <c r="T44" s="37"/>
      <c r="U44" s="101"/>
    </row>
    <row r="45" spans="1:21" x14ac:dyDescent="0.4">
      <c r="A45" s="37"/>
      <c r="B45" s="101"/>
      <c r="C45" s="37"/>
      <c r="D45" s="37"/>
      <c r="E45" s="9"/>
      <c r="F45" s="174"/>
      <c r="G45" s="174"/>
      <c r="H45" s="174"/>
      <c r="I45" s="153"/>
      <c r="J45" s="103"/>
      <c r="K45" s="153"/>
      <c r="L45" s="103"/>
      <c r="M45" s="104"/>
      <c r="N45" s="12"/>
      <c r="O45" s="12"/>
      <c r="P45" s="37"/>
      <c r="Q45" s="37"/>
      <c r="R45" s="12"/>
      <c r="S45" s="37"/>
      <c r="T45" s="37"/>
      <c r="U45" s="101"/>
    </row>
    <row r="46" spans="1:21" x14ac:dyDescent="0.4">
      <c r="A46" s="37"/>
      <c r="B46" s="101"/>
      <c r="C46" s="37"/>
      <c r="D46" s="37"/>
      <c r="E46" s="9"/>
      <c r="F46" s="174"/>
      <c r="G46" s="174"/>
      <c r="H46" s="174"/>
      <c r="I46" s="153"/>
      <c r="J46" s="103"/>
      <c r="K46" s="153"/>
      <c r="L46" s="103"/>
      <c r="M46" s="104"/>
      <c r="N46" s="12"/>
      <c r="O46" s="12"/>
      <c r="P46" s="37"/>
      <c r="Q46" s="37"/>
      <c r="R46" s="12"/>
      <c r="S46" s="37"/>
      <c r="T46" s="37"/>
      <c r="U46" s="101"/>
    </row>
    <row r="47" spans="1:21" x14ac:dyDescent="0.4">
      <c r="A47" s="37"/>
      <c r="B47" s="101"/>
      <c r="C47" s="37"/>
      <c r="D47" s="37"/>
      <c r="E47" s="9"/>
      <c r="F47" s="174"/>
      <c r="G47" s="174"/>
      <c r="H47" s="174"/>
      <c r="I47" s="153"/>
      <c r="J47" s="103"/>
      <c r="K47" s="153"/>
      <c r="L47" s="103"/>
      <c r="M47" s="104"/>
      <c r="N47" s="12"/>
      <c r="O47" s="12"/>
      <c r="P47" s="37"/>
      <c r="Q47" s="37"/>
      <c r="R47" s="12"/>
      <c r="S47" s="37"/>
      <c r="T47" s="37"/>
      <c r="U47" s="101"/>
    </row>
    <row r="48" spans="1:21" x14ac:dyDescent="0.4">
      <c r="A48" s="37"/>
      <c r="B48" s="101"/>
      <c r="C48" s="37"/>
      <c r="D48" s="37"/>
      <c r="E48" s="9"/>
      <c r="F48" s="174"/>
      <c r="G48" s="174"/>
      <c r="H48" s="174"/>
      <c r="I48" s="153"/>
      <c r="J48" s="103"/>
      <c r="K48" s="153"/>
      <c r="L48" s="103"/>
      <c r="M48" s="104"/>
      <c r="N48" s="12"/>
      <c r="O48" s="12"/>
      <c r="P48" s="37"/>
      <c r="Q48" s="37"/>
      <c r="R48" s="12"/>
      <c r="S48" s="37"/>
      <c r="T48" s="37"/>
      <c r="U48" s="101"/>
    </row>
    <row r="49" spans="1:21" x14ac:dyDescent="0.4">
      <c r="A49" s="37"/>
      <c r="B49" s="101"/>
      <c r="C49" s="37"/>
      <c r="D49" s="37"/>
      <c r="E49" s="9"/>
      <c r="F49" s="174"/>
      <c r="G49" s="174"/>
      <c r="H49" s="174"/>
      <c r="I49" s="153"/>
      <c r="J49" s="103"/>
      <c r="K49" s="153"/>
      <c r="L49" s="103"/>
      <c r="M49" s="104"/>
      <c r="N49" s="12"/>
      <c r="O49" s="12"/>
      <c r="P49" s="37"/>
      <c r="Q49" s="37"/>
      <c r="R49" s="12"/>
      <c r="S49" s="37"/>
      <c r="T49" s="37"/>
      <c r="U49" s="101"/>
    </row>
    <row r="50" spans="1:21" x14ac:dyDescent="0.4">
      <c r="A50" s="37"/>
      <c r="B50" s="101"/>
      <c r="C50" s="37"/>
      <c r="D50" s="37"/>
      <c r="E50" s="9"/>
      <c r="F50" s="174"/>
      <c r="G50" s="174"/>
      <c r="H50" s="174"/>
      <c r="I50" s="153"/>
      <c r="J50" s="103"/>
      <c r="K50" s="153"/>
      <c r="L50" s="103"/>
      <c r="M50" s="104"/>
      <c r="N50" s="12"/>
      <c r="O50" s="12"/>
      <c r="P50" s="37"/>
      <c r="Q50" s="37"/>
      <c r="R50" s="12"/>
      <c r="S50" s="37"/>
      <c r="T50" s="37"/>
      <c r="U50" s="101"/>
    </row>
    <row r="51" spans="1:21" x14ac:dyDescent="0.4">
      <c r="A51" s="37"/>
      <c r="B51" s="101"/>
      <c r="C51" s="37"/>
      <c r="D51" s="37"/>
      <c r="E51" s="9"/>
      <c r="F51" s="174"/>
      <c r="G51" s="174"/>
      <c r="H51" s="174"/>
      <c r="I51" s="153"/>
      <c r="J51" s="103"/>
      <c r="K51" s="153"/>
      <c r="L51" s="103"/>
      <c r="M51" s="104"/>
      <c r="N51" s="12"/>
      <c r="O51" s="12"/>
      <c r="P51" s="37"/>
      <c r="Q51" s="37"/>
      <c r="R51" s="12"/>
      <c r="S51" s="37"/>
      <c r="T51" s="37"/>
      <c r="U51" s="101"/>
    </row>
    <row r="52" spans="1:21" x14ac:dyDescent="0.4">
      <c r="A52" s="37"/>
      <c r="B52" s="101"/>
      <c r="C52" s="37"/>
      <c r="D52" s="37"/>
      <c r="E52" s="9"/>
      <c r="F52" s="174"/>
      <c r="G52" s="174"/>
      <c r="H52" s="174"/>
      <c r="I52" s="153"/>
      <c r="J52" s="103"/>
      <c r="K52" s="153"/>
      <c r="L52" s="103"/>
      <c r="M52" s="104"/>
      <c r="N52" s="12"/>
      <c r="O52" s="12"/>
      <c r="P52" s="37"/>
      <c r="Q52" s="37"/>
      <c r="R52" s="12"/>
      <c r="S52" s="37"/>
      <c r="T52" s="37"/>
      <c r="U52" s="101"/>
    </row>
    <row r="53" spans="1:21" x14ac:dyDescent="0.4">
      <c r="A53" s="37"/>
      <c r="B53" s="101"/>
      <c r="C53" s="37"/>
      <c r="D53" s="37"/>
      <c r="E53" s="9"/>
      <c r="F53" s="174"/>
      <c r="G53" s="174"/>
      <c r="H53" s="174"/>
      <c r="I53" s="153"/>
      <c r="J53" s="103"/>
      <c r="K53" s="153"/>
      <c r="L53" s="103"/>
      <c r="M53" s="104"/>
      <c r="N53" s="12"/>
      <c r="O53" s="12"/>
      <c r="P53" s="37"/>
      <c r="Q53" s="37"/>
      <c r="R53" s="12"/>
      <c r="S53" s="37"/>
      <c r="T53" s="37"/>
      <c r="U53" s="101"/>
    </row>
    <row r="54" spans="1:21" x14ac:dyDescent="0.4">
      <c r="A54" s="37"/>
      <c r="B54" s="101"/>
      <c r="C54" s="37"/>
      <c r="D54" s="37"/>
      <c r="E54" s="9"/>
      <c r="F54" s="174"/>
      <c r="G54" s="174"/>
      <c r="H54" s="174"/>
      <c r="I54" s="153"/>
      <c r="J54" s="103"/>
      <c r="K54" s="153"/>
      <c r="L54" s="103"/>
      <c r="M54" s="104"/>
      <c r="N54" s="12"/>
      <c r="O54" s="12"/>
      <c r="P54" s="37"/>
      <c r="Q54" s="37"/>
      <c r="R54" s="12"/>
      <c r="S54" s="37"/>
      <c r="T54" s="37"/>
      <c r="U54" s="101"/>
    </row>
    <row r="55" spans="1:21" x14ac:dyDescent="0.4">
      <c r="A55" s="37"/>
      <c r="B55" s="101"/>
      <c r="C55" s="37"/>
      <c r="D55" s="37"/>
      <c r="E55" s="9"/>
      <c r="F55" s="174"/>
      <c r="G55" s="174"/>
      <c r="H55" s="174"/>
      <c r="I55" s="153"/>
      <c r="J55" s="103"/>
      <c r="K55" s="153"/>
      <c r="L55" s="103"/>
      <c r="M55" s="104"/>
      <c r="N55" s="12"/>
      <c r="O55" s="12"/>
      <c r="P55" s="37"/>
      <c r="Q55" s="37"/>
      <c r="R55" s="12"/>
      <c r="S55" s="37"/>
      <c r="T55" s="37"/>
      <c r="U55" s="101"/>
    </row>
    <row r="56" spans="1:21" x14ac:dyDescent="0.4">
      <c r="A56" s="37"/>
      <c r="B56" s="101"/>
      <c r="C56" s="37"/>
      <c r="D56" s="37"/>
      <c r="E56" s="9"/>
      <c r="F56" s="174"/>
      <c r="G56" s="174"/>
      <c r="H56" s="174"/>
      <c r="I56" s="153"/>
      <c r="J56" s="103"/>
      <c r="K56" s="153"/>
      <c r="L56" s="103"/>
      <c r="M56" s="104"/>
      <c r="N56" s="12"/>
      <c r="O56" s="12"/>
      <c r="P56" s="37"/>
      <c r="Q56" s="37"/>
      <c r="R56" s="12"/>
      <c r="S56" s="37"/>
      <c r="T56" s="37"/>
      <c r="U56" s="101"/>
    </row>
    <row r="57" spans="1:21" x14ac:dyDescent="0.4">
      <c r="A57" s="37"/>
      <c r="B57" s="101"/>
      <c r="C57" s="37"/>
      <c r="D57" s="37"/>
      <c r="E57" s="9"/>
      <c r="F57" s="174"/>
      <c r="G57" s="174"/>
      <c r="H57" s="174"/>
      <c r="I57" s="153"/>
      <c r="J57" s="103"/>
      <c r="K57" s="153"/>
      <c r="L57" s="103"/>
      <c r="M57" s="104"/>
      <c r="N57" s="12"/>
      <c r="O57" s="12"/>
      <c r="P57" s="37"/>
      <c r="Q57" s="37"/>
      <c r="R57" s="12"/>
      <c r="S57" s="37"/>
      <c r="T57" s="37"/>
      <c r="U57" s="101"/>
    </row>
    <row r="58" spans="1:21" x14ac:dyDescent="0.4">
      <c r="A58" s="37"/>
      <c r="B58" s="101"/>
      <c r="C58" s="37"/>
      <c r="D58" s="37"/>
      <c r="E58" s="9"/>
      <c r="F58" s="174"/>
      <c r="G58" s="174"/>
      <c r="H58" s="174"/>
      <c r="I58" s="153"/>
      <c r="J58" s="103"/>
      <c r="K58" s="153"/>
      <c r="L58" s="103"/>
      <c r="M58" s="104"/>
      <c r="N58" s="12"/>
      <c r="O58" s="12"/>
      <c r="P58" s="37"/>
      <c r="Q58" s="37"/>
      <c r="R58" s="12"/>
      <c r="S58" s="37"/>
      <c r="T58" s="37"/>
      <c r="U58" s="101"/>
    </row>
    <row r="59" spans="1:21" x14ac:dyDescent="0.4">
      <c r="A59" s="37"/>
      <c r="B59" s="101"/>
      <c r="C59" s="37"/>
      <c r="D59" s="37"/>
      <c r="E59" s="9"/>
      <c r="F59" s="174"/>
      <c r="G59" s="174"/>
      <c r="H59" s="174"/>
      <c r="I59" s="153"/>
      <c r="J59" s="103"/>
      <c r="K59" s="153"/>
      <c r="L59" s="103"/>
      <c r="M59" s="104"/>
      <c r="N59" s="12"/>
      <c r="O59" s="12"/>
      <c r="P59" s="37"/>
      <c r="Q59" s="37"/>
      <c r="R59" s="12"/>
      <c r="S59" s="37"/>
      <c r="T59" s="37"/>
      <c r="U59" s="101"/>
    </row>
    <row r="60" spans="1:21" x14ac:dyDescent="0.4">
      <c r="A60" s="37"/>
      <c r="B60" s="101"/>
      <c r="C60" s="37"/>
      <c r="D60" s="37"/>
      <c r="E60" s="9"/>
      <c r="F60" s="174"/>
      <c r="G60" s="174"/>
      <c r="H60" s="174"/>
      <c r="I60" s="153"/>
      <c r="J60" s="103"/>
      <c r="K60" s="153"/>
      <c r="L60" s="103"/>
      <c r="M60" s="104"/>
      <c r="N60" s="12"/>
      <c r="O60" s="12"/>
      <c r="P60" s="37"/>
      <c r="Q60" s="37"/>
      <c r="R60" s="12"/>
      <c r="S60" s="37"/>
      <c r="T60" s="37"/>
      <c r="U60" s="101"/>
    </row>
    <row r="61" spans="1:21" x14ac:dyDescent="0.4">
      <c r="A61" s="37"/>
      <c r="B61" s="101"/>
      <c r="C61" s="37"/>
      <c r="D61" s="37"/>
      <c r="E61" s="9"/>
      <c r="F61" s="174"/>
      <c r="G61" s="174"/>
      <c r="H61" s="174"/>
      <c r="I61" s="153"/>
      <c r="J61" s="103"/>
      <c r="K61" s="153"/>
      <c r="L61" s="103"/>
      <c r="M61" s="104"/>
      <c r="N61" s="12"/>
      <c r="O61" s="12"/>
      <c r="P61" s="37"/>
      <c r="Q61" s="37"/>
      <c r="R61" s="12"/>
      <c r="S61" s="37"/>
      <c r="T61" s="37"/>
      <c r="U61" s="101"/>
    </row>
    <row r="62" spans="1:21" x14ac:dyDescent="0.4">
      <c r="A62" s="37"/>
      <c r="B62" s="101"/>
      <c r="C62" s="37"/>
      <c r="D62" s="37"/>
      <c r="E62" s="9"/>
      <c r="F62" s="174"/>
      <c r="G62" s="174"/>
      <c r="H62" s="174"/>
      <c r="I62" s="153"/>
      <c r="J62" s="103"/>
      <c r="K62" s="153"/>
      <c r="L62" s="103"/>
      <c r="M62" s="104"/>
      <c r="N62" s="12"/>
      <c r="O62" s="12"/>
      <c r="P62" s="37"/>
      <c r="Q62" s="37"/>
      <c r="R62" s="12"/>
      <c r="S62" s="37"/>
      <c r="T62" s="37"/>
      <c r="U62" s="101"/>
    </row>
    <row r="63" spans="1:21" x14ac:dyDescent="0.4">
      <c r="A63" s="37"/>
      <c r="B63" s="101"/>
      <c r="C63" s="37"/>
      <c r="D63" s="37"/>
      <c r="E63" s="9"/>
      <c r="F63" s="174"/>
      <c r="G63" s="174"/>
      <c r="H63" s="174"/>
      <c r="I63" s="153"/>
      <c r="J63" s="103"/>
      <c r="K63" s="153"/>
      <c r="L63" s="103"/>
      <c r="M63" s="104"/>
      <c r="N63" s="12"/>
      <c r="O63" s="12"/>
      <c r="P63" s="37"/>
      <c r="Q63" s="37"/>
      <c r="R63" s="12"/>
      <c r="S63" s="37"/>
      <c r="T63" s="37"/>
      <c r="U63" s="101"/>
    </row>
    <row r="64" spans="1:21" x14ac:dyDescent="0.4">
      <c r="A64" s="37"/>
      <c r="B64" s="101"/>
      <c r="C64" s="37"/>
      <c r="D64" s="37"/>
      <c r="E64" s="9"/>
      <c r="F64" s="174"/>
      <c r="G64" s="174"/>
      <c r="H64" s="174"/>
      <c r="I64" s="153"/>
      <c r="J64" s="103"/>
      <c r="K64" s="153"/>
      <c r="L64" s="103"/>
      <c r="M64" s="104"/>
      <c r="N64" s="12"/>
      <c r="O64" s="12"/>
      <c r="P64" s="37"/>
      <c r="Q64" s="37"/>
      <c r="R64" s="12"/>
      <c r="S64" s="37"/>
      <c r="T64" s="37"/>
      <c r="U64" s="101"/>
    </row>
    <row r="65" spans="1:21" x14ac:dyDescent="0.4">
      <c r="A65" s="37"/>
      <c r="B65" s="101"/>
      <c r="C65" s="37"/>
      <c r="D65" s="37"/>
      <c r="E65" s="9"/>
      <c r="F65" s="174"/>
      <c r="G65" s="174"/>
      <c r="H65" s="174"/>
      <c r="I65" s="153"/>
      <c r="J65" s="103"/>
      <c r="K65" s="153"/>
      <c r="L65" s="103"/>
      <c r="M65" s="104"/>
      <c r="N65" s="12"/>
      <c r="O65" s="12"/>
      <c r="P65" s="37"/>
      <c r="Q65" s="37"/>
      <c r="R65" s="12"/>
      <c r="S65" s="37"/>
      <c r="T65" s="37"/>
      <c r="U65" s="101"/>
    </row>
    <row r="66" spans="1:21" x14ac:dyDescent="0.4">
      <c r="A66" s="37"/>
      <c r="B66" s="101"/>
      <c r="C66" s="37"/>
      <c r="D66" s="37"/>
      <c r="E66" s="9"/>
      <c r="F66" s="174"/>
      <c r="G66" s="174"/>
      <c r="H66" s="174"/>
      <c r="I66" s="153"/>
      <c r="J66" s="103"/>
      <c r="K66" s="153"/>
      <c r="L66" s="103"/>
      <c r="M66" s="104"/>
      <c r="N66" s="12"/>
      <c r="O66" s="12"/>
      <c r="P66" s="37"/>
      <c r="Q66" s="37"/>
      <c r="R66" s="12"/>
      <c r="S66" s="37"/>
      <c r="T66" s="37"/>
      <c r="U66" s="101"/>
    </row>
    <row r="67" spans="1:21" x14ac:dyDescent="0.4">
      <c r="A67" s="37"/>
      <c r="B67" s="101"/>
      <c r="C67" s="37"/>
      <c r="D67" s="37"/>
      <c r="E67" s="9"/>
      <c r="F67" s="174"/>
      <c r="G67" s="174"/>
      <c r="H67" s="174"/>
      <c r="I67" s="153"/>
      <c r="J67" s="103"/>
      <c r="K67" s="153"/>
      <c r="L67" s="103"/>
      <c r="M67" s="104"/>
      <c r="N67" s="12"/>
      <c r="O67" s="12"/>
      <c r="P67" s="37"/>
      <c r="Q67" s="37"/>
      <c r="R67" s="12"/>
      <c r="S67" s="37"/>
      <c r="T67" s="37"/>
      <c r="U67" s="101"/>
    </row>
    <row r="68" spans="1:21" x14ac:dyDescent="0.4">
      <c r="A68" s="37"/>
      <c r="B68" s="101"/>
      <c r="C68" s="37"/>
      <c r="D68" s="37"/>
      <c r="E68" s="9"/>
      <c r="F68" s="174"/>
      <c r="G68" s="174"/>
      <c r="H68" s="174"/>
      <c r="I68" s="153"/>
      <c r="J68" s="103"/>
      <c r="K68" s="153"/>
      <c r="L68" s="103"/>
      <c r="M68" s="104"/>
      <c r="N68" s="12"/>
      <c r="O68" s="12"/>
      <c r="P68" s="37"/>
      <c r="Q68" s="37"/>
      <c r="R68" s="12"/>
      <c r="S68" s="37"/>
      <c r="T68" s="37"/>
      <c r="U68" s="101"/>
    </row>
    <row r="69" spans="1:21" x14ac:dyDescent="0.4">
      <c r="A69" s="37"/>
      <c r="B69" s="101"/>
      <c r="C69" s="37"/>
      <c r="D69" s="37"/>
      <c r="E69" s="9"/>
      <c r="F69" s="174"/>
      <c r="G69" s="174"/>
      <c r="H69" s="174"/>
      <c r="I69" s="153"/>
      <c r="J69" s="103"/>
      <c r="K69" s="153"/>
      <c r="L69" s="103"/>
      <c r="M69" s="104"/>
      <c r="N69" s="12"/>
      <c r="O69" s="12"/>
      <c r="P69" s="37"/>
      <c r="Q69" s="37"/>
      <c r="R69" s="12"/>
      <c r="S69" s="37"/>
      <c r="T69" s="37"/>
      <c r="U69" s="101"/>
    </row>
    <row r="70" spans="1:21" x14ac:dyDescent="0.4">
      <c r="A70" s="37"/>
      <c r="B70" s="101"/>
      <c r="C70" s="37"/>
      <c r="D70" s="37"/>
      <c r="E70" s="12"/>
      <c r="F70" s="174"/>
      <c r="G70" s="174"/>
      <c r="H70" s="174"/>
      <c r="I70" s="153"/>
      <c r="J70" s="103"/>
      <c r="K70" s="153"/>
      <c r="L70" s="103"/>
      <c r="M70" s="104"/>
      <c r="N70" s="12"/>
      <c r="O70" s="12"/>
      <c r="P70" s="37"/>
      <c r="Q70" s="37"/>
      <c r="R70" s="12"/>
      <c r="S70" s="37"/>
      <c r="T70" s="37"/>
      <c r="U70" s="101"/>
    </row>
    <row r="71" spans="1:21" x14ac:dyDescent="0.4">
      <c r="A71" s="37"/>
      <c r="B71" s="101"/>
      <c r="C71" s="37"/>
      <c r="D71" s="37"/>
      <c r="E71" s="12"/>
      <c r="F71" s="174"/>
      <c r="G71" s="174"/>
      <c r="H71" s="174"/>
      <c r="I71" s="153"/>
      <c r="J71" s="103"/>
      <c r="K71" s="153"/>
      <c r="L71" s="103"/>
      <c r="M71" s="104"/>
      <c r="N71" s="9"/>
      <c r="O71" s="9"/>
      <c r="P71" s="37"/>
      <c r="Q71" s="37"/>
      <c r="R71" s="12"/>
      <c r="S71" s="37"/>
      <c r="T71" s="37"/>
      <c r="U71" s="101"/>
    </row>
    <row r="72" spans="1:21" x14ac:dyDescent="0.4">
      <c r="A72" s="37"/>
      <c r="B72" s="101"/>
      <c r="C72" s="37"/>
      <c r="D72" s="37"/>
      <c r="E72" s="12"/>
      <c r="F72" s="174"/>
      <c r="G72" s="174"/>
      <c r="H72" s="174"/>
      <c r="I72" s="153"/>
      <c r="J72" s="103"/>
      <c r="K72" s="153"/>
      <c r="L72" s="103"/>
      <c r="M72" s="104"/>
      <c r="N72" s="9"/>
      <c r="O72" s="9"/>
      <c r="P72" s="37"/>
      <c r="Q72" s="37"/>
      <c r="R72" s="12"/>
      <c r="S72" s="37"/>
      <c r="T72" s="37"/>
      <c r="U72" s="101"/>
    </row>
    <row r="73" spans="1:21" x14ac:dyDescent="0.4">
      <c r="A73" s="37"/>
      <c r="B73" s="101"/>
      <c r="C73" s="37"/>
      <c r="D73" s="37"/>
      <c r="E73" s="12"/>
      <c r="F73" s="174"/>
      <c r="G73" s="174"/>
      <c r="H73" s="174"/>
      <c r="I73" s="153"/>
      <c r="J73" s="103"/>
      <c r="K73" s="153"/>
      <c r="L73" s="103"/>
      <c r="M73" s="104"/>
      <c r="N73" s="12"/>
      <c r="O73" s="12"/>
      <c r="P73" s="37"/>
      <c r="Q73" s="37"/>
      <c r="R73" s="12"/>
      <c r="S73" s="37"/>
      <c r="T73" s="37"/>
      <c r="U73" s="101"/>
    </row>
    <row r="74" spans="1:21" x14ac:dyDescent="0.4">
      <c r="A74" s="37"/>
      <c r="B74" s="101"/>
      <c r="C74" s="37"/>
      <c r="D74" s="37"/>
      <c r="E74" s="12"/>
      <c r="F74" s="174"/>
      <c r="G74" s="174"/>
      <c r="H74" s="174"/>
      <c r="I74" s="153"/>
      <c r="J74" s="103"/>
      <c r="K74" s="153"/>
      <c r="L74" s="103"/>
      <c r="M74" s="104"/>
      <c r="N74" s="12"/>
      <c r="O74" s="12"/>
      <c r="P74" s="37"/>
      <c r="Q74" s="37"/>
      <c r="R74" s="12"/>
      <c r="S74" s="37"/>
      <c r="T74" s="37"/>
      <c r="U74" s="101"/>
    </row>
    <row r="75" spans="1:21" x14ac:dyDescent="0.4">
      <c r="A75" s="37"/>
      <c r="B75" s="101"/>
      <c r="C75" s="37"/>
      <c r="D75" s="37"/>
      <c r="E75" s="12"/>
      <c r="F75" s="174"/>
      <c r="G75" s="174"/>
      <c r="H75" s="174"/>
      <c r="I75" s="153"/>
      <c r="J75" s="103"/>
      <c r="K75" s="153"/>
      <c r="L75" s="103"/>
      <c r="M75" s="104"/>
      <c r="N75" s="12"/>
      <c r="O75" s="12"/>
      <c r="P75" s="37"/>
      <c r="Q75" s="37"/>
      <c r="R75" s="12"/>
      <c r="S75" s="37"/>
      <c r="T75" s="37"/>
      <c r="U75" s="101"/>
    </row>
    <row r="76" spans="1:21" x14ac:dyDescent="0.4">
      <c r="A76" s="37"/>
      <c r="B76" s="101"/>
      <c r="C76" s="37"/>
      <c r="D76" s="37"/>
      <c r="E76" s="12"/>
      <c r="F76" s="174"/>
      <c r="G76" s="174"/>
      <c r="H76" s="174"/>
      <c r="I76" s="153"/>
      <c r="J76" s="103"/>
      <c r="K76" s="153"/>
      <c r="L76" s="103"/>
      <c r="M76" s="104"/>
      <c r="N76" s="12"/>
      <c r="O76" s="12"/>
      <c r="P76" s="37"/>
      <c r="Q76" s="37"/>
      <c r="R76" s="12"/>
      <c r="S76" s="37"/>
      <c r="T76" s="37"/>
      <c r="U76" s="101"/>
    </row>
    <row r="77" spans="1:21" x14ac:dyDescent="0.4">
      <c r="A77" s="37"/>
      <c r="B77" s="101"/>
      <c r="C77" s="37"/>
      <c r="D77" s="37"/>
      <c r="E77" s="12"/>
      <c r="F77" s="174"/>
      <c r="G77" s="174"/>
      <c r="H77" s="174"/>
      <c r="I77" s="153"/>
      <c r="J77" s="103"/>
      <c r="K77" s="153"/>
      <c r="L77" s="103"/>
      <c r="M77" s="104"/>
      <c r="N77" s="12"/>
      <c r="O77" s="12"/>
      <c r="P77" s="37"/>
      <c r="Q77" s="37"/>
      <c r="R77" s="12"/>
      <c r="S77" s="37"/>
      <c r="T77" s="37"/>
      <c r="U77" s="101"/>
    </row>
    <row r="78" spans="1:21" x14ac:dyDescent="0.4">
      <c r="A78" s="37"/>
      <c r="B78" s="101"/>
      <c r="C78" s="37"/>
      <c r="D78" s="37"/>
      <c r="E78" s="12"/>
      <c r="F78" s="174"/>
      <c r="G78" s="174"/>
      <c r="H78" s="174"/>
      <c r="I78" s="153"/>
      <c r="J78" s="103"/>
      <c r="K78" s="153"/>
      <c r="L78" s="103"/>
      <c r="M78" s="104"/>
      <c r="N78" s="12"/>
      <c r="O78" s="12"/>
      <c r="P78" s="37"/>
      <c r="Q78" s="37"/>
      <c r="R78" s="12"/>
      <c r="S78" s="37"/>
      <c r="T78" s="37"/>
      <c r="U78" s="101"/>
    </row>
    <row r="79" spans="1:21" x14ac:dyDescent="0.4">
      <c r="A79" s="37"/>
      <c r="B79" s="101"/>
      <c r="C79" s="37"/>
      <c r="D79" s="37"/>
      <c r="E79" s="149"/>
      <c r="F79" s="174"/>
      <c r="G79" s="174"/>
      <c r="H79" s="174"/>
      <c r="I79" s="153"/>
      <c r="J79" s="103"/>
      <c r="K79" s="153"/>
      <c r="L79" s="103"/>
      <c r="M79" s="104"/>
      <c r="N79" s="12"/>
      <c r="O79" s="12"/>
      <c r="P79" s="37"/>
      <c r="Q79" s="37"/>
      <c r="R79" s="12"/>
      <c r="S79" s="37"/>
      <c r="T79" s="37"/>
      <c r="U79" s="101"/>
    </row>
    <row r="80" spans="1:21" x14ac:dyDescent="0.4">
      <c r="A80" s="37"/>
      <c r="B80" s="101"/>
      <c r="C80" s="37"/>
      <c r="D80" s="37"/>
      <c r="E80" s="12"/>
      <c r="F80" s="174"/>
      <c r="G80" s="174"/>
      <c r="H80" s="174"/>
      <c r="I80" s="153"/>
      <c r="J80" s="103"/>
      <c r="K80" s="153"/>
      <c r="L80" s="103"/>
      <c r="M80" s="104"/>
      <c r="N80" s="12"/>
      <c r="O80" s="12"/>
      <c r="P80" s="37"/>
      <c r="Q80" s="37"/>
      <c r="R80" s="12"/>
      <c r="S80" s="37"/>
      <c r="T80" s="37"/>
      <c r="U80" s="101"/>
    </row>
    <row r="81" spans="1:21" x14ac:dyDescent="0.4">
      <c r="A81" s="37"/>
      <c r="B81" s="101"/>
      <c r="C81" s="37"/>
      <c r="D81" s="37"/>
      <c r="E81" s="12"/>
      <c r="F81" s="174"/>
      <c r="G81" s="174"/>
      <c r="H81" s="174"/>
      <c r="I81" s="153"/>
      <c r="J81" s="103"/>
      <c r="K81" s="153"/>
      <c r="L81" s="103"/>
      <c r="M81" s="104"/>
      <c r="N81" s="12"/>
      <c r="O81" s="12"/>
      <c r="P81" s="37"/>
      <c r="Q81" s="37"/>
      <c r="R81" s="12"/>
      <c r="S81" s="37"/>
      <c r="T81" s="37"/>
      <c r="U81" s="101"/>
    </row>
    <row r="82" spans="1:21" x14ac:dyDescent="0.4">
      <c r="A82" s="37"/>
      <c r="B82" s="101"/>
      <c r="C82" s="37"/>
      <c r="D82" s="37"/>
      <c r="E82" s="12"/>
      <c r="F82" s="174"/>
      <c r="G82" s="174"/>
      <c r="H82" s="174"/>
      <c r="I82" s="153"/>
      <c r="J82" s="103"/>
      <c r="K82" s="153"/>
      <c r="L82" s="103"/>
      <c r="M82" s="104"/>
      <c r="N82" s="12"/>
      <c r="O82" s="12"/>
      <c r="P82" s="37"/>
      <c r="Q82" s="37"/>
      <c r="R82" s="12"/>
      <c r="S82" s="37"/>
      <c r="T82" s="37"/>
      <c r="U82" s="101"/>
    </row>
    <row r="83" spans="1:21" x14ac:dyDescent="0.4">
      <c r="A83" s="37"/>
      <c r="B83" s="101"/>
      <c r="C83" s="37"/>
      <c r="D83" s="37"/>
      <c r="E83" s="12"/>
      <c r="F83" s="174"/>
      <c r="G83" s="174"/>
      <c r="H83" s="174"/>
      <c r="I83" s="153"/>
      <c r="J83" s="103"/>
      <c r="K83" s="153"/>
      <c r="L83" s="103"/>
      <c r="M83" s="104"/>
      <c r="N83" s="12"/>
      <c r="O83" s="12"/>
      <c r="P83" s="37"/>
      <c r="Q83" s="37"/>
      <c r="R83" s="12"/>
      <c r="S83" s="37"/>
      <c r="T83" s="37"/>
      <c r="U83" s="101"/>
    </row>
    <row r="84" spans="1:21" x14ac:dyDescent="0.4">
      <c r="A84" s="37"/>
      <c r="B84" s="101"/>
      <c r="C84" s="37"/>
      <c r="D84" s="37"/>
      <c r="E84" s="12"/>
      <c r="F84" s="174"/>
      <c r="G84" s="174"/>
      <c r="H84" s="174"/>
      <c r="I84" s="153"/>
      <c r="J84" s="103"/>
      <c r="K84" s="153"/>
      <c r="L84" s="103"/>
      <c r="M84" s="104"/>
      <c r="N84" s="12"/>
      <c r="O84" s="12"/>
      <c r="P84" s="37"/>
      <c r="Q84" s="37"/>
      <c r="R84" s="12"/>
      <c r="S84" s="37"/>
      <c r="T84" s="37"/>
      <c r="U84" s="101"/>
    </row>
    <row r="85" spans="1:21" x14ac:dyDescent="0.4">
      <c r="A85" s="37"/>
      <c r="B85" s="101"/>
      <c r="C85" s="37"/>
      <c r="D85" s="37"/>
      <c r="E85" s="12"/>
      <c r="F85" s="174"/>
      <c r="G85" s="174"/>
      <c r="H85" s="174"/>
      <c r="I85" s="153"/>
      <c r="J85" s="103"/>
      <c r="K85" s="153"/>
      <c r="L85" s="103"/>
      <c r="M85" s="104"/>
      <c r="N85" s="12"/>
      <c r="O85" s="12"/>
      <c r="P85" s="37"/>
      <c r="Q85" s="37"/>
      <c r="R85" s="12"/>
      <c r="S85" s="37"/>
      <c r="T85" s="37"/>
      <c r="U85" s="101"/>
    </row>
    <row r="86" spans="1:21" x14ac:dyDescent="0.4">
      <c r="A86" s="37"/>
      <c r="B86" s="101"/>
      <c r="C86" s="37"/>
      <c r="D86" s="37"/>
      <c r="E86" s="12"/>
      <c r="F86" s="174"/>
      <c r="G86" s="174"/>
      <c r="H86" s="174"/>
      <c r="I86" s="153"/>
      <c r="J86" s="103"/>
      <c r="K86" s="153"/>
      <c r="L86" s="103"/>
      <c r="M86" s="104"/>
      <c r="N86" s="12"/>
      <c r="O86" s="12"/>
      <c r="P86" s="37"/>
      <c r="Q86" s="37"/>
      <c r="R86" s="12"/>
      <c r="S86" s="37"/>
      <c r="T86" s="37"/>
      <c r="U86" s="101"/>
    </row>
    <row r="87" spans="1:21" x14ac:dyDescent="0.4">
      <c r="A87" s="37"/>
      <c r="B87" s="101"/>
      <c r="C87" s="37"/>
      <c r="D87" s="37"/>
      <c r="E87" s="12"/>
      <c r="F87" s="174"/>
      <c r="G87" s="174"/>
      <c r="H87" s="174"/>
      <c r="I87" s="153"/>
      <c r="J87" s="103"/>
      <c r="K87" s="153"/>
      <c r="L87" s="103"/>
      <c r="M87" s="104"/>
      <c r="N87" s="12"/>
      <c r="O87" s="12"/>
      <c r="P87" s="37"/>
      <c r="Q87" s="37"/>
      <c r="R87" s="12"/>
      <c r="S87" s="37"/>
      <c r="T87" s="37"/>
      <c r="U87" s="101"/>
    </row>
    <row r="88" spans="1:21" x14ac:dyDescent="0.4">
      <c r="A88" s="37"/>
      <c r="B88" s="101"/>
      <c r="C88" s="37"/>
      <c r="D88" s="37"/>
      <c r="E88" s="12"/>
      <c r="F88" s="174"/>
      <c r="G88" s="174"/>
      <c r="H88" s="174"/>
      <c r="I88" s="153"/>
      <c r="J88" s="103"/>
      <c r="K88" s="153"/>
      <c r="L88" s="103"/>
      <c r="M88" s="104"/>
      <c r="N88" s="12"/>
      <c r="O88" s="12"/>
      <c r="P88" s="37"/>
      <c r="Q88" s="37"/>
      <c r="R88" s="12"/>
      <c r="S88" s="37"/>
      <c r="T88" s="37"/>
      <c r="U88" s="101"/>
    </row>
    <row r="89" spans="1:21" x14ac:dyDescent="0.4">
      <c r="A89" s="37"/>
      <c r="B89" s="101"/>
      <c r="C89" s="37"/>
      <c r="D89" s="37"/>
      <c r="E89" s="12"/>
      <c r="F89" s="174"/>
      <c r="G89" s="174"/>
      <c r="H89" s="174"/>
      <c r="I89" s="153"/>
      <c r="J89" s="103"/>
      <c r="K89" s="153"/>
      <c r="L89" s="103"/>
      <c r="M89" s="104"/>
      <c r="N89" s="12"/>
      <c r="O89" s="12"/>
      <c r="P89" s="37"/>
      <c r="Q89" s="37"/>
      <c r="R89" s="12"/>
      <c r="S89" s="37"/>
      <c r="T89" s="37"/>
      <c r="U89" s="101"/>
    </row>
    <row r="90" spans="1:21" x14ac:dyDescent="0.4">
      <c r="A90" s="37"/>
      <c r="B90" s="101"/>
      <c r="C90" s="37"/>
      <c r="D90" s="37"/>
      <c r="E90" s="12"/>
      <c r="F90" s="174"/>
      <c r="G90" s="174"/>
      <c r="H90" s="174"/>
      <c r="I90" s="153"/>
      <c r="J90" s="103"/>
      <c r="K90" s="153"/>
      <c r="L90" s="103"/>
      <c r="M90" s="104"/>
      <c r="N90" s="12"/>
      <c r="O90" s="12"/>
      <c r="P90" s="37"/>
      <c r="Q90" s="37"/>
      <c r="R90" s="12"/>
      <c r="S90" s="37"/>
      <c r="T90" s="37"/>
      <c r="U90" s="101"/>
    </row>
    <row r="91" spans="1:21" x14ac:dyDescent="0.4">
      <c r="A91" s="37"/>
      <c r="B91" s="101"/>
      <c r="C91" s="37"/>
      <c r="D91" s="37"/>
      <c r="E91" s="12"/>
      <c r="F91" s="174"/>
      <c r="G91" s="174"/>
      <c r="H91" s="174"/>
      <c r="I91" s="153"/>
      <c r="J91" s="103"/>
      <c r="K91" s="153"/>
      <c r="L91" s="103"/>
      <c r="M91" s="104"/>
      <c r="N91" s="12"/>
      <c r="O91" s="12"/>
      <c r="P91" s="37"/>
      <c r="Q91" s="37"/>
      <c r="R91" s="12"/>
      <c r="S91" s="37"/>
      <c r="T91" s="37"/>
      <c r="U91" s="101"/>
    </row>
    <row r="92" spans="1:21" x14ac:dyDescent="0.4">
      <c r="A92" s="37"/>
      <c r="B92" s="101"/>
      <c r="C92" s="37"/>
      <c r="D92" s="37"/>
      <c r="E92" s="12"/>
      <c r="F92" s="174"/>
      <c r="G92" s="174"/>
      <c r="H92" s="174"/>
      <c r="I92" s="153"/>
      <c r="J92" s="103"/>
      <c r="K92" s="153"/>
      <c r="L92" s="103"/>
      <c r="M92" s="104"/>
      <c r="N92" s="12"/>
      <c r="O92" s="12"/>
      <c r="P92" s="37"/>
      <c r="Q92" s="37"/>
      <c r="R92" s="12"/>
      <c r="S92" s="37"/>
      <c r="T92" s="37"/>
      <c r="U92" s="101"/>
    </row>
    <row r="93" spans="1:21" x14ac:dyDescent="0.4">
      <c r="A93" s="37"/>
      <c r="B93" s="101"/>
      <c r="C93" s="37"/>
      <c r="D93" s="37"/>
      <c r="E93" s="12"/>
      <c r="F93" s="174"/>
      <c r="G93" s="174"/>
      <c r="H93" s="174"/>
      <c r="I93" s="153"/>
      <c r="J93" s="103"/>
      <c r="K93" s="153"/>
      <c r="L93" s="103"/>
      <c r="M93" s="104"/>
      <c r="N93" s="12"/>
      <c r="O93" s="12"/>
      <c r="P93" s="37"/>
      <c r="Q93" s="37"/>
      <c r="R93" s="12"/>
      <c r="S93" s="37"/>
      <c r="T93" s="37"/>
      <c r="U93" s="101"/>
    </row>
    <row r="94" spans="1:21" x14ac:dyDescent="0.4">
      <c r="A94" s="37"/>
      <c r="B94" s="101"/>
      <c r="C94" s="37"/>
      <c r="D94" s="37"/>
      <c r="E94" s="12"/>
      <c r="F94" s="174"/>
      <c r="G94" s="174"/>
      <c r="H94" s="174"/>
      <c r="I94" s="153"/>
      <c r="J94" s="103"/>
      <c r="K94" s="153"/>
      <c r="L94" s="103"/>
      <c r="M94" s="104"/>
      <c r="N94" s="12"/>
      <c r="O94" s="12"/>
      <c r="P94" s="37"/>
      <c r="Q94" s="37"/>
      <c r="R94" s="12"/>
      <c r="S94" s="37"/>
      <c r="T94" s="37"/>
      <c r="U94" s="101"/>
    </row>
    <row r="95" spans="1:21" x14ac:dyDescent="0.4">
      <c r="A95" s="37"/>
      <c r="B95" s="101"/>
      <c r="C95" s="37"/>
      <c r="D95" s="37"/>
      <c r="E95" s="12"/>
      <c r="F95" s="174"/>
      <c r="G95" s="174"/>
      <c r="H95" s="174"/>
      <c r="I95" s="153"/>
      <c r="J95" s="103"/>
      <c r="K95" s="153"/>
      <c r="L95" s="103"/>
      <c r="M95" s="104"/>
      <c r="N95" s="12"/>
      <c r="O95" s="12"/>
      <c r="P95" s="37"/>
      <c r="Q95" s="37"/>
      <c r="R95" s="12"/>
      <c r="S95" s="37"/>
      <c r="T95" s="37"/>
      <c r="U95" s="101"/>
    </row>
    <row r="96" spans="1:21" x14ac:dyDescent="0.4">
      <c r="A96" s="37"/>
      <c r="B96" s="101"/>
      <c r="C96" s="37"/>
      <c r="D96" s="37"/>
      <c r="E96" s="12"/>
      <c r="F96" s="174"/>
      <c r="G96" s="174"/>
      <c r="H96" s="174"/>
      <c r="I96" s="153"/>
      <c r="J96" s="103"/>
      <c r="K96" s="153"/>
      <c r="L96" s="103"/>
      <c r="M96" s="104"/>
      <c r="N96" s="12"/>
      <c r="O96" s="12"/>
      <c r="P96" s="37"/>
      <c r="Q96" s="37"/>
      <c r="R96" s="12"/>
      <c r="S96" s="37"/>
      <c r="T96" s="37"/>
      <c r="U96" s="101"/>
    </row>
    <row r="97" spans="1:21" x14ac:dyDescent="0.4">
      <c r="A97" s="37"/>
      <c r="B97" s="101"/>
      <c r="C97" s="37"/>
      <c r="D97" s="37"/>
      <c r="E97" s="12"/>
      <c r="F97" s="174"/>
      <c r="G97" s="174"/>
      <c r="H97" s="174"/>
      <c r="I97" s="153"/>
      <c r="J97" s="103"/>
      <c r="K97" s="153"/>
      <c r="L97" s="103"/>
      <c r="M97" s="104"/>
      <c r="N97" s="12"/>
      <c r="O97" s="12"/>
      <c r="P97" s="37"/>
      <c r="Q97" s="37"/>
      <c r="R97" s="12"/>
      <c r="S97" s="37"/>
      <c r="T97" s="37"/>
      <c r="U97" s="101"/>
    </row>
    <row r="98" spans="1:21" x14ac:dyDescent="0.4">
      <c r="A98" s="37"/>
      <c r="B98" s="101"/>
      <c r="C98" s="37"/>
      <c r="D98" s="37"/>
      <c r="E98" s="12"/>
      <c r="F98" s="174"/>
      <c r="G98" s="174"/>
      <c r="H98" s="174"/>
      <c r="I98" s="153"/>
      <c r="J98" s="103"/>
      <c r="K98" s="153"/>
      <c r="L98" s="103"/>
      <c r="M98" s="104"/>
      <c r="N98" s="12"/>
      <c r="O98" s="12"/>
      <c r="P98" s="37"/>
      <c r="Q98" s="37"/>
      <c r="R98" s="12"/>
      <c r="S98" s="37"/>
      <c r="T98" s="37"/>
      <c r="U98" s="101"/>
    </row>
    <row r="99" spans="1:21" x14ac:dyDescent="0.4">
      <c r="A99" s="37"/>
      <c r="B99" s="101"/>
      <c r="C99" s="37"/>
      <c r="D99" s="37"/>
      <c r="E99" s="12"/>
      <c r="F99" s="174"/>
      <c r="G99" s="174"/>
      <c r="H99" s="174"/>
      <c r="I99" s="153"/>
      <c r="J99" s="103"/>
      <c r="K99" s="153"/>
      <c r="L99" s="103"/>
      <c r="M99" s="104"/>
      <c r="N99" s="12"/>
      <c r="O99" s="12"/>
      <c r="P99" s="37"/>
      <c r="Q99" s="37"/>
      <c r="R99" s="12"/>
      <c r="S99" s="37"/>
      <c r="T99" s="37"/>
      <c r="U99" s="101"/>
    </row>
    <row r="100" spans="1:21" x14ac:dyDescent="0.4">
      <c r="A100" s="37"/>
      <c r="B100" s="101"/>
      <c r="C100" s="37"/>
      <c r="D100" s="37"/>
      <c r="E100" s="12"/>
      <c r="F100" s="174"/>
      <c r="G100" s="174"/>
      <c r="H100" s="174"/>
      <c r="I100" s="153"/>
      <c r="J100" s="103"/>
      <c r="K100" s="153"/>
      <c r="L100" s="103"/>
      <c r="M100" s="104"/>
      <c r="N100" s="12"/>
      <c r="O100" s="12"/>
      <c r="P100" s="37"/>
      <c r="Q100" s="37"/>
      <c r="R100" s="12"/>
      <c r="S100" s="37"/>
      <c r="T100" s="37"/>
      <c r="U100" s="101"/>
    </row>
    <row r="101" spans="1:21" x14ac:dyDescent="0.4">
      <c r="A101" s="37"/>
      <c r="B101" s="101"/>
      <c r="C101" s="37"/>
      <c r="D101" s="37"/>
      <c r="E101" s="12"/>
      <c r="F101" s="174"/>
      <c r="G101" s="174"/>
      <c r="H101" s="174"/>
      <c r="I101" s="153"/>
      <c r="J101" s="103"/>
      <c r="K101" s="153"/>
      <c r="L101" s="103"/>
      <c r="M101" s="104"/>
      <c r="N101" s="12"/>
      <c r="O101" s="12"/>
      <c r="P101" s="37"/>
      <c r="Q101" s="37"/>
      <c r="R101" s="12"/>
      <c r="S101" s="37"/>
      <c r="T101" s="37"/>
      <c r="U101" s="101"/>
    </row>
    <row r="102" spans="1:21" x14ac:dyDescent="0.4">
      <c r="A102" s="37"/>
      <c r="B102" s="101"/>
      <c r="C102" s="37"/>
      <c r="D102" s="37"/>
      <c r="E102" s="12"/>
      <c r="F102" s="174"/>
      <c r="G102" s="174"/>
      <c r="H102" s="174"/>
      <c r="I102" s="153"/>
      <c r="J102" s="103"/>
      <c r="K102" s="153"/>
      <c r="L102" s="103"/>
      <c r="M102" s="104"/>
      <c r="N102" s="12"/>
      <c r="O102" s="12"/>
      <c r="P102" s="37"/>
      <c r="Q102" s="37"/>
      <c r="R102" s="12"/>
      <c r="S102" s="37"/>
      <c r="T102" s="37"/>
      <c r="U102" s="101"/>
    </row>
    <row r="103" spans="1:21" s="73" customFormat="1" x14ac:dyDescent="0.4">
      <c r="A103" s="128"/>
      <c r="B103" s="128"/>
      <c r="C103" s="128"/>
      <c r="D103" s="128"/>
      <c r="N103"/>
    </row>
    <row r="104" spans="1:21" s="73" customFormat="1" x14ac:dyDescent="0.4">
      <c r="A104" s="128"/>
      <c r="B104" s="128"/>
      <c r="C104" s="128"/>
      <c r="D104" s="128"/>
      <c r="N104"/>
    </row>
    <row r="105" spans="1:21" s="73" customFormat="1" x14ac:dyDescent="0.4">
      <c r="A105" s="128"/>
      <c r="B105" s="128"/>
      <c r="C105" s="128"/>
      <c r="D105" s="128"/>
    </row>
    <row r="106" spans="1:21" s="73" customFormat="1" x14ac:dyDescent="0.4">
      <c r="A106" s="128"/>
      <c r="B106" s="73" t="s">
        <v>2</v>
      </c>
      <c r="C106" s="73" t="s">
        <v>777</v>
      </c>
      <c r="D106" s="73">
        <v>240</v>
      </c>
      <c r="F106"/>
      <c r="G106"/>
      <c r="H106"/>
      <c r="I106"/>
      <c r="J106"/>
      <c r="K106"/>
      <c r="L106"/>
      <c r="M106"/>
      <c r="N106"/>
      <c r="O106"/>
      <c r="P106"/>
      <c r="Q106"/>
      <c r="R106"/>
      <c r="S106"/>
    </row>
    <row r="107" spans="1:21" s="73" customFormat="1" x14ac:dyDescent="0.4">
      <c r="A107" s="128"/>
      <c r="B107" s="73" t="s">
        <v>14</v>
      </c>
      <c r="C107" s="73" t="s">
        <v>2629</v>
      </c>
      <c r="D107" s="73">
        <v>480</v>
      </c>
      <c r="F107"/>
      <c r="G107"/>
      <c r="H107"/>
      <c r="I107"/>
      <c r="J107"/>
      <c r="K107"/>
      <c r="L107"/>
      <c r="M107"/>
      <c r="N107"/>
      <c r="O107"/>
      <c r="P107"/>
      <c r="Q107"/>
      <c r="R107"/>
      <c r="S107"/>
    </row>
    <row r="108" spans="1:21" s="73" customFormat="1" x14ac:dyDescent="0.4">
      <c r="A108" s="128"/>
      <c r="B108" s="73" t="s">
        <v>158</v>
      </c>
      <c r="C108" s="73" t="s">
        <v>778</v>
      </c>
      <c r="D108" s="73">
        <v>2880</v>
      </c>
      <c r="F108"/>
      <c r="G108"/>
      <c r="H108"/>
      <c r="I108"/>
      <c r="J108"/>
      <c r="K108"/>
      <c r="L108"/>
      <c r="M108"/>
      <c r="N108"/>
      <c r="O108"/>
      <c r="P108"/>
      <c r="Q108"/>
      <c r="R108"/>
      <c r="S108"/>
    </row>
    <row r="109" spans="1:21" x14ac:dyDescent="0.4">
      <c r="A109" s="73"/>
      <c r="E109" s="73" t="s">
        <v>2671</v>
      </c>
    </row>
    <row r="110" spans="1:21" x14ac:dyDescent="0.4">
      <c r="B110" s="128"/>
      <c r="C110" s="128"/>
      <c r="D110" s="128"/>
    </row>
    <row r="111" spans="1:21" x14ac:dyDescent="0.4">
      <c r="B111" s="128"/>
      <c r="C111" s="128"/>
      <c r="D111" s="128"/>
    </row>
  </sheetData>
  <autoFilter ref="A1:U102" xr:uid="{00000000-0001-0000-2100-000000000000}"/>
  <conditionalFormatting sqref="F2:L102">
    <cfRule type="cellIs" dxfId="11" priority="1" operator="equal">
      <formula>"NOK"</formula>
    </cfRule>
  </conditionalFormatting>
  <pageMargins left="0.7" right="0.7" top="0.75" bottom="0.75" header="0.3" footer="0.3"/>
  <pageSetup paperSize="9" orientation="portrait" horizontalDpi="4294967295" verticalDpi="4294967295"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6"/>
  <dimension ref="A1:U147"/>
  <sheetViews>
    <sheetView workbookViewId="0">
      <selection activeCell="A2" sqref="A2:XFD137"/>
    </sheetView>
  </sheetViews>
  <sheetFormatPr baseColWidth="10" defaultColWidth="11.4609375" defaultRowHeight="14.6" x14ac:dyDescent="0.4"/>
  <cols>
    <col min="1" max="1" width="5.765625" customWidth="1"/>
    <col min="2" max="2" width="9.765625" customWidth="1"/>
    <col min="3" max="3" width="6.765625" customWidth="1"/>
    <col min="4" max="4" width="9.23046875" customWidth="1"/>
    <col min="5" max="5" width="35.53515625" customWidth="1"/>
    <col min="6" max="6" width="14.765625" bestFit="1" customWidth="1"/>
    <col min="7" max="7" width="16.4609375" customWidth="1"/>
    <col min="8" max="8" width="14.765625" customWidth="1"/>
    <col min="9" max="9" width="14.53515625" customWidth="1"/>
    <col min="10" max="12" width="10.23046875" customWidth="1"/>
    <col min="13" max="13" width="57.23046875" customWidth="1"/>
    <col min="14" max="14" width="48.765625" customWidth="1"/>
    <col min="15" max="15" width="57.23046875" customWidth="1"/>
    <col min="16" max="16" width="9.4609375" bestFit="1" customWidth="1"/>
    <col min="17" max="17" width="7.23046875" bestFit="1" customWidth="1"/>
    <col min="18" max="18" width="12.23046875" bestFit="1" customWidth="1"/>
    <col min="19" max="19" width="5.23046875" bestFit="1" customWidth="1"/>
    <col min="20" max="20" width="8.23046875" bestFit="1" customWidth="1"/>
    <col min="21" max="21" width="7.4609375" bestFit="1" customWidth="1"/>
  </cols>
  <sheetData>
    <row r="1" spans="1:21" x14ac:dyDescent="0.4">
      <c r="A1" s="7" t="s">
        <v>0</v>
      </c>
      <c r="B1" s="6"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6" t="s">
        <v>684</v>
      </c>
      <c r="R1" s="7" t="s">
        <v>659</v>
      </c>
      <c r="S1" s="6" t="s">
        <v>888</v>
      </c>
      <c r="T1" s="156" t="s">
        <v>2627</v>
      </c>
      <c r="U1" s="156" t="s">
        <v>2630</v>
      </c>
    </row>
    <row r="2" spans="1:21" x14ac:dyDescent="0.4">
      <c r="A2" s="37"/>
      <c r="B2" s="101"/>
      <c r="C2" s="37"/>
      <c r="D2" s="37"/>
      <c r="E2" s="12"/>
      <c r="F2" s="174"/>
      <c r="G2" s="174"/>
      <c r="H2" s="174"/>
      <c r="I2" s="153"/>
      <c r="J2" s="103"/>
      <c r="K2" s="153"/>
      <c r="L2" s="103"/>
      <c r="M2" s="104"/>
      <c r="N2" s="9"/>
      <c r="O2" s="9"/>
      <c r="P2" s="12"/>
      <c r="Q2" s="104"/>
      <c r="R2" s="12"/>
      <c r="S2" s="12"/>
      <c r="T2" s="12"/>
      <c r="U2" s="101"/>
    </row>
    <row r="3" spans="1:21" x14ac:dyDescent="0.4">
      <c r="A3" s="37"/>
      <c r="B3" s="101"/>
      <c r="C3" s="37"/>
      <c r="D3" s="37"/>
      <c r="E3" s="12"/>
      <c r="F3" s="174"/>
      <c r="G3" s="174"/>
      <c r="H3" s="174"/>
      <c r="I3" s="153"/>
      <c r="J3" s="103"/>
      <c r="K3" s="153"/>
      <c r="L3" s="103"/>
      <c r="M3" s="104"/>
      <c r="N3" s="9"/>
      <c r="O3" s="9"/>
      <c r="P3" s="12"/>
      <c r="Q3" s="104"/>
      <c r="R3" s="12"/>
      <c r="S3" s="12"/>
      <c r="T3" s="12"/>
      <c r="U3" s="101"/>
    </row>
    <row r="4" spans="1:21" x14ac:dyDescent="0.4">
      <c r="A4" s="37"/>
      <c r="B4" s="101"/>
      <c r="C4" s="37"/>
      <c r="D4" s="37"/>
      <c r="E4" s="12"/>
      <c r="F4" s="174"/>
      <c r="G4" s="174"/>
      <c r="H4" s="174"/>
      <c r="I4" s="153"/>
      <c r="J4" s="103"/>
      <c r="K4" s="153"/>
      <c r="L4" s="103"/>
      <c r="M4" s="104"/>
      <c r="N4" s="9"/>
      <c r="O4" s="9"/>
      <c r="P4" s="12"/>
      <c r="Q4" s="104"/>
      <c r="R4" s="12"/>
      <c r="S4" s="12"/>
      <c r="T4" s="12"/>
      <c r="U4" s="101"/>
    </row>
    <row r="5" spans="1:21" x14ac:dyDescent="0.4">
      <c r="A5" s="37"/>
      <c r="B5" s="101"/>
      <c r="C5" s="37"/>
      <c r="D5" s="37"/>
      <c r="E5" s="12"/>
      <c r="F5" s="174"/>
      <c r="G5" s="174"/>
      <c r="H5" s="174"/>
      <c r="I5" s="153"/>
      <c r="J5" s="103"/>
      <c r="K5" s="153"/>
      <c r="L5" s="103"/>
      <c r="M5" s="104"/>
      <c r="N5" s="9"/>
      <c r="O5" s="9"/>
      <c r="P5" s="12"/>
      <c r="Q5" s="104"/>
      <c r="R5" s="12"/>
      <c r="S5" s="12"/>
      <c r="T5" s="12"/>
      <c r="U5" s="101"/>
    </row>
    <row r="6" spans="1:21" x14ac:dyDescent="0.4">
      <c r="A6" s="37"/>
      <c r="B6" s="101"/>
      <c r="C6" s="37"/>
      <c r="D6" s="37"/>
      <c r="E6" s="12"/>
      <c r="F6" s="174"/>
      <c r="G6" s="174"/>
      <c r="H6" s="174"/>
      <c r="I6" s="153"/>
      <c r="J6" s="103"/>
      <c r="K6" s="153"/>
      <c r="L6" s="103"/>
      <c r="M6" s="104"/>
      <c r="N6" s="9"/>
      <c r="O6" s="9"/>
      <c r="P6" s="12"/>
      <c r="Q6" s="104"/>
      <c r="R6" s="12"/>
      <c r="S6" s="12"/>
      <c r="T6" s="12"/>
      <c r="U6" s="101"/>
    </row>
    <row r="7" spans="1:21" x14ac:dyDescent="0.4">
      <c r="A7" s="37"/>
      <c r="B7" s="101"/>
      <c r="C7" s="37"/>
      <c r="D7" s="37"/>
      <c r="E7" s="12"/>
      <c r="F7" s="174"/>
      <c r="G7" s="174"/>
      <c r="H7" s="174"/>
      <c r="I7" s="153"/>
      <c r="J7" s="103"/>
      <c r="K7" s="153"/>
      <c r="L7" s="103"/>
      <c r="M7" s="104"/>
      <c r="N7" s="9"/>
      <c r="O7" s="9"/>
      <c r="P7" s="12"/>
      <c r="Q7" s="104"/>
      <c r="R7" s="12"/>
      <c r="S7" s="12"/>
      <c r="T7" s="12"/>
      <c r="U7" s="101"/>
    </row>
    <row r="8" spans="1:21" x14ac:dyDescent="0.4">
      <c r="A8" s="37"/>
      <c r="B8" s="101"/>
      <c r="C8" s="37"/>
      <c r="D8" s="37"/>
      <c r="E8" s="12"/>
      <c r="F8" s="174"/>
      <c r="G8" s="174"/>
      <c r="H8" s="174"/>
      <c r="I8" s="153"/>
      <c r="J8" s="103"/>
      <c r="K8" s="153"/>
      <c r="L8" s="103"/>
      <c r="M8" s="104"/>
      <c r="N8" s="9"/>
      <c r="O8" s="9"/>
      <c r="P8" s="12"/>
      <c r="Q8" s="104"/>
      <c r="R8" s="12"/>
      <c r="S8" s="12"/>
      <c r="T8" s="12"/>
      <c r="U8" s="101"/>
    </row>
    <row r="9" spans="1:21" x14ac:dyDescent="0.4">
      <c r="A9" s="37"/>
      <c r="B9" s="101"/>
      <c r="C9" s="37"/>
      <c r="D9" s="37"/>
      <c r="E9" s="12"/>
      <c r="F9" s="174"/>
      <c r="G9" s="174"/>
      <c r="H9" s="174"/>
      <c r="I9" s="153"/>
      <c r="J9" s="103"/>
      <c r="K9" s="153"/>
      <c r="L9" s="103"/>
      <c r="M9" s="104"/>
      <c r="N9" s="9"/>
      <c r="O9" s="9"/>
      <c r="P9" s="12"/>
      <c r="Q9" s="104"/>
      <c r="R9" s="12"/>
      <c r="S9" s="12"/>
      <c r="T9" s="12"/>
      <c r="U9" s="101"/>
    </row>
    <row r="10" spans="1:21" x14ac:dyDescent="0.4">
      <c r="A10" s="37"/>
      <c r="B10" s="101"/>
      <c r="C10" s="37"/>
      <c r="D10" s="37"/>
      <c r="E10" s="12"/>
      <c r="F10" s="174"/>
      <c r="G10" s="174"/>
      <c r="H10" s="174"/>
      <c r="I10" s="153"/>
      <c r="J10" s="103"/>
      <c r="K10" s="153"/>
      <c r="L10" s="103"/>
      <c r="M10" s="104"/>
      <c r="N10" s="9"/>
      <c r="O10" s="9"/>
      <c r="P10" s="12"/>
      <c r="Q10" s="104"/>
      <c r="R10" s="12"/>
      <c r="S10" s="12"/>
      <c r="T10" s="12"/>
      <c r="U10" s="101"/>
    </row>
    <row r="11" spans="1:21" x14ac:dyDescent="0.4">
      <c r="A11" s="37"/>
      <c r="B11" s="101"/>
      <c r="C11" s="37"/>
      <c r="D11" s="37"/>
      <c r="E11" s="12"/>
      <c r="F11" s="174"/>
      <c r="G11" s="174"/>
      <c r="H11" s="174"/>
      <c r="I11" s="153"/>
      <c r="J11" s="103"/>
      <c r="K11" s="153"/>
      <c r="L11" s="103"/>
      <c r="M11" s="104"/>
      <c r="N11" s="9"/>
      <c r="O11" s="9"/>
      <c r="P11" s="12"/>
      <c r="Q11" s="104"/>
      <c r="R11" s="12"/>
      <c r="S11" s="12"/>
      <c r="T11" s="12"/>
      <c r="U11" s="101"/>
    </row>
    <row r="12" spans="1:21" x14ac:dyDescent="0.4">
      <c r="A12" s="37"/>
      <c r="B12" s="101"/>
      <c r="C12" s="37"/>
      <c r="D12" s="37"/>
      <c r="E12" s="12"/>
      <c r="F12" s="174"/>
      <c r="G12" s="174"/>
      <c r="H12" s="174"/>
      <c r="I12" s="153"/>
      <c r="J12" s="103"/>
      <c r="K12" s="153"/>
      <c r="L12" s="103"/>
      <c r="M12" s="104"/>
      <c r="N12" s="9"/>
      <c r="O12" s="9"/>
      <c r="P12" s="12"/>
      <c r="Q12" s="104"/>
      <c r="R12" s="12"/>
      <c r="S12" s="12"/>
      <c r="T12" s="12"/>
      <c r="U12" s="101"/>
    </row>
    <row r="13" spans="1:21" x14ac:dyDescent="0.4">
      <c r="A13" s="37"/>
      <c r="B13" s="101"/>
      <c r="C13" s="37"/>
      <c r="D13" s="37"/>
      <c r="E13" s="9"/>
      <c r="F13" s="174"/>
      <c r="G13" s="174"/>
      <c r="H13" s="174"/>
      <c r="I13" s="153"/>
      <c r="J13" s="103"/>
      <c r="K13" s="153"/>
      <c r="L13" s="103"/>
      <c r="M13" s="104"/>
      <c r="N13" s="9"/>
      <c r="O13" s="9"/>
      <c r="P13" s="12"/>
      <c r="Q13" s="104"/>
      <c r="R13" s="12"/>
      <c r="S13" s="12"/>
      <c r="T13" s="12"/>
      <c r="U13" s="101"/>
    </row>
    <row r="14" spans="1:21" x14ac:dyDescent="0.4">
      <c r="A14" s="37"/>
      <c r="B14" s="101"/>
      <c r="C14" s="37"/>
      <c r="D14" s="37"/>
      <c r="E14" s="12"/>
      <c r="F14" s="174"/>
      <c r="G14" s="174"/>
      <c r="H14" s="174"/>
      <c r="I14" s="153"/>
      <c r="J14" s="103"/>
      <c r="K14" s="153"/>
      <c r="L14" s="103"/>
      <c r="M14" s="104"/>
      <c r="N14" s="9"/>
      <c r="O14" s="9"/>
      <c r="P14" s="12"/>
      <c r="Q14" s="104"/>
      <c r="R14" s="12"/>
      <c r="S14" s="12"/>
      <c r="T14" s="12"/>
      <c r="U14" s="101"/>
    </row>
    <row r="15" spans="1:21" x14ac:dyDescent="0.4">
      <c r="A15" s="37"/>
      <c r="B15" s="101"/>
      <c r="C15" s="37"/>
      <c r="D15" s="37"/>
      <c r="E15" s="9"/>
      <c r="F15" s="174"/>
      <c r="G15" s="174"/>
      <c r="H15" s="174"/>
      <c r="I15" s="153"/>
      <c r="J15" s="103"/>
      <c r="K15" s="153"/>
      <c r="L15" s="103"/>
      <c r="M15" s="104"/>
      <c r="N15" s="9"/>
      <c r="O15" s="9"/>
      <c r="P15" s="12"/>
      <c r="Q15" s="104"/>
      <c r="R15" s="12"/>
      <c r="S15" s="12"/>
      <c r="T15" s="12"/>
      <c r="U15" s="101"/>
    </row>
    <row r="16" spans="1:21" x14ac:dyDescent="0.4">
      <c r="A16" s="37"/>
      <c r="B16" s="101"/>
      <c r="C16" s="37"/>
      <c r="D16" s="37"/>
      <c r="E16" s="12"/>
      <c r="F16" s="174"/>
      <c r="G16" s="174"/>
      <c r="H16" s="174"/>
      <c r="I16" s="153"/>
      <c r="J16" s="103"/>
      <c r="K16" s="153"/>
      <c r="L16" s="103"/>
      <c r="M16" s="104"/>
      <c r="N16" s="9"/>
      <c r="O16" s="9"/>
      <c r="P16" s="12"/>
      <c r="Q16" s="104"/>
      <c r="R16" s="12"/>
      <c r="S16" s="12"/>
      <c r="T16" s="12"/>
      <c r="U16" s="101"/>
    </row>
    <row r="17" spans="1:21" x14ac:dyDescent="0.4">
      <c r="A17" s="37"/>
      <c r="B17" s="101"/>
      <c r="C17" s="37"/>
      <c r="D17" s="37"/>
      <c r="E17" s="12"/>
      <c r="F17" s="174"/>
      <c r="G17" s="174"/>
      <c r="H17" s="174"/>
      <c r="I17" s="153"/>
      <c r="J17" s="103"/>
      <c r="K17" s="153"/>
      <c r="L17" s="103"/>
      <c r="M17" s="104"/>
      <c r="N17" s="9"/>
      <c r="O17" s="9"/>
      <c r="P17" s="12"/>
      <c r="Q17" s="104"/>
      <c r="R17" s="12"/>
      <c r="S17" s="12"/>
      <c r="T17" s="12"/>
      <c r="U17" s="101"/>
    </row>
    <row r="18" spans="1:21" x14ac:dyDescent="0.4">
      <c r="A18" s="37"/>
      <c r="B18" s="101"/>
      <c r="C18" s="37"/>
      <c r="D18" s="37"/>
      <c r="E18" s="12"/>
      <c r="F18" s="174"/>
      <c r="G18" s="174"/>
      <c r="H18" s="174"/>
      <c r="I18" s="153"/>
      <c r="J18" s="103"/>
      <c r="K18" s="153"/>
      <c r="L18" s="103"/>
      <c r="M18" s="104"/>
      <c r="N18" s="9"/>
      <c r="O18" s="9"/>
      <c r="P18" s="12"/>
      <c r="Q18" s="104"/>
      <c r="R18" s="12"/>
      <c r="S18" s="12"/>
      <c r="T18" s="12"/>
      <c r="U18" s="101"/>
    </row>
    <row r="19" spans="1:21" x14ac:dyDescent="0.4">
      <c r="A19" s="37"/>
      <c r="B19" s="101"/>
      <c r="C19" s="37"/>
      <c r="D19" s="37"/>
      <c r="E19" s="9"/>
      <c r="F19" s="174"/>
      <c r="G19" s="174"/>
      <c r="H19" s="174"/>
      <c r="I19" s="153"/>
      <c r="J19" s="103"/>
      <c r="K19" s="153"/>
      <c r="L19" s="103"/>
      <c r="M19" s="104"/>
      <c r="N19" s="9"/>
      <c r="O19" s="9"/>
      <c r="P19" s="12"/>
      <c r="Q19" s="104"/>
      <c r="R19" s="12"/>
      <c r="S19" s="12"/>
      <c r="T19" s="12"/>
      <c r="U19" s="101"/>
    </row>
    <row r="20" spans="1:21" x14ac:dyDescent="0.4">
      <c r="A20" s="37"/>
      <c r="B20" s="101"/>
      <c r="C20" s="37"/>
      <c r="D20" s="37"/>
      <c r="E20" s="12"/>
      <c r="F20" s="174"/>
      <c r="G20" s="174"/>
      <c r="H20" s="174"/>
      <c r="I20" s="153"/>
      <c r="J20" s="103"/>
      <c r="K20" s="153"/>
      <c r="L20" s="103"/>
      <c r="M20" s="104"/>
      <c r="N20" s="9"/>
      <c r="O20" s="9"/>
      <c r="P20" s="12"/>
      <c r="Q20" s="104"/>
      <c r="R20" s="12"/>
      <c r="S20" s="12"/>
      <c r="T20" s="12"/>
      <c r="U20" s="101"/>
    </row>
    <row r="21" spans="1:21" x14ac:dyDescent="0.4">
      <c r="A21" s="37"/>
      <c r="B21" s="101"/>
      <c r="C21" s="37"/>
      <c r="D21" s="37"/>
      <c r="E21" s="9"/>
      <c r="F21" s="174"/>
      <c r="G21" s="174"/>
      <c r="H21" s="174"/>
      <c r="I21" s="153"/>
      <c r="J21" s="103"/>
      <c r="K21" s="153"/>
      <c r="L21" s="103"/>
      <c r="M21" s="104"/>
      <c r="N21" s="9"/>
      <c r="O21" s="9"/>
      <c r="P21" s="12"/>
      <c r="Q21" s="104"/>
      <c r="R21" s="12"/>
      <c r="S21" s="12"/>
      <c r="T21" s="12"/>
      <c r="U21" s="101"/>
    </row>
    <row r="22" spans="1:21" x14ac:dyDescent="0.4">
      <c r="A22" s="37"/>
      <c r="B22" s="101"/>
      <c r="C22" s="37"/>
      <c r="D22" s="37"/>
      <c r="E22" s="12"/>
      <c r="F22" s="174"/>
      <c r="G22" s="174"/>
      <c r="H22" s="174"/>
      <c r="I22" s="153"/>
      <c r="J22" s="103"/>
      <c r="K22" s="153"/>
      <c r="L22" s="103"/>
      <c r="M22" s="104"/>
      <c r="N22" s="9"/>
      <c r="O22" s="9"/>
      <c r="P22" s="12"/>
      <c r="Q22" s="104"/>
      <c r="R22" s="12"/>
      <c r="S22" s="12"/>
      <c r="T22" s="12"/>
      <c r="U22" s="101"/>
    </row>
    <row r="23" spans="1:21" x14ac:dyDescent="0.4">
      <c r="A23" s="37"/>
      <c r="B23" s="101"/>
      <c r="C23" s="37"/>
      <c r="D23" s="37"/>
      <c r="E23" s="9"/>
      <c r="F23" s="174"/>
      <c r="G23" s="174"/>
      <c r="H23" s="174"/>
      <c r="I23" s="153"/>
      <c r="J23" s="103"/>
      <c r="K23" s="153"/>
      <c r="L23" s="103"/>
      <c r="M23" s="104"/>
      <c r="N23" s="9"/>
      <c r="O23" s="9"/>
      <c r="P23" s="12"/>
      <c r="Q23" s="104"/>
      <c r="R23" s="12"/>
      <c r="S23" s="12"/>
      <c r="T23" s="12"/>
      <c r="U23" s="101"/>
    </row>
    <row r="24" spans="1:21" x14ac:dyDescent="0.4">
      <c r="A24" s="37"/>
      <c r="B24" s="101"/>
      <c r="C24" s="37"/>
      <c r="D24" s="37"/>
      <c r="E24" s="12"/>
      <c r="F24" s="174"/>
      <c r="G24" s="174"/>
      <c r="H24" s="174"/>
      <c r="I24" s="153"/>
      <c r="J24" s="103"/>
      <c r="K24" s="153"/>
      <c r="L24" s="103"/>
      <c r="M24" s="104"/>
      <c r="N24" s="9"/>
      <c r="O24" s="9"/>
      <c r="P24" s="12"/>
      <c r="Q24" s="104"/>
      <c r="R24" s="12"/>
      <c r="S24" s="12"/>
      <c r="T24" s="12"/>
      <c r="U24" s="101"/>
    </row>
    <row r="25" spans="1:21" x14ac:dyDescent="0.4">
      <c r="A25" s="37"/>
      <c r="B25" s="101"/>
      <c r="C25" s="37"/>
      <c r="D25" s="37"/>
      <c r="E25" s="12"/>
      <c r="F25" s="174"/>
      <c r="G25" s="174"/>
      <c r="H25" s="174"/>
      <c r="I25" s="153"/>
      <c r="J25" s="103"/>
      <c r="K25" s="153"/>
      <c r="L25" s="103"/>
      <c r="M25" s="104"/>
      <c r="N25" s="9"/>
      <c r="O25" s="9"/>
      <c r="P25" s="12"/>
      <c r="Q25" s="104"/>
      <c r="R25" s="12"/>
      <c r="S25" s="12"/>
      <c r="T25" s="12"/>
      <c r="U25" s="101"/>
    </row>
    <row r="26" spans="1:21" x14ac:dyDescent="0.4">
      <c r="A26" s="37"/>
      <c r="B26" s="101"/>
      <c r="C26" s="37"/>
      <c r="D26" s="37"/>
      <c r="E26" s="12"/>
      <c r="F26" s="174"/>
      <c r="G26" s="174"/>
      <c r="H26" s="174"/>
      <c r="I26" s="153"/>
      <c r="J26" s="103"/>
      <c r="K26" s="153"/>
      <c r="L26" s="103"/>
      <c r="M26" s="104"/>
      <c r="N26" s="9"/>
      <c r="O26" s="9"/>
      <c r="P26" s="12"/>
      <c r="Q26" s="104"/>
      <c r="R26" s="12"/>
      <c r="S26" s="12"/>
      <c r="T26" s="12"/>
      <c r="U26" s="101"/>
    </row>
    <row r="27" spans="1:21" x14ac:dyDescent="0.4">
      <c r="A27" s="37"/>
      <c r="B27" s="101"/>
      <c r="C27" s="37"/>
      <c r="D27" s="37"/>
      <c r="E27" s="12"/>
      <c r="F27" s="174"/>
      <c r="G27" s="174"/>
      <c r="H27" s="174"/>
      <c r="I27" s="153"/>
      <c r="J27" s="103"/>
      <c r="K27" s="153"/>
      <c r="L27" s="103"/>
      <c r="M27" s="104"/>
      <c r="N27" s="9"/>
      <c r="O27" s="9"/>
      <c r="P27" s="12"/>
      <c r="Q27" s="104"/>
      <c r="R27" s="12"/>
      <c r="S27" s="12"/>
      <c r="T27" s="12"/>
      <c r="U27" s="101"/>
    </row>
    <row r="28" spans="1:21" x14ac:dyDescent="0.4">
      <c r="A28" s="37"/>
      <c r="B28" s="101"/>
      <c r="C28" s="37"/>
      <c r="D28" s="37"/>
      <c r="E28" s="12"/>
      <c r="F28" s="174"/>
      <c r="G28" s="174"/>
      <c r="H28" s="174"/>
      <c r="I28" s="153"/>
      <c r="J28" s="103"/>
      <c r="K28" s="153"/>
      <c r="L28" s="103"/>
      <c r="M28" s="104"/>
      <c r="N28" s="9"/>
      <c r="O28" s="9"/>
      <c r="P28" s="12"/>
      <c r="Q28" s="104"/>
      <c r="R28" s="12"/>
      <c r="S28" s="12"/>
      <c r="T28" s="12"/>
      <c r="U28" s="101"/>
    </row>
    <row r="29" spans="1:21" x14ac:dyDescent="0.4">
      <c r="A29" s="37"/>
      <c r="B29" s="101"/>
      <c r="C29" s="37"/>
      <c r="D29" s="37"/>
      <c r="E29" s="12"/>
      <c r="F29" s="174"/>
      <c r="G29" s="174"/>
      <c r="H29" s="174"/>
      <c r="I29" s="153"/>
      <c r="J29" s="103"/>
      <c r="K29" s="153"/>
      <c r="L29" s="103"/>
      <c r="M29" s="104"/>
      <c r="N29" s="9"/>
      <c r="O29" s="9"/>
      <c r="P29" s="12"/>
      <c r="Q29" s="104"/>
      <c r="R29" s="12"/>
      <c r="S29" s="12"/>
      <c r="T29" s="12"/>
      <c r="U29" s="101"/>
    </row>
    <row r="30" spans="1:21" x14ac:dyDescent="0.4">
      <c r="A30" s="37"/>
      <c r="B30" s="101"/>
      <c r="C30" s="37"/>
      <c r="D30" s="37"/>
      <c r="E30" s="12"/>
      <c r="F30" s="174"/>
      <c r="G30" s="174"/>
      <c r="H30" s="174"/>
      <c r="I30" s="153"/>
      <c r="J30" s="103"/>
      <c r="K30" s="153"/>
      <c r="L30" s="103"/>
      <c r="M30" s="104"/>
      <c r="N30" s="9"/>
      <c r="O30" s="9"/>
      <c r="P30" s="12"/>
      <c r="Q30" s="104"/>
      <c r="R30" s="12"/>
      <c r="S30" s="12"/>
      <c r="T30" s="12"/>
      <c r="U30" s="101"/>
    </row>
    <row r="31" spans="1:21" x14ac:dyDescent="0.4">
      <c r="A31" s="37"/>
      <c r="B31" s="101"/>
      <c r="C31" s="37"/>
      <c r="D31" s="37"/>
      <c r="E31" s="12"/>
      <c r="F31" s="174"/>
      <c r="G31" s="174"/>
      <c r="H31" s="174"/>
      <c r="I31" s="153"/>
      <c r="J31" s="103"/>
      <c r="K31" s="153"/>
      <c r="L31" s="103"/>
      <c r="M31" s="104"/>
      <c r="N31" s="9"/>
      <c r="O31" s="9"/>
      <c r="P31" s="12"/>
      <c r="Q31" s="104"/>
      <c r="R31" s="12"/>
      <c r="S31" s="12"/>
      <c r="T31" s="12"/>
      <c r="U31" s="101"/>
    </row>
    <row r="32" spans="1:21" x14ac:dyDescent="0.4">
      <c r="A32" s="37"/>
      <c r="B32" s="101"/>
      <c r="C32" s="37"/>
      <c r="D32" s="37"/>
      <c r="E32" s="12"/>
      <c r="F32" s="174"/>
      <c r="G32" s="174"/>
      <c r="H32" s="174"/>
      <c r="I32" s="153"/>
      <c r="J32" s="103"/>
      <c r="K32" s="153"/>
      <c r="L32" s="103"/>
      <c r="M32" s="104"/>
      <c r="N32" s="9"/>
      <c r="O32" s="9"/>
      <c r="P32" s="12"/>
      <c r="Q32" s="104"/>
      <c r="R32" s="12"/>
      <c r="S32" s="12"/>
      <c r="T32" s="12"/>
      <c r="U32" s="101"/>
    </row>
    <row r="33" spans="1:21" x14ac:dyDescent="0.4">
      <c r="A33" s="37"/>
      <c r="B33" s="101"/>
      <c r="C33" s="37"/>
      <c r="D33" s="37"/>
      <c r="E33" s="12"/>
      <c r="F33" s="174"/>
      <c r="G33" s="174"/>
      <c r="H33" s="174"/>
      <c r="I33" s="153"/>
      <c r="J33" s="103"/>
      <c r="K33" s="153"/>
      <c r="L33" s="103"/>
      <c r="M33" s="104"/>
      <c r="N33" s="9"/>
      <c r="O33" s="9"/>
      <c r="P33" s="12"/>
      <c r="Q33" s="104"/>
      <c r="R33" s="12"/>
      <c r="S33" s="12"/>
      <c r="T33" s="12"/>
      <c r="U33" s="101"/>
    </row>
    <row r="34" spans="1:21" x14ac:dyDescent="0.4">
      <c r="A34" s="37"/>
      <c r="B34" s="101"/>
      <c r="C34" s="37"/>
      <c r="D34" s="37"/>
      <c r="E34" s="12"/>
      <c r="F34" s="174"/>
      <c r="G34" s="174"/>
      <c r="H34" s="174"/>
      <c r="I34" s="153"/>
      <c r="J34" s="103"/>
      <c r="K34" s="153"/>
      <c r="L34" s="103"/>
      <c r="M34" s="104"/>
      <c r="N34" s="9"/>
      <c r="O34" s="9"/>
      <c r="P34" s="12"/>
      <c r="Q34" s="104"/>
      <c r="R34" s="12"/>
      <c r="S34" s="12"/>
      <c r="T34" s="12"/>
      <c r="U34" s="101"/>
    </row>
    <row r="35" spans="1:21" x14ac:dyDescent="0.4">
      <c r="A35" s="37"/>
      <c r="B35" s="101"/>
      <c r="C35" s="37"/>
      <c r="D35" s="37"/>
      <c r="E35" s="12"/>
      <c r="F35" s="174"/>
      <c r="G35" s="174"/>
      <c r="H35" s="174"/>
      <c r="I35" s="153"/>
      <c r="J35" s="103"/>
      <c r="K35" s="153"/>
      <c r="L35" s="103"/>
      <c r="M35" s="104"/>
      <c r="N35" s="9"/>
      <c r="O35" s="9"/>
      <c r="P35" s="12"/>
      <c r="Q35" s="104"/>
      <c r="R35" s="12"/>
      <c r="S35" s="12"/>
      <c r="T35" s="12"/>
      <c r="U35" s="101"/>
    </row>
    <row r="36" spans="1:21" x14ac:dyDescent="0.4">
      <c r="A36" s="37"/>
      <c r="B36" s="101"/>
      <c r="C36" s="37"/>
      <c r="D36" s="37"/>
      <c r="E36" s="12"/>
      <c r="F36" s="174"/>
      <c r="G36" s="174"/>
      <c r="H36" s="174"/>
      <c r="I36" s="153"/>
      <c r="J36" s="103"/>
      <c r="K36" s="153"/>
      <c r="L36" s="103"/>
      <c r="M36" s="104"/>
      <c r="N36" s="9"/>
      <c r="O36" s="9"/>
      <c r="P36" s="12"/>
      <c r="Q36" s="104"/>
      <c r="R36" s="12"/>
      <c r="S36" s="12"/>
      <c r="T36" s="12"/>
      <c r="U36" s="101"/>
    </row>
    <row r="37" spans="1:21" x14ac:dyDescent="0.4">
      <c r="A37" s="37"/>
      <c r="B37" s="101"/>
      <c r="C37" s="37"/>
      <c r="D37" s="37"/>
      <c r="E37" s="12"/>
      <c r="F37" s="174"/>
      <c r="G37" s="174"/>
      <c r="H37" s="174"/>
      <c r="I37" s="153"/>
      <c r="J37" s="103"/>
      <c r="K37" s="153"/>
      <c r="L37" s="103"/>
      <c r="M37" s="104"/>
      <c r="N37" s="9"/>
      <c r="O37" s="9"/>
      <c r="P37" s="12"/>
      <c r="Q37" s="104"/>
      <c r="R37" s="12"/>
      <c r="S37" s="12"/>
      <c r="T37" s="12"/>
      <c r="U37" s="101"/>
    </row>
    <row r="38" spans="1:21" x14ac:dyDescent="0.4">
      <c r="A38" s="37"/>
      <c r="B38" s="101"/>
      <c r="C38" s="37"/>
      <c r="D38" s="37"/>
      <c r="E38" s="12"/>
      <c r="F38" s="174"/>
      <c r="G38" s="174"/>
      <c r="H38" s="174"/>
      <c r="I38" s="153"/>
      <c r="J38" s="103"/>
      <c r="K38" s="153"/>
      <c r="L38" s="103"/>
      <c r="M38" s="104"/>
      <c r="N38" s="9"/>
      <c r="O38" s="9"/>
      <c r="P38" s="12"/>
      <c r="Q38" s="104"/>
      <c r="R38" s="12"/>
      <c r="S38" s="12"/>
      <c r="T38" s="12"/>
      <c r="U38" s="101"/>
    </row>
    <row r="39" spans="1:21" x14ac:dyDescent="0.4">
      <c r="A39" s="37"/>
      <c r="B39" s="101"/>
      <c r="C39" s="37"/>
      <c r="D39" s="37"/>
      <c r="E39" s="12"/>
      <c r="F39" s="174"/>
      <c r="G39" s="174"/>
      <c r="H39" s="174"/>
      <c r="I39" s="153"/>
      <c r="J39" s="103"/>
      <c r="K39" s="153"/>
      <c r="L39" s="103"/>
      <c r="M39" s="104"/>
      <c r="N39" s="9"/>
      <c r="O39" s="9"/>
      <c r="P39" s="12"/>
      <c r="Q39" s="104"/>
      <c r="R39" s="12"/>
      <c r="S39" s="12"/>
      <c r="T39" s="12"/>
      <c r="U39" s="101"/>
    </row>
    <row r="40" spans="1:21" x14ac:dyDescent="0.4">
      <c r="A40" s="37"/>
      <c r="B40" s="101"/>
      <c r="C40" s="37"/>
      <c r="D40" s="37"/>
      <c r="E40" s="12"/>
      <c r="F40" s="174"/>
      <c r="G40" s="174"/>
      <c r="H40" s="174"/>
      <c r="I40" s="153"/>
      <c r="J40" s="103"/>
      <c r="K40" s="153"/>
      <c r="L40" s="103"/>
      <c r="M40" s="104"/>
      <c r="N40" s="9"/>
      <c r="O40" s="9"/>
      <c r="P40" s="12"/>
      <c r="Q40" s="104"/>
      <c r="R40" s="12"/>
      <c r="S40" s="12"/>
      <c r="T40" s="12"/>
      <c r="U40" s="101"/>
    </row>
    <row r="41" spans="1:21" x14ac:dyDescent="0.4">
      <c r="A41" s="37"/>
      <c r="B41" s="101"/>
      <c r="C41" s="37"/>
      <c r="D41" s="37"/>
      <c r="E41" s="12"/>
      <c r="F41" s="174"/>
      <c r="G41" s="174"/>
      <c r="H41" s="174"/>
      <c r="I41" s="153"/>
      <c r="J41" s="103"/>
      <c r="K41" s="153"/>
      <c r="L41" s="103"/>
      <c r="M41" s="104"/>
      <c r="N41" s="9"/>
      <c r="O41" s="9"/>
      <c r="P41" s="12"/>
      <c r="Q41" s="104"/>
      <c r="R41" s="12"/>
      <c r="S41" s="12"/>
      <c r="T41" s="12"/>
      <c r="U41" s="101"/>
    </row>
    <row r="42" spans="1:21" x14ac:dyDescent="0.4">
      <c r="A42" s="37"/>
      <c r="B42" s="101"/>
      <c r="C42" s="37"/>
      <c r="D42" s="37"/>
      <c r="E42" s="12"/>
      <c r="F42" s="174"/>
      <c r="G42" s="174"/>
      <c r="H42" s="174"/>
      <c r="I42" s="153"/>
      <c r="J42" s="103"/>
      <c r="K42" s="153"/>
      <c r="L42" s="103"/>
      <c r="M42" s="104"/>
      <c r="N42" s="9"/>
      <c r="O42" s="9"/>
      <c r="P42" s="12"/>
      <c r="Q42" s="104"/>
      <c r="R42" s="12"/>
      <c r="S42" s="12"/>
      <c r="T42" s="12"/>
      <c r="U42" s="101"/>
    </row>
    <row r="43" spans="1:21" x14ac:dyDescent="0.4">
      <c r="A43" s="37"/>
      <c r="B43" s="101"/>
      <c r="C43" s="37"/>
      <c r="D43" s="37"/>
      <c r="E43" s="12"/>
      <c r="F43" s="174"/>
      <c r="G43" s="174"/>
      <c r="H43" s="174"/>
      <c r="I43" s="153"/>
      <c r="J43" s="103"/>
      <c r="K43" s="153"/>
      <c r="L43" s="103"/>
      <c r="M43" s="104"/>
      <c r="N43" s="9"/>
      <c r="O43" s="9"/>
      <c r="P43" s="12"/>
      <c r="Q43" s="104"/>
      <c r="R43" s="12"/>
      <c r="S43" s="12"/>
      <c r="T43" s="12"/>
      <c r="U43" s="101"/>
    </row>
    <row r="44" spans="1:21" x14ac:dyDescent="0.4">
      <c r="A44" s="37"/>
      <c r="B44" s="101"/>
      <c r="C44" s="37"/>
      <c r="D44" s="37"/>
      <c r="E44" s="12"/>
      <c r="F44" s="174"/>
      <c r="G44" s="174"/>
      <c r="H44" s="174"/>
      <c r="I44" s="153"/>
      <c r="J44" s="103"/>
      <c r="K44" s="153"/>
      <c r="L44" s="103"/>
      <c r="M44" s="104"/>
      <c r="N44" s="9"/>
      <c r="O44" s="9"/>
      <c r="P44" s="12"/>
      <c r="Q44" s="104"/>
      <c r="R44" s="12"/>
      <c r="S44" s="12"/>
      <c r="T44" s="12"/>
      <c r="U44" s="101"/>
    </row>
    <row r="45" spans="1:21" x14ac:dyDescent="0.4">
      <c r="A45" s="37"/>
      <c r="B45" s="101"/>
      <c r="C45" s="37"/>
      <c r="D45" s="37"/>
      <c r="E45" s="12"/>
      <c r="F45" s="174"/>
      <c r="G45" s="174"/>
      <c r="H45" s="174"/>
      <c r="I45" s="153"/>
      <c r="J45" s="103"/>
      <c r="K45" s="153"/>
      <c r="L45" s="103"/>
      <c r="M45" s="104"/>
      <c r="N45" s="9"/>
      <c r="O45" s="9"/>
      <c r="P45" s="12"/>
      <c r="Q45" s="104"/>
      <c r="R45" s="12"/>
      <c r="S45" s="12"/>
      <c r="T45" s="12"/>
      <c r="U45" s="101"/>
    </row>
    <row r="46" spans="1:21" x14ac:dyDescent="0.4">
      <c r="A46" s="37"/>
      <c r="B46" s="101"/>
      <c r="C46" s="37"/>
      <c r="D46" s="37"/>
      <c r="E46" s="12"/>
      <c r="F46" s="174"/>
      <c r="G46" s="174"/>
      <c r="H46" s="174"/>
      <c r="I46" s="153"/>
      <c r="J46" s="103"/>
      <c r="K46" s="153"/>
      <c r="L46" s="103"/>
      <c r="M46" s="104"/>
      <c r="N46" s="9"/>
      <c r="O46" s="9"/>
      <c r="P46" s="12"/>
      <c r="Q46" s="104"/>
      <c r="R46" s="12"/>
      <c r="S46" s="12"/>
      <c r="T46" s="12"/>
      <c r="U46" s="101"/>
    </row>
    <row r="47" spans="1:21" x14ac:dyDescent="0.4">
      <c r="A47" s="37"/>
      <c r="B47" s="101"/>
      <c r="C47" s="37"/>
      <c r="D47" s="37"/>
      <c r="E47" s="12"/>
      <c r="F47" s="174"/>
      <c r="G47" s="174"/>
      <c r="H47" s="174"/>
      <c r="I47" s="153"/>
      <c r="J47" s="103"/>
      <c r="K47" s="153"/>
      <c r="L47" s="103"/>
      <c r="M47" s="104"/>
      <c r="N47" s="9"/>
      <c r="O47" s="9"/>
      <c r="P47" s="12"/>
      <c r="Q47" s="104"/>
      <c r="R47" s="12"/>
      <c r="S47" s="12"/>
      <c r="T47" s="12"/>
      <c r="U47" s="101"/>
    </row>
    <row r="48" spans="1:21" x14ac:dyDescent="0.4">
      <c r="A48" s="37"/>
      <c r="B48" s="101"/>
      <c r="C48" s="37"/>
      <c r="D48" s="37"/>
      <c r="E48" s="12"/>
      <c r="F48" s="174"/>
      <c r="G48" s="174"/>
      <c r="H48" s="174"/>
      <c r="I48" s="153"/>
      <c r="J48" s="103"/>
      <c r="K48" s="153"/>
      <c r="L48" s="103"/>
      <c r="M48" s="104"/>
      <c r="N48" s="9"/>
      <c r="O48" s="9"/>
      <c r="P48" s="12"/>
      <c r="Q48" s="104"/>
      <c r="R48" s="12"/>
      <c r="S48" s="12"/>
      <c r="T48" s="12"/>
      <c r="U48" s="101"/>
    </row>
    <row r="49" spans="1:21" x14ac:dyDescent="0.4">
      <c r="A49" s="37"/>
      <c r="B49" s="101"/>
      <c r="C49" s="37"/>
      <c r="D49" s="37"/>
      <c r="E49" s="12"/>
      <c r="F49" s="174"/>
      <c r="G49" s="174"/>
      <c r="H49" s="174"/>
      <c r="I49" s="153"/>
      <c r="J49" s="103"/>
      <c r="K49" s="153"/>
      <c r="L49" s="103"/>
      <c r="M49" s="104"/>
      <c r="N49" s="9"/>
      <c r="O49" s="9"/>
      <c r="P49" s="12"/>
      <c r="Q49" s="104"/>
      <c r="R49" s="12"/>
      <c r="S49" s="12"/>
      <c r="T49" s="12"/>
      <c r="U49" s="101"/>
    </row>
    <row r="50" spans="1:21" x14ac:dyDescent="0.4">
      <c r="A50" s="37"/>
      <c r="B50" s="101"/>
      <c r="C50" s="37"/>
      <c r="D50" s="37"/>
      <c r="E50" s="12"/>
      <c r="F50" s="174"/>
      <c r="G50" s="174"/>
      <c r="H50" s="174"/>
      <c r="I50" s="153"/>
      <c r="J50" s="103"/>
      <c r="K50" s="153"/>
      <c r="L50" s="103"/>
      <c r="M50" s="104"/>
      <c r="N50" s="9"/>
      <c r="O50" s="9"/>
      <c r="P50" s="12"/>
      <c r="Q50" s="104"/>
      <c r="R50" s="12"/>
      <c r="S50" s="12"/>
      <c r="T50" s="12"/>
      <c r="U50" s="101"/>
    </row>
    <row r="51" spans="1:21" x14ac:dyDescent="0.4">
      <c r="A51" s="37"/>
      <c r="B51" s="101"/>
      <c r="C51" s="37"/>
      <c r="D51" s="37"/>
      <c r="E51" s="12"/>
      <c r="F51" s="174"/>
      <c r="G51" s="174"/>
      <c r="H51" s="174"/>
      <c r="I51" s="153"/>
      <c r="J51" s="103"/>
      <c r="K51" s="153"/>
      <c r="L51" s="103"/>
      <c r="M51" s="104"/>
      <c r="N51" s="9"/>
      <c r="O51" s="9"/>
      <c r="P51" s="12"/>
      <c r="Q51" s="104"/>
      <c r="R51" s="12"/>
      <c r="S51" s="12"/>
      <c r="T51" s="12"/>
      <c r="U51" s="101"/>
    </row>
    <row r="52" spans="1:21" x14ac:dyDescent="0.4">
      <c r="A52" s="37"/>
      <c r="B52" s="101"/>
      <c r="C52" s="37"/>
      <c r="D52" s="37"/>
      <c r="E52" s="12"/>
      <c r="F52" s="174"/>
      <c r="G52" s="174"/>
      <c r="H52" s="174"/>
      <c r="I52" s="153"/>
      <c r="J52" s="103"/>
      <c r="K52" s="153"/>
      <c r="L52" s="103"/>
      <c r="M52" s="104"/>
      <c r="N52" s="9"/>
      <c r="O52" s="9"/>
      <c r="P52" s="12"/>
      <c r="Q52" s="104"/>
      <c r="R52" s="12"/>
      <c r="S52" s="12"/>
      <c r="T52" s="12"/>
      <c r="U52" s="101"/>
    </row>
    <row r="53" spans="1:21" x14ac:dyDescent="0.4">
      <c r="A53" s="37"/>
      <c r="B53" s="101"/>
      <c r="C53" s="37"/>
      <c r="D53" s="37"/>
      <c r="E53" s="12"/>
      <c r="F53" s="174"/>
      <c r="G53" s="174"/>
      <c r="H53" s="174"/>
      <c r="I53" s="153"/>
      <c r="J53" s="103"/>
      <c r="K53" s="153"/>
      <c r="L53" s="103"/>
      <c r="M53" s="104"/>
      <c r="N53" s="9"/>
      <c r="O53" s="9"/>
      <c r="P53" s="12"/>
      <c r="Q53" s="104"/>
      <c r="R53" s="12"/>
      <c r="S53" s="12"/>
      <c r="T53" s="12"/>
      <c r="U53" s="101"/>
    </row>
    <row r="54" spans="1:21" x14ac:dyDescent="0.4">
      <c r="A54" s="37"/>
      <c r="B54" s="101"/>
      <c r="C54" s="37"/>
      <c r="D54" s="37"/>
      <c r="E54" s="12"/>
      <c r="F54" s="174"/>
      <c r="G54" s="174"/>
      <c r="H54" s="174"/>
      <c r="I54" s="153"/>
      <c r="J54" s="103"/>
      <c r="K54" s="153"/>
      <c r="L54" s="103"/>
      <c r="M54" s="104"/>
      <c r="N54" s="9"/>
      <c r="O54" s="9"/>
      <c r="P54" s="12"/>
      <c r="Q54" s="104"/>
      <c r="R54" s="12"/>
      <c r="S54" s="12"/>
      <c r="T54" s="12"/>
      <c r="U54" s="101"/>
    </row>
    <row r="55" spans="1:21" x14ac:dyDescent="0.4">
      <c r="A55" s="37"/>
      <c r="B55" s="101"/>
      <c r="C55" s="37"/>
      <c r="D55" s="37"/>
      <c r="E55" s="12"/>
      <c r="F55" s="174"/>
      <c r="G55" s="174"/>
      <c r="H55" s="174"/>
      <c r="I55" s="153"/>
      <c r="J55" s="103"/>
      <c r="K55" s="153"/>
      <c r="L55" s="103"/>
      <c r="M55" s="104"/>
      <c r="N55" s="9"/>
      <c r="O55" s="9"/>
      <c r="P55" s="12"/>
      <c r="Q55" s="104"/>
      <c r="R55" s="12"/>
      <c r="S55" s="12"/>
      <c r="T55" s="12"/>
      <c r="U55" s="101"/>
    </row>
    <row r="56" spans="1:21" x14ac:dyDescent="0.4">
      <c r="A56" s="37"/>
      <c r="B56" s="101"/>
      <c r="C56" s="37"/>
      <c r="D56" s="37"/>
      <c r="E56" s="12"/>
      <c r="F56" s="174"/>
      <c r="G56" s="174"/>
      <c r="H56" s="174"/>
      <c r="I56" s="153"/>
      <c r="J56" s="103"/>
      <c r="K56" s="153"/>
      <c r="L56" s="103"/>
      <c r="M56" s="104"/>
      <c r="N56" s="9"/>
      <c r="O56" s="9"/>
      <c r="P56" s="12"/>
      <c r="Q56" s="104"/>
      <c r="R56" s="12"/>
      <c r="S56" s="12"/>
      <c r="T56" s="12"/>
      <c r="U56" s="101"/>
    </row>
    <row r="57" spans="1:21" x14ac:dyDescent="0.4">
      <c r="A57" s="37"/>
      <c r="B57" s="101"/>
      <c r="C57" s="37"/>
      <c r="D57" s="37"/>
      <c r="E57" s="12"/>
      <c r="F57" s="174"/>
      <c r="G57" s="174"/>
      <c r="H57" s="174"/>
      <c r="I57" s="153"/>
      <c r="J57" s="103"/>
      <c r="K57" s="153"/>
      <c r="L57" s="103"/>
      <c r="M57" s="104"/>
      <c r="N57" s="9"/>
      <c r="O57" s="9"/>
      <c r="P57" s="12"/>
      <c r="Q57" s="104"/>
      <c r="R57" s="12"/>
      <c r="S57" s="12"/>
      <c r="T57" s="12"/>
      <c r="U57" s="101"/>
    </row>
    <row r="58" spans="1:21" x14ac:dyDescent="0.4">
      <c r="A58" s="37"/>
      <c r="B58" s="101"/>
      <c r="C58" s="37"/>
      <c r="D58" s="37"/>
      <c r="E58" s="12"/>
      <c r="F58" s="174"/>
      <c r="G58" s="174"/>
      <c r="H58" s="174"/>
      <c r="I58" s="153"/>
      <c r="J58" s="103"/>
      <c r="K58" s="153"/>
      <c r="L58" s="103"/>
      <c r="M58" s="104"/>
      <c r="N58" s="9"/>
      <c r="O58" s="9"/>
      <c r="P58" s="12"/>
      <c r="Q58" s="104"/>
      <c r="R58" s="12"/>
      <c r="S58" s="12"/>
      <c r="T58" s="12"/>
      <c r="U58" s="101"/>
    </row>
    <row r="59" spans="1:21" x14ac:dyDescent="0.4">
      <c r="A59" s="37"/>
      <c r="B59" s="101"/>
      <c r="C59" s="37"/>
      <c r="D59" s="37"/>
      <c r="E59" s="12"/>
      <c r="F59" s="174"/>
      <c r="G59" s="174"/>
      <c r="H59" s="174"/>
      <c r="I59" s="153"/>
      <c r="J59" s="103"/>
      <c r="K59" s="153"/>
      <c r="L59" s="103"/>
      <c r="M59" s="104"/>
      <c r="N59" s="9"/>
      <c r="O59" s="9"/>
      <c r="P59" s="12"/>
      <c r="Q59" s="104"/>
      <c r="R59" s="12"/>
      <c r="S59" s="12"/>
      <c r="T59" s="12"/>
      <c r="U59" s="101"/>
    </row>
    <row r="60" spans="1:21" x14ac:dyDescent="0.4">
      <c r="A60" s="37"/>
      <c r="B60" s="101"/>
      <c r="C60" s="37"/>
      <c r="D60" s="37"/>
      <c r="E60" s="12"/>
      <c r="F60" s="174"/>
      <c r="G60" s="174"/>
      <c r="H60" s="174"/>
      <c r="I60" s="153"/>
      <c r="J60" s="103"/>
      <c r="K60" s="153"/>
      <c r="L60" s="103"/>
      <c r="M60" s="104"/>
      <c r="N60" s="9"/>
      <c r="O60" s="9"/>
      <c r="P60" s="12"/>
      <c r="Q60" s="104"/>
      <c r="R60" s="12"/>
      <c r="S60" s="12"/>
      <c r="T60" s="12"/>
      <c r="U60" s="101"/>
    </row>
    <row r="61" spans="1:21" x14ac:dyDescent="0.4">
      <c r="A61" s="37"/>
      <c r="B61" s="101"/>
      <c r="C61" s="37"/>
      <c r="D61" s="37"/>
      <c r="E61" s="12"/>
      <c r="F61" s="174"/>
      <c r="G61" s="174"/>
      <c r="H61" s="174"/>
      <c r="I61" s="153"/>
      <c r="J61" s="103"/>
      <c r="K61" s="153"/>
      <c r="L61" s="103"/>
      <c r="M61" s="104"/>
      <c r="N61" s="9"/>
      <c r="O61" s="9"/>
      <c r="P61" s="12"/>
      <c r="Q61" s="104"/>
      <c r="R61" s="12"/>
      <c r="S61" s="12"/>
      <c r="T61" s="12"/>
      <c r="U61" s="101"/>
    </row>
    <row r="62" spans="1:21" x14ac:dyDescent="0.4">
      <c r="A62" s="37"/>
      <c r="B62" s="101"/>
      <c r="C62" s="37"/>
      <c r="D62" s="37"/>
      <c r="E62" s="12"/>
      <c r="F62" s="174"/>
      <c r="G62" s="174"/>
      <c r="H62" s="174"/>
      <c r="I62" s="153"/>
      <c r="J62" s="103"/>
      <c r="K62" s="153"/>
      <c r="L62" s="103"/>
      <c r="M62" s="104"/>
      <c r="N62" s="9"/>
      <c r="O62" s="9"/>
      <c r="P62" s="12"/>
      <c r="Q62" s="104"/>
      <c r="R62" s="12"/>
      <c r="S62" s="12"/>
      <c r="T62" s="12"/>
      <c r="U62" s="101"/>
    </row>
    <row r="63" spans="1:21" x14ac:dyDescent="0.4">
      <c r="A63" s="37"/>
      <c r="B63" s="101"/>
      <c r="C63" s="37"/>
      <c r="D63" s="37"/>
      <c r="E63" s="12"/>
      <c r="F63" s="174"/>
      <c r="G63" s="174"/>
      <c r="H63" s="174"/>
      <c r="I63" s="153"/>
      <c r="J63" s="103"/>
      <c r="K63" s="153"/>
      <c r="L63" s="103"/>
      <c r="M63" s="104"/>
      <c r="N63" s="9"/>
      <c r="O63" s="9"/>
      <c r="P63" s="12"/>
      <c r="Q63" s="104"/>
      <c r="R63" s="12"/>
      <c r="S63" s="12"/>
      <c r="T63" s="12"/>
      <c r="U63" s="101"/>
    </row>
    <row r="64" spans="1:21" x14ac:dyDescent="0.4">
      <c r="A64" s="37"/>
      <c r="B64" s="101"/>
      <c r="C64" s="37"/>
      <c r="D64" s="37"/>
      <c r="E64" s="12"/>
      <c r="F64" s="174"/>
      <c r="G64" s="174"/>
      <c r="H64" s="174"/>
      <c r="I64" s="153"/>
      <c r="J64" s="103"/>
      <c r="K64" s="153"/>
      <c r="L64" s="103"/>
      <c r="M64" s="104"/>
      <c r="N64" s="9"/>
      <c r="O64" s="9"/>
      <c r="P64" s="12"/>
      <c r="Q64" s="104"/>
      <c r="R64" s="12"/>
      <c r="S64" s="12"/>
      <c r="T64" s="12"/>
      <c r="U64" s="101"/>
    </row>
    <row r="65" spans="1:21" x14ac:dyDescent="0.4">
      <c r="A65" s="37"/>
      <c r="B65" s="101"/>
      <c r="C65" s="37"/>
      <c r="D65" s="37"/>
      <c r="E65" s="12"/>
      <c r="F65" s="174"/>
      <c r="G65" s="174"/>
      <c r="H65" s="174"/>
      <c r="I65" s="153"/>
      <c r="J65" s="103"/>
      <c r="K65" s="153"/>
      <c r="L65" s="103"/>
      <c r="M65" s="104"/>
      <c r="N65" s="9"/>
      <c r="O65" s="9"/>
      <c r="P65" s="12"/>
      <c r="Q65" s="104"/>
      <c r="R65" s="12"/>
      <c r="S65" s="12"/>
      <c r="T65" s="12"/>
      <c r="U65" s="101"/>
    </row>
    <row r="66" spans="1:21" x14ac:dyDescent="0.4">
      <c r="A66" s="37"/>
      <c r="B66" s="101"/>
      <c r="C66" s="37"/>
      <c r="D66" s="37"/>
      <c r="E66" s="12"/>
      <c r="F66" s="174"/>
      <c r="G66" s="174"/>
      <c r="H66" s="174"/>
      <c r="I66" s="153"/>
      <c r="J66" s="103"/>
      <c r="K66" s="153"/>
      <c r="L66" s="103"/>
      <c r="M66" s="104"/>
      <c r="N66" s="9"/>
      <c r="O66" s="9"/>
      <c r="P66" s="12"/>
      <c r="Q66" s="104"/>
      <c r="R66" s="12"/>
      <c r="S66" s="12"/>
      <c r="T66" s="12"/>
      <c r="U66" s="101"/>
    </row>
    <row r="67" spans="1:21" x14ac:dyDescent="0.4">
      <c r="A67" s="37"/>
      <c r="B67" s="101"/>
      <c r="C67" s="37"/>
      <c r="D67" s="37"/>
      <c r="E67" s="12"/>
      <c r="F67" s="174"/>
      <c r="G67" s="174"/>
      <c r="H67" s="174"/>
      <c r="I67" s="153"/>
      <c r="J67" s="103"/>
      <c r="K67" s="153"/>
      <c r="L67" s="103"/>
      <c r="M67" s="104"/>
      <c r="N67" s="9"/>
      <c r="O67" s="9"/>
      <c r="P67" s="12"/>
      <c r="Q67" s="104"/>
      <c r="R67" s="12"/>
      <c r="S67" s="12"/>
      <c r="T67" s="12"/>
      <c r="U67" s="101"/>
    </row>
    <row r="68" spans="1:21" x14ac:dyDescent="0.4">
      <c r="A68" s="37"/>
      <c r="B68" s="101"/>
      <c r="C68" s="37"/>
      <c r="D68" s="37"/>
      <c r="E68" s="12"/>
      <c r="F68" s="174"/>
      <c r="G68" s="174"/>
      <c r="H68" s="174"/>
      <c r="I68" s="153"/>
      <c r="J68" s="103"/>
      <c r="K68" s="153"/>
      <c r="L68" s="103"/>
      <c r="M68" s="104"/>
      <c r="N68" s="9"/>
      <c r="O68" s="9"/>
      <c r="P68" s="12"/>
      <c r="Q68" s="104"/>
      <c r="R68" s="12"/>
      <c r="S68" s="12"/>
      <c r="T68" s="12"/>
      <c r="U68" s="101"/>
    </row>
    <row r="69" spans="1:21" x14ac:dyDescent="0.4">
      <c r="A69" s="37"/>
      <c r="B69" s="101"/>
      <c r="C69" s="37"/>
      <c r="D69" s="37"/>
      <c r="E69" s="12"/>
      <c r="F69" s="174"/>
      <c r="G69" s="174"/>
      <c r="H69" s="174"/>
      <c r="I69" s="153"/>
      <c r="J69" s="103"/>
      <c r="K69" s="153"/>
      <c r="L69" s="103"/>
      <c r="M69" s="104"/>
      <c r="N69" s="9"/>
      <c r="O69" s="9"/>
      <c r="P69" s="12"/>
      <c r="Q69" s="104"/>
      <c r="R69" s="12"/>
      <c r="S69" s="12"/>
      <c r="T69" s="12"/>
      <c r="U69" s="101"/>
    </row>
    <row r="70" spans="1:21" x14ac:dyDescent="0.4">
      <c r="A70" s="37"/>
      <c r="B70" s="101"/>
      <c r="C70" s="37"/>
      <c r="D70" s="37"/>
      <c r="E70" s="12"/>
      <c r="F70" s="174"/>
      <c r="G70" s="174"/>
      <c r="H70" s="174"/>
      <c r="I70" s="153"/>
      <c r="J70" s="103"/>
      <c r="K70" s="153"/>
      <c r="L70" s="103"/>
      <c r="M70" s="104"/>
      <c r="N70" s="9"/>
      <c r="O70" s="9"/>
      <c r="P70" s="12"/>
      <c r="Q70" s="104"/>
      <c r="R70" s="12"/>
      <c r="S70" s="12"/>
      <c r="T70" s="12"/>
      <c r="U70" s="101"/>
    </row>
    <row r="71" spans="1:21" x14ac:dyDescent="0.4">
      <c r="A71" s="37"/>
      <c r="B71" s="101"/>
      <c r="C71" s="37"/>
      <c r="D71" s="37"/>
      <c r="E71" s="12"/>
      <c r="F71" s="174"/>
      <c r="G71" s="174"/>
      <c r="H71" s="174"/>
      <c r="I71" s="153"/>
      <c r="J71" s="103"/>
      <c r="K71" s="153"/>
      <c r="L71" s="103"/>
      <c r="M71" s="104"/>
      <c r="N71" s="9"/>
      <c r="O71" s="9"/>
      <c r="P71" s="12"/>
      <c r="Q71" s="104"/>
      <c r="R71" s="12"/>
      <c r="S71" s="12"/>
      <c r="T71" s="12"/>
      <c r="U71" s="101"/>
    </row>
    <row r="72" spans="1:21" x14ac:dyDescent="0.4">
      <c r="A72" s="37"/>
      <c r="B72" s="101"/>
      <c r="C72" s="37"/>
      <c r="D72" s="37"/>
      <c r="E72" s="12"/>
      <c r="F72" s="174"/>
      <c r="G72" s="174"/>
      <c r="H72" s="174"/>
      <c r="I72" s="153"/>
      <c r="J72" s="103"/>
      <c r="K72" s="153"/>
      <c r="L72" s="103"/>
      <c r="M72" s="104"/>
      <c r="N72" s="9"/>
      <c r="O72" s="9"/>
      <c r="P72" s="12"/>
      <c r="Q72" s="104"/>
      <c r="R72" s="12"/>
      <c r="S72" s="12"/>
      <c r="T72" s="12"/>
      <c r="U72" s="101"/>
    </row>
    <row r="73" spans="1:21" x14ac:dyDescent="0.4">
      <c r="A73" s="37"/>
      <c r="B73" s="101"/>
      <c r="C73" s="37"/>
      <c r="D73" s="37"/>
      <c r="E73" s="12"/>
      <c r="F73" s="174"/>
      <c r="G73" s="174"/>
      <c r="H73" s="174"/>
      <c r="I73" s="153"/>
      <c r="J73" s="103"/>
      <c r="K73" s="153"/>
      <c r="L73" s="103"/>
      <c r="M73" s="104"/>
      <c r="N73" s="9"/>
      <c r="O73" s="9"/>
      <c r="P73" s="12"/>
      <c r="Q73" s="104"/>
      <c r="R73" s="12"/>
      <c r="S73" s="12"/>
      <c r="T73" s="12"/>
      <c r="U73" s="101"/>
    </row>
    <row r="74" spans="1:21" x14ac:dyDescent="0.4">
      <c r="A74" s="37"/>
      <c r="B74" s="101"/>
      <c r="C74" s="37"/>
      <c r="D74" s="37"/>
      <c r="E74" s="12"/>
      <c r="F74" s="174"/>
      <c r="G74" s="174"/>
      <c r="H74" s="174"/>
      <c r="I74" s="153"/>
      <c r="J74" s="103"/>
      <c r="K74" s="153"/>
      <c r="L74" s="103"/>
      <c r="M74" s="104"/>
      <c r="N74" s="9"/>
      <c r="O74" s="9"/>
      <c r="P74" s="12"/>
      <c r="Q74" s="104"/>
      <c r="R74" s="12"/>
      <c r="S74" s="12"/>
      <c r="T74" s="12"/>
      <c r="U74" s="101"/>
    </row>
    <row r="75" spans="1:21" x14ac:dyDescent="0.4">
      <c r="A75" s="37"/>
      <c r="B75" s="101"/>
      <c r="C75" s="37"/>
      <c r="D75" s="37"/>
      <c r="E75" s="12"/>
      <c r="F75" s="174"/>
      <c r="G75" s="174"/>
      <c r="H75" s="174"/>
      <c r="I75" s="153"/>
      <c r="J75" s="103"/>
      <c r="K75" s="153"/>
      <c r="L75" s="103"/>
      <c r="M75" s="104"/>
      <c r="N75" s="9"/>
      <c r="O75" s="9"/>
      <c r="P75" s="12"/>
      <c r="Q75" s="104"/>
      <c r="R75" s="12"/>
      <c r="S75" s="12"/>
      <c r="T75" s="12"/>
      <c r="U75" s="101"/>
    </row>
    <row r="76" spans="1:21" x14ac:dyDescent="0.4">
      <c r="A76" s="37"/>
      <c r="B76" s="101"/>
      <c r="C76" s="37"/>
      <c r="D76" s="37"/>
      <c r="E76" s="12"/>
      <c r="F76" s="174"/>
      <c r="G76" s="174"/>
      <c r="H76" s="174"/>
      <c r="I76" s="153"/>
      <c r="J76" s="103"/>
      <c r="K76" s="153"/>
      <c r="L76" s="103"/>
      <c r="M76" s="104"/>
      <c r="N76" s="9"/>
      <c r="O76" s="9"/>
      <c r="P76" s="12"/>
      <c r="Q76" s="104"/>
      <c r="R76" s="12"/>
      <c r="S76" s="12"/>
      <c r="T76" s="12"/>
      <c r="U76" s="101"/>
    </row>
    <row r="77" spans="1:21" x14ac:dyDescent="0.4">
      <c r="A77" s="37"/>
      <c r="B77" s="101"/>
      <c r="C77" s="37"/>
      <c r="D77" s="37"/>
      <c r="E77" s="12"/>
      <c r="F77" s="174"/>
      <c r="G77" s="174"/>
      <c r="H77" s="174"/>
      <c r="I77" s="153"/>
      <c r="J77" s="103"/>
      <c r="K77" s="153"/>
      <c r="L77" s="103"/>
      <c r="M77" s="104"/>
      <c r="N77" s="9"/>
      <c r="O77" s="9"/>
      <c r="P77" s="12"/>
      <c r="Q77" s="104"/>
      <c r="R77" s="12"/>
      <c r="S77" s="12"/>
      <c r="T77" s="12"/>
      <c r="U77" s="101"/>
    </row>
    <row r="78" spans="1:21" x14ac:dyDescent="0.4">
      <c r="A78" s="37"/>
      <c r="B78" s="101"/>
      <c r="C78" s="37"/>
      <c r="D78" s="37"/>
      <c r="E78" s="12"/>
      <c r="F78" s="174"/>
      <c r="G78" s="174"/>
      <c r="H78" s="174"/>
      <c r="I78" s="153"/>
      <c r="J78" s="103"/>
      <c r="K78" s="153"/>
      <c r="L78" s="103"/>
      <c r="M78" s="104"/>
      <c r="N78" s="9"/>
      <c r="O78" s="9"/>
      <c r="P78" s="12"/>
      <c r="Q78" s="104"/>
      <c r="R78" s="12"/>
      <c r="S78" s="12"/>
      <c r="T78" s="12"/>
      <c r="U78" s="101"/>
    </row>
    <row r="79" spans="1:21" x14ac:dyDescent="0.4">
      <c r="A79" s="37"/>
      <c r="B79" s="101"/>
      <c r="C79" s="37"/>
      <c r="D79" s="37"/>
      <c r="E79" s="12"/>
      <c r="F79" s="174"/>
      <c r="G79" s="174"/>
      <c r="H79" s="174"/>
      <c r="I79" s="153"/>
      <c r="J79" s="103"/>
      <c r="K79" s="153"/>
      <c r="L79" s="103"/>
      <c r="M79" s="104"/>
      <c r="N79" s="9"/>
      <c r="O79" s="9"/>
      <c r="P79" s="12"/>
      <c r="Q79" s="104"/>
      <c r="R79" s="12"/>
      <c r="S79" s="12"/>
      <c r="T79" s="12"/>
      <c r="U79" s="101"/>
    </row>
    <row r="80" spans="1:21" x14ac:dyDescent="0.4">
      <c r="A80" s="37"/>
      <c r="B80" s="101"/>
      <c r="C80" s="37"/>
      <c r="D80" s="37"/>
      <c r="E80" s="12"/>
      <c r="F80" s="174"/>
      <c r="G80" s="174"/>
      <c r="H80" s="174"/>
      <c r="I80" s="153"/>
      <c r="J80" s="103"/>
      <c r="K80" s="153"/>
      <c r="L80" s="103"/>
      <c r="M80" s="104"/>
      <c r="N80" s="9"/>
      <c r="O80" s="9"/>
      <c r="P80" s="12"/>
      <c r="Q80" s="104"/>
      <c r="R80" s="12"/>
      <c r="S80" s="12"/>
      <c r="T80" s="12"/>
      <c r="U80" s="101"/>
    </row>
    <row r="81" spans="1:21" x14ac:dyDescent="0.4">
      <c r="A81" s="37"/>
      <c r="B81" s="101"/>
      <c r="C81" s="37"/>
      <c r="D81" s="37"/>
      <c r="E81" s="12"/>
      <c r="F81" s="174"/>
      <c r="G81" s="174"/>
      <c r="H81" s="174"/>
      <c r="I81" s="153"/>
      <c r="J81" s="103"/>
      <c r="K81" s="153"/>
      <c r="L81" s="103"/>
      <c r="M81" s="104"/>
      <c r="N81" s="9"/>
      <c r="O81" s="9"/>
      <c r="P81" s="12"/>
      <c r="Q81" s="104"/>
      <c r="R81" s="12"/>
      <c r="S81" s="12"/>
      <c r="T81" s="12"/>
      <c r="U81" s="101"/>
    </row>
    <row r="82" spans="1:21" x14ac:dyDescent="0.4">
      <c r="A82" s="37"/>
      <c r="B82" s="101"/>
      <c r="C82" s="37"/>
      <c r="D82" s="37"/>
      <c r="E82" s="9"/>
      <c r="F82" s="174"/>
      <c r="G82" s="174"/>
      <c r="H82" s="174"/>
      <c r="I82" s="153"/>
      <c r="J82" s="103"/>
      <c r="K82" s="153"/>
      <c r="L82" s="103"/>
      <c r="M82" s="104"/>
      <c r="N82" s="9"/>
      <c r="O82" s="9"/>
      <c r="P82" s="12"/>
      <c r="Q82" s="104"/>
      <c r="R82" s="12"/>
      <c r="S82" s="12"/>
      <c r="T82" s="12"/>
      <c r="U82" s="101"/>
    </row>
    <row r="83" spans="1:21" x14ac:dyDescent="0.4">
      <c r="A83" s="37"/>
      <c r="B83" s="101"/>
      <c r="C83" s="37"/>
      <c r="D83" s="37"/>
      <c r="E83" s="12"/>
      <c r="F83" s="174"/>
      <c r="G83" s="174"/>
      <c r="H83" s="174"/>
      <c r="I83" s="153"/>
      <c r="J83" s="103"/>
      <c r="K83" s="153"/>
      <c r="L83" s="103"/>
      <c r="M83" s="104"/>
      <c r="N83" s="9"/>
      <c r="O83" s="9"/>
      <c r="P83" s="12"/>
      <c r="Q83" s="104"/>
      <c r="R83" s="12"/>
      <c r="S83" s="12"/>
      <c r="T83" s="12"/>
      <c r="U83" s="101"/>
    </row>
    <row r="84" spans="1:21" x14ac:dyDescent="0.4">
      <c r="A84" s="37"/>
      <c r="B84" s="101"/>
      <c r="C84" s="37"/>
      <c r="D84" s="37"/>
      <c r="E84" s="12"/>
      <c r="F84" s="174"/>
      <c r="G84" s="174"/>
      <c r="H84" s="174"/>
      <c r="I84" s="153"/>
      <c r="J84" s="103"/>
      <c r="K84" s="153"/>
      <c r="L84" s="103"/>
      <c r="M84" s="104"/>
      <c r="N84" s="9"/>
      <c r="O84" s="9"/>
      <c r="P84" s="12"/>
      <c r="Q84" s="104"/>
      <c r="R84" s="12"/>
      <c r="S84" s="12"/>
      <c r="T84" s="12"/>
      <c r="U84" s="101"/>
    </row>
    <row r="85" spans="1:21" x14ac:dyDescent="0.4">
      <c r="A85" s="37"/>
      <c r="B85" s="101"/>
      <c r="C85" s="37"/>
      <c r="D85" s="37"/>
      <c r="E85" s="12"/>
      <c r="F85" s="174"/>
      <c r="G85" s="174"/>
      <c r="H85" s="174"/>
      <c r="I85" s="153"/>
      <c r="J85" s="103"/>
      <c r="K85" s="153"/>
      <c r="L85" s="103"/>
      <c r="M85" s="104"/>
      <c r="N85" s="9"/>
      <c r="O85" s="9"/>
      <c r="P85" s="12"/>
      <c r="Q85" s="104"/>
      <c r="R85" s="12"/>
      <c r="S85" s="12"/>
      <c r="T85" s="12"/>
      <c r="U85" s="101"/>
    </row>
    <row r="86" spans="1:21" x14ac:dyDescent="0.4">
      <c r="A86" s="37"/>
      <c r="B86" s="101"/>
      <c r="C86" s="37"/>
      <c r="D86" s="37"/>
      <c r="E86" s="12"/>
      <c r="F86" s="174"/>
      <c r="G86" s="174"/>
      <c r="H86" s="174"/>
      <c r="I86" s="153"/>
      <c r="J86" s="103"/>
      <c r="K86" s="153"/>
      <c r="L86" s="103"/>
      <c r="M86" s="104"/>
      <c r="N86" s="9"/>
      <c r="O86" s="9"/>
      <c r="P86" s="12"/>
      <c r="Q86" s="104"/>
      <c r="R86" s="12"/>
      <c r="S86" s="12"/>
      <c r="T86" s="12"/>
      <c r="U86" s="101"/>
    </row>
    <row r="87" spans="1:21" x14ac:dyDescent="0.4">
      <c r="A87" s="37"/>
      <c r="B87" s="101"/>
      <c r="C87" s="37"/>
      <c r="D87" s="37"/>
      <c r="E87" s="12"/>
      <c r="F87" s="174"/>
      <c r="G87" s="174"/>
      <c r="H87" s="174"/>
      <c r="I87" s="153"/>
      <c r="J87" s="103"/>
      <c r="K87" s="153"/>
      <c r="L87" s="103"/>
      <c r="M87" s="104"/>
      <c r="N87" s="9"/>
      <c r="O87" s="9"/>
      <c r="P87" s="12"/>
      <c r="Q87" s="104"/>
      <c r="R87" s="12"/>
      <c r="S87" s="12"/>
      <c r="T87" s="12"/>
      <c r="U87" s="101"/>
    </row>
    <row r="88" spans="1:21" x14ac:dyDescent="0.4">
      <c r="A88" s="37"/>
      <c r="B88" s="101"/>
      <c r="C88" s="37"/>
      <c r="D88" s="37"/>
      <c r="E88" s="12"/>
      <c r="F88" s="174"/>
      <c r="G88" s="174"/>
      <c r="H88" s="174"/>
      <c r="I88" s="153"/>
      <c r="J88" s="103"/>
      <c r="K88" s="153"/>
      <c r="L88" s="103"/>
      <c r="M88" s="104"/>
      <c r="N88" s="9"/>
      <c r="O88" s="9"/>
      <c r="P88" s="12"/>
      <c r="Q88" s="104"/>
      <c r="R88" s="12"/>
      <c r="S88" s="12"/>
      <c r="T88" s="12"/>
      <c r="U88" s="101"/>
    </row>
    <row r="89" spans="1:21" x14ac:dyDescent="0.4">
      <c r="A89" s="37"/>
      <c r="B89" s="101"/>
      <c r="C89" s="37"/>
      <c r="D89" s="37"/>
      <c r="E89" s="12"/>
      <c r="F89" s="174"/>
      <c r="G89" s="174"/>
      <c r="H89" s="174"/>
      <c r="I89" s="153"/>
      <c r="J89" s="103"/>
      <c r="K89" s="153"/>
      <c r="L89" s="103"/>
      <c r="M89" s="104"/>
      <c r="N89" s="9"/>
      <c r="O89" s="9"/>
      <c r="P89" s="12"/>
      <c r="Q89" s="104"/>
      <c r="R89" s="12"/>
      <c r="S89" s="12"/>
      <c r="T89" s="12"/>
      <c r="U89" s="101"/>
    </row>
    <row r="90" spans="1:21" x14ac:dyDescent="0.4">
      <c r="A90" s="37"/>
      <c r="B90" s="101"/>
      <c r="C90" s="37"/>
      <c r="D90" s="37"/>
      <c r="E90" s="12"/>
      <c r="F90" s="174"/>
      <c r="G90" s="174"/>
      <c r="H90" s="174"/>
      <c r="I90" s="153"/>
      <c r="J90" s="103"/>
      <c r="K90" s="153"/>
      <c r="L90" s="103"/>
      <c r="M90" s="104"/>
      <c r="N90" s="9"/>
      <c r="O90" s="9"/>
      <c r="P90" s="12"/>
      <c r="Q90" s="104"/>
      <c r="R90" s="12"/>
      <c r="S90" s="12"/>
      <c r="T90" s="12"/>
      <c r="U90" s="101"/>
    </row>
    <row r="91" spans="1:21" x14ac:dyDescent="0.4">
      <c r="A91" s="37"/>
      <c r="B91" s="101"/>
      <c r="C91" s="37"/>
      <c r="D91" s="37"/>
      <c r="E91" s="12"/>
      <c r="F91" s="174"/>
      <c r="G91" s="174"/>
      <c r="H91" s="174"/>
      <c r="I91" s="153"/>
      <c r="J91" s="103"/>
      <c r="K91" s="153"/>
      <c r="L91" s="103"/>
      <c r="M91" s="104"/>
      <c r="N91" s="9"/>
      <c r="O91" s="9"/>
      <c r="P91" s="12"/>
      <c r="Q91" s="104"/>
      <c r="R91" s="12"/>
      <c r="S91" s="12"/>
      <c r="T91" s="12"/>
      <c r="U91" s="101"/>
    </row>
    <row r="92" spans="1:21" x14ac:dyDescent="0.4">
      <c r="A92" s="37"/>
      <c r="B92" s="101"/>
      <c r="C92" s="37"/>
      <c r="D92" s="37"/>
      <c r="E92" s="12"/>
      <c r="F92" s="174"/>
      <c r="G92" s="174"/>
      <c r="H92" s="174"/>
      <c r="I92" s="153"/>
      <c r="J92" s="103"/>
      <c r="K92" s="153"/>
      <c r="L92" s="103"/>
      <c r="M92" s="104"/>
      <c r="N92" s="9"/>
      <c r="O92" s="9"/>
      <c r="P92" s="12"/>
      <c r="Q92" s="104"/>
      <c r="R92" s="12"/>
      <c r="S92" s="12"/>
      <c r="T92" s="12"/>
      <c r="U92" s="101"/>
    </row>
    <row r="93" spans="1:21" x14ac:dyDescent="0.4">
      <c r="A93" s="37"/>
      <c r="B93" s="101"/>
      <c r="C93" s="37"/>
      <c r="D93" s="37"/>
      <c r="E93" s="12"/>
      <c r="F93" s="174"/>
      <c r="G93" s="174"/>
      <c r="H93" s="174"/>
      <c r="I93" s="153"/>
      <c r="J93" s="103"/>
      <c r="K93" s="153"/>
      <c r="L93" s="103"/>
      <c r="M93" s="104"/>
      <c r="N93" s="9"/>
      <c r="O93" s="9"/>
      <c r="P93" s="12"/>
      <c r="Q93" s="104"/>
      <c r="R93" s="12"/>
      <c r="S93" s="12"/>
      <c r="T93" s="12"/>
      <c r="U93" s="101"/>
    </row>
    <row r="94" spans="1:21" x14ac:dyDescent="0.4">
      <c r="A94" s="37"/>
      <c r="B94" s="101"/>
      <c r="C94" s="37"/>
      <c r="D94" s="37"/>
      <c r="E94" s="12"/>
      <c r="F94" s="174"/>
      <c r="G94" s="174"/>
      <c r="H94" s="174"/>
      <c r="I94" s="153"/>
      <c r="J94" s="103"/>
      <c r="K94" s="153"/>
      <c r="L94" s="103"/>
      <c r="M94" s="104"/>
      <c r="N94" s="9"/>
      <c r="O94" s="9"/>
      <c r="P94" s="12"/>
      <c r="Q94" s="104"/>
      <c r="R94" s="12"/>
      <c r="S94" s="12"/>
      <c r="T94" s="12"/>
      <c r="U94" s="101"/>
    </row>
    <row r="95" spans="1:21" x14ac:dyDescent="0.4">
      <c r="A95" s="37"/>
      <c r="B95" s="101"/>
      <c r="C95" s="37"/>
      <c r="D95" s="37"/>
      <c r="E95" s="12"/>
      <c r="F95" s="174"/>
      <c r="G95" s="174"/>
      <c r="H95" s="174"/>
      <c r="I95" s="153"/>
      <c r="J95" s="103"/>
      <c r="K95" s="153"/>
      <c r="L95" s="103"/>
      <c r="M95" s="104"/>
      <c r="N95" s="9"/>
      <c r="O95" s="9"/>
      <c r="P95" s="12"/>
      <c r="Q95" s="104"/>
      <c r="R95" s="12"/>
      <c r="S95" s="12"/>
      <c r="T95" s="12"/>
      <c r="U95" s="101"/>
    </row>
    <row r="96" spans="1:21" x14ac:dyDescent="0.4">
      <c r="A96" s="37"/>
      <c r="B96" s="101"/>
      <c r="C96" s="37"/>
      <c r="D96" s="37"/>
      <c r="E96" s="12"/>
      <c r="F96" s="174"/>
      <c r="G96" s="174"/>
      <c r="H96" s="174"/>
      <c r="I96" s="153"/>
      <c r="J96" s="103"/>
      <c r="K96" s="153"/>
      <c r="L96" s="103"/>
      <c r="M96" s="104"/>
      <c r="N96" s="9"/>
      <c r="O96" s="9"/>
      <c r="P96" s="12"/>
      <c r="Q96" s="104"/>
      <c r="R96" s="12"/>
      <c r="S96" s="12"/>
      <c r="T96" s="12"/>
      <c r="U96" s="101"/>
    </row>
    <row r="97" spans="1:21" x14ac:dyDescent="0.4">
      <c r="A97" s="37"/>
      <c r="B97" s="101"/>
      <c r="C97" s="37"/>
      <c r="D97" s="37"/>
      <c r="E97" s="12"/>
      <c r="F97" s="174"/>
      <c r="G97" s="174"/>
      <c r="H97" s="174"/>
      <c r="I97" s="153"/>
      <c r="J97" s="103"/>
      <c r="K97" s="153"/>
      <c r="L97" s="103"/>
      <c r="M97" s="104"/>
      <c r="N97" s="9"/>
      <c r="O97" s="9"/>
      <c r="P97" s="12"/>
      <c r="Q97" s="104"/>
      <c r="R97" s="12"/>
      <c r="S97" s="12"/>
      <c r="T97" s="12"/>
      <c r="U97" s="101"/>
    </row>
    <row r="98" spans="1:21" x14ac:dyDescent="0.4">
      <c r="A98" s="37"/>
      <c r="B98" s="101"/>
      <c r="C98" s="37"/>
      <c r="D98" s="37"/>
      <c r="E98" s="12"/>
      <c r="F98" s="174"/>
      <c r="G98" s="174"/>
      <c r="H98" s="174"/>
      <c r="I98" s="153"/>
      <c r="J98" s="103"/>
      <c r="K98" s="153"/>
      <c r="L98" s="103"/>
      <c r="M98" s="104"/>
      <c r="N98" s="9"/>
      <c r="O98" s="9"/>
      <c r="P98" s="12"/>
      <c r="Q98" s="104"/>
      <c r="R98" s="12"/>
      <c r="S98" s="12"/>
      <c r="T98" s="12"/>
      <c r="U98" s="101"/>
    </row>
    <row r="99" spans="1:21" x14ac:dyDescent="0.4">
      <c r="A99" s="37"/>
      <c r="B99" s="179"/>
      <c r="C99" s="37"/>
      <c r="D99" s="37"/>
      <c r="E99" s="12"/>
      <c r="F99" s="174"/>
      <c r="G99" s="174"/>
      <c r="H99" s="174"/>
      <c r="I99" s="153"/>
      <c r="J99" s="103"/>
      <c r="K99" s="153"/>
      <c r="L99" s="103"/>
      <c r="M99" s="104"/>
      <c r="N99" s="9"/>
      <c r="O99" s="9"/>
      <c r="P99" s="12"/>
      <c r="Q99" s="104"/>
      <c r="R99" s="12"/>
      <c r="S99" s="12"/>
      <c r="T99" s="12"/>
      <c r="U99" s="179"/>
    </row>
    <row r="100" spans="1:21" x14ac:dyDescent="0.4">
      <c r="A100" s="37"/>
      <c r="B100" s="101"/>
      <c r="C100" s="37"/>
      <c r="D100" s="37"/>
      <c r="E100" s="12"/>
      <c r="F100" s="174"/>
      <c r="G100" s="174"/>
      <c r="H100" s="174"/>
      <c r="I100" s="153"/>
      <c r="J100" s="103"/>
      <c r="K100" s="153"/>
      <c r="L100" s="103"/>
      <c r="M100" s="104"/>
      <c r="N100" s="9"/>
      <c r="O100" s="9"/>
      <c r="P100" s="12"/>
      <c r="Q100" s="104"/>
      <c r="R100" s="12"/>
      <c r="S100" s="12"/>
      <c r="T100" s="12"/>
      <c r="U100" s="101"/>
    </row>
    <row r="101" spans="1:21" x14ac:dyDescent="0.4">
      <c r="A101" s="37"/>
      <c r="B101" s="101"/>
      <c r="C101" s="37"/>
      <c r="D101" s="37"/>
      <c r="E101" s="12"/>
      <c r="F101" s="174"/>
      <c r="G101" s="174"/>
      <c r="H101" s="174"/>
      <c r="I101" s="153"/>
      <c r="J101" s="103"/>
      <c r="K101" s="153"/>
      <c r="L101" s="103"/>
      <c r="M101" s="104"/>
      <c r="N101" s="9"/>
      <c r="O101" s="9"/>
      <c r="P101" s="12"/>
      <c r="Q101" s="104"/>
      <c r="R101" s="12"/>
      <c r="S101" s="12"/>
      <c r="T101" s="12"/>
      <c r="U101" s="101"/>
    </row>
    <row r="102" spans="1:21" x14ac:dyDescent="0.4">
      <c r="A102" s="37"/>
      <c r="B102" s="101"/>
      <c r="C102" s="37"/>
      <c r="D102" s="37"/>
      <c r="E102" s="12"/>
      <c r="F102" s="174"/>
      <c r="G102" s="174"/>
      <c r="H102" s="174"/>
      <c r="I102" s="153"/>
      <c r="J102" s="103"/>
      <c r="K102" s="153"/>
      <c r="L102" s="103"/>
      <c r="M102" s="104"/>
      <c r="N102" s="9"/>
      <c r="O102" s="9"/>
      <c r="P102" s="12"/>
      <c r="Q102" s="104"/>
      <c r="R102" s="12"/>
      <c r="S102" s="12"/>
      <c r="T102" s="12"/>
      <c r="U102" s="101"/>
    </row>
    <row r="103" spans="1:21" x14ac:dyDescent="0.4">
      <c r="A103" s="37"/>
      <c r="B103" s="101"/>
      <c r="C103" s="37"/>
      <c r="D103" s="37"/>
      <c r="E103" s="12"/>
      <c r="F103" s="174"/>
      <c r="G103" s="174"/>
      <c r="H103" s="174"/>
      <c r="I103" s="153"/>
      <c r="J103" s="103"/>
      <c r="K103" s="153"/>
      <c r="L103" s="103"/>
      <c r="M103" s="104"/>
      <c r="N103" s="9"/>
      <c r="O103" s="9"/>
      <c r="P103" s="12"/>
      <c r="Q103" s="104"/>
      <c r="R103" s="12"/>
      <c r="S103" s="12"/>
      <c r="T103" s="12"/>
      <c r="U103" s="101"/>
    </row>
    <row r="104" spans="1:21" x14ac:dyDescent="0.4">
      <c r="A104" s="37"/>
      <c r="B104" s="101"/>
      <c r="C104" s="37"/>
      <c r="D104" s="37"/>
      <c r="E104" s="12"/>
      <c r="F104" s="174"/>
      <c r="G104" s="174"/>
      <c r="H104" s="174"/>
      <c r="I104" s="153"/>
      <c r="J104" s="103"/>
      <c r="K104" s="153"/>
      <c r="L104" s="103"/>
      <c r="M104" s="104"/>
      <c r="N104" s="9"/>
      <c r="O104" s="9"/>
      <c r="P104" s="12"/>
      <c r="Q104" s="104"/>
      <c r="R104" s="12"/>
      <c r="S104" s="12"/>
      <c r="T104" s="12"/>
      <c r="U104" s="101"/>
    </row>
    <row r="105" spans="1:21" x14ac:dyDescent="0.4">
      <c r="A105" s="37"/>
      <c r="B105" s="101"/>
      <c r="C105" s="37"/>
      <c r="D105" s="37"/>
      <c r="E105" s="12"/>
      <c r="F105" s="174"/>
      <c r="G105" s="174"/>
      <c r="H105" s="174"/>
      <c r="I105" s="153"/>
      <c r="J105" s="103"/>
      <c r="K105" s="153"/>
      <c r="L105" s="103"/>
      <c r="M105" s="104"/>
      <c r="N105" s="9"/>
      <c r="O105" s="9"/>
      <c r="P105" s="12"/>
      <c r="Q105" s="104"/>
      <c r="R105" s="12"/>
      <c r="S105" s="12"/>
      <c r="T105" s="12"/>
      <c r="U105" s="101"/>
    </row>
    <row r="106" spans="1:21" x14ac:dyDescent="0.4">
      <c r="A106" s="37"/>
      <c r="B106" s="101"/>
      <c r="C106" s="37"/>
      <c r="D106" s="37"/>
      <c r="E106" s="12"/>
      <c r="F106" s="174"/>
      <c r="G106" s="174"/>
      <c r="H106" s="174"/>
      <c r="I106" s="153"/>
      <c r="J106" s="103"/>
      <c r="K106" s="153"/>
      <c r="L106" s="103"/>
      <c r="M106" s="104"/>
      <c r="N106" s="9"/>
      <c r="O106" s="9"/>
      <c r="P106" s="12"/>
      <c r="Q106" s="104"/>
      <c r="R106" s="12"/>
      <c r="S106" s="12"/>
      <c r="T106" s="12"/>
      <c r="U106" s="101"/>
    </row>
    <row r="107" spans="1:21" x14ac:dyDescent="0.4">
      <c r="A107" s="37"/>
      <c r="B107" s="101"/>
      <c r="C107" s="37"/>
      <c r="D107" s="37"/>
      <c r="E107" s="12"/>
      <c r="F107" s="174"/>
      <c r="G107" s="174"/>
      <c r="H107" s="174"/>
      <c r="I107" s="153"/>
      <c r="J107" s="103"/>
      <c r="K107" s="153"/>
      <c r="L107" s="103"/>
      <c r="M107" s="104"/>
      <c r="N107" s="9"/>
      <c r="O107" s="9"/>
      <c r="P107" s="12"/>
      <c r="Q107" s="104"/>
      <c r="R107" s="12"/>
      <c r="S107" s="12"/>
      <c r="T107" s="12"/>
      <c r="U107" s="101"/>
    </row>
    <row r="108" spans="1:21" x14ac:dyDescent="0.4">
      <c r="A108" s="37"/>
      <c r="B108" s="101"/>
      <c r="C108" s="37"/>
      <c r="D108" s="37"/>
      <c r="E108" s="12"/>
      <c r="F108" s="174"/>
      <c r="G108" s="174"/>
      <c r="H108" s="174"/>
      <c r="I108" s="153"/>
      <c r="J108" s="103"/>
      <c r="K108" s="153"/>
      <c r="L108" s="103"/>
      <c r="M108" s="104"/>
      <c r="N108" s="9"/>
      <c r="O108" s="9"/>
      <c r="P108" s="12"/>
      <c r="Q108" s="104"/>
      <c r="R108" s="12"/>
      <c r="S108" s="12"/>
      <c r="T108" s="12"/>
      <c r="U108" s="101"/>
    </row>
    <row r="109" spans="1:21" x14ac:dyDescent="0.4">
      <c r="A109" s="37"/>
      <c r="B109" s="101"/>
      <c r="C109" s="37"/>
      <c r="D109" s="37"/>
      <c r="E109" s="12"/>
      <c r="F109" s="174"/>
      <c r="G109" s="174"/>
      <c r="H109" s="174"/>
      <c r="I109" s="153"/>
      <c r="J109" s="103"/>
      <c r="K109" s="153"/>
      <c r="L109" s="103"/>
      <c r="M109" s="104"/>
      <c r="N109" s="9"/>
      <c r="O109" s="9"/>
      <c r="P109" s="12"/>
      <c r="Q109" s="104"/>
      <c r="R109" s="12"/>
      <c r="S109" s="12"/>
      <c r="T109" s="12"/>
      <c r="U109" s="101"/>
    </row>
    <row r="110" spans="1:21" x14ac:dyDescent="0.4">
      <c r="A110" s="37"/>
      <c r="B110" s="101"/>
      <c r="C110" s="37"/>
      <c r="D110" s="37"/>
      <c r="E110" s="12"/>
      <c r="F110" s="174"/>
      <c r="G110" s="174"/>
      <c r="H110" s="174"/>
      <c r="I110" s="153"/>
      <c r="J110" s="103"/>
      <c r="K110" s="153"/>
      <c r="L110" s="103"/>
      <c r="M110" s="104"/>
      <c r="N110" s="9"/>
      <c r="O110" s="9"/>
      <c r="P110" s="12"/>
      <c r="Q110" s="104"/>
      <c r="R110" s="12"/>
      <c r="S110" s="12"/>
      <c r="T110" s="12"/>
      <c r="U110" s="101"/>
    </row>
    <row r="111" spans="1:21" x14ac:dyDescent="0.4">
      <c r="A111" s="37"/>
      <c r="B111" s="101"/>
      <c r="C111" s="37"/>
      <c r="D111" s="37"/>
      <c r="E111" s="12"/>
      <c r="F111" s="174"/>
      <c r="G111" s="174"/>
      <c r="H111" s="174"/>
      <c r="I111" s="153"/>
      <c r="J111" s="103"/>
      <c r="K111" s="153"/>
      <c r="L111" s="103"/>
      <c r="M111" s="104"/>
      <c r="N111" s="9"/>
      <c r="O111" s="9"/>
      <c r="P111" s="12"/>
      <c r="Q111" s="104"/>
      <c r="R111" s="12"/>
      <c r="S111" s="12"/>
      <c r="T111" s="12"/>
      <c r="U111" s="101"/>
    </row>
    <row r="112" spans="1:21" x14ac:dyDescent="0.4">
      <c r="A112" s="37"/>
      <c r="B112" s="101"/>
      <c r="C112" s="37"/>
      <c r="D112" s="37"/>
      <c r="E112" s="12"/>
      <c r="F112" s="174"/>
      <c r="G112" s="174"/>
      <c r="H112" s="174"/>
      <c r="I112" s="153"/>
      <c r="J112" s="103"/>
      <c r="K112" s="153"/>
      <c r="L112" s="103"/>
      <c r="M112" s="104"/>
      <c r="N112" s="9"/>
      <c r="O112" s="9"/>
      <c r="P112" s="12"/>
      <c r="Q112" s="104"/>
      <c r="R112" s="12"/>
      <c r="S112" s="12"/>
      <c r="T112" s="12"/>
      <c r="U112" s="101"/>
    </row>
    <row r="113" spans="1:21" x14ac:dyDescent="0.4">
      <c r="A113" s="37"/>
      <c r="B113" s="101"/>
      <c r="C113" s="37"/>
      <c r="D113" s="37"/>
      <c r="E113" s="12"/>
      <c r="F113" s="174"/>
      <c r="G113" s="174"/>
      <c r="H113" s="174"/>
      <c r="I113" s="153"/>
      <c r="J113" s="103"/>
      <c r="K113" s="153"/>
      <c r="L113" s="103"/>
      <c r="M113" s="104"/>
      <c r="N113" s="9"/>
      <c r="O113" s="9"/>
      <c r="P113" s="12"/>
      <c r="Q113" s="104"/>
      <c r="R113" s="12"/>
      <c r="S113" s="12"/>
      <c r="T113" s="12"/>
      <c r="U113" s="101"/>
    </row>
    <row r="114" spans="1:21" x14ac:dyDescent="0.4">
      <c r="A114" s="37"/>
      <c r="B114" s="101"/>
      <c r="C114" s="37"/>
      <c r="D114" s="37"/>
      <c r="E114" s="12"/>
      <c r="F114" s="174"/>
      <c r="G114" s="174"/>
      <c r="H114" s="174"/>
      <c r="I114" s="153"/>
      <c r="J114" s="103"/>
      <c r="K114" s="153"/>
      <c r="L114" s="103"/>
      <c r="M114" s="104"/>
      <c r="N114" s="9"/>
      <c r="O114" s="9"/>
      <c r="P114" s="12"/>
      <c r="Q114" s="104"/>
      <c r="R114" s="12"/>
      <c r="S114" s="12"/>
      <c r="T114" s="12"/>
      <c r="U114" s="101"/>
    </row>
    <row r="115" spans="1:21" x14ac:dyDescent="0.4">
      <c r="A115" s="37"/>
      <c r="B115" s="101"/>
      <c r="C115" s="37"/>
      <c r="D115" s="37"/>
      <c r="E115" s="12"/>
      <c r="F115" s="174"/>
      <c r="G115" s="174"/>
      <c r="H115" s="174"/>
      <c r="I115" s="153"/>
      <c r="J115" s="103"/>
      <c r="K115" s="153"/>
      <c r="L115" s="103"/>
      <c r="M115" s="104"/>
      <c r="N115" s="9"/>
      <c r="O115" s="9"/>
      <c r="P115" s="12"/>
      <c r="Q115" s="104"/>
      <c r="R115" s="12"/>
      <c r="S115" s="12"/>
      <c r="T115" s="12"/>
      <c r="U115" s="101"/>
    </row>
    <row r="116" spans="1:21" x14ac:dyDescent="0.4">
      <c r="A116" s="37"/>
      <c r="B116" s="101"/>
      <c r="C116" s="37"/>
      <c r="D116" s="37"/>
      <c r="E116" s="12"/>
      <c r="F116" s="174"/>
      <c r="G116" s="174"/>
      <c r="H116" s="174"/>
      <c r="I116" s="153"/>
      <c r="J116" s="103"/>
      <c r="K116" s="153"/>
      <c r="L116" s="103"/>
      <c r="M116" s="104"/>
      <c r="N116" s="9"/>
      <c r="O116" s="9"/>
      <c r="P116" s="12"/>
      <c r="Q116" s="104"/>
      <c r="R116" s="12"/>
      <c r="S116" s="12"/>
      <c r="T116" s="12"/>
      <c r="U116" s="101"/>
    </row>
    <row r="117" spans="1:21" x14ac:dyDescent="0.4">
      <c r="A117" s="37"/>
      <c r="B117" s="101"/>
      <c r="C117" s="37"/>
      <c r="D117" s="37"/>
      <c r="E117" s="12"/>
      <c r="F117" s="174"/>
      <c r="G117" s="174"/>
      <c r="H117" s="174"/>
      <c r="I117" s="153"/>
      <c r="J117" s="103"/>
      <c r="K117" s="153"/>
      <c r="L117" s="103"/>
      <c r="M117" s="104"/>
      <c r="N117" s="9"/>
      <c r="O117" s="9"/>
      <c r="P117" s="12"/>
      <c r="Q117" s="104"/>
      <c r="R117" s="12"/>
      <c r="S117" s="12"/>
      <c r="T117" s="12"/>
      <c r="U117" s="101"/>
    </row>
    <row r="118" spans="1:21" x14ac:dyDescent="0.4">
      <c r="A118" s="37"/>
      <c r="B118" s="101"/>
      <c r="C118" s="37"/>
      <c r="D118" s="37"/>
      <c r="E118" s="12"/>
      <c r="F118" s="174"/>
      <c r="G118" s="174"/>
      <c r="H118" s="174"/>
      <c r="I118" s="153"/>
      <c r="J118" s="103"/>
      <c r="K118" s="153"/>
      <c r="L118" s="103"/>
      <c r="M118" s="104"/>
      <c r="N118" s="9"/>
      <c r="O118" s="9"/>
      <c r="P118" s="12"/>
      <c r="Q118" s="104"/>
      <c r="R118" s="12"/>
      <c r="S118" s="12"/>
      <c r="T118" s="12"/>
      <c r="U118" s="101"/>
    </row>
    <row r="119" spans="1:21" x14ac:dyDescent="0.4">
      <c r="A119" s="37"/>
      <c r="B119" s="101"/>
      <c r="C119" s="37"/>
      <c r="D119" s="37"/>
      <c r="E119" s="12"/>
      <c r="F119" s="174"/>
      <c r="G119" s="174"/>
      <c r="H119" s="174"/>
      <c r="I119" s="153"/>
      <c r="J119" s="103"/>
      <c r="K119" s="153"/>
      <c r="L119" s="103"/>
      <c r="M119" s="104"/>
      <c r="N119" s="9"/>
      <c r="O119" s="9"/>
      <c r="P119" s="12"/>
      <c r="Q119" s="104"/>
      <c r="R119" s="12"/>
      <c r="S119" s="12"/>
      <c r="T119" s="12"/>
      <c r="U119" s="101"/>
    </row>
    <row r="120" spans="1:21" x14ac:dyDescent="0.4">
      <c r="A120" s="37"/>
      <c r="B120" s="101"/>
      <c r="C120" s="37"/>
      <c r="D120" s="37"/>
      <c r="E120" s="12"/>
      <c r="F120" s="174"/>
      <c r="G120" s="174"/>
      <c r="H120" s="174"/>
      <c r="I120" s="153"/>
      <c r="J120" s="103"/>
      <c r="K120" s="153"/>
      <c r="L120" s="103"/>
      <c r="M120" s="104"/>
      <c r="N120" s="9"/>
      <c r="O120" s="9"/>
      <c r="P120" s="12"/>
      <c r="Q120" s="104"/>
      <c r="R120" s="12"/>
      <c r="S120" s="12"/>
      <c r="T120" s="12"/>
      <c r="U120" s="101"/>
    </row>
    <row r="121" spans="1:21" x14ac:dyDescent="0.4">
      <c r="A121" s="37"/>
      <c r="B121" s="101"/>
      <c r="C121" s="37"/>
      <c r="D121" s="37"/>
      <c r="E121" s="12"/>
      <c r="F121" s="174"/>
      <c r="G121" s="174"/>
      <c r="H121" s="174"/>
      <c r="I121" s="153"/>
      <c r="J121" s="103"/>
      <c r="K121" s="153"/>
      <c r="L121" s="103"/>
      <c r="M121" s="104"/>
      <c r="N121" s="9"/>
      <c r="O121" s="9"/>
      <c r="P121" s="12"/>
      <c r="Q121" s="104"/>
      <c r="R121" s="12"/>
      <c r="S121" s="12"/>
      <c r="T121" s="12"/>
      <c r="U121" s="101"/>
    </row>
    <row r="122" spans="1:21" x14ac:dyDescent="0.4">
      <c r="A122" s="37"/>
      <c r="B122" s="101"/>
      <c r="C122" s="37"/>
      <c r="D122" s="37"/>
      <c r="E122" s="12"/>
      <c r="F122" s="174"/>
      <c r="G122" s="174"/>
      <c r="H122" s="174"/>
      <c r="I122" s="153"/>
      <c r="J122" s="103"/>
      <c r="K122" s="153"/>
      <c r="L122" s="103"/>
      <c r="M122" s="104"/>
      <c r="N122" s="9"/>
      <c r="O122" s="9"/>
      <c r="P122" s="12"/>
      <c r="Q122" s="104"/>
      <c r="R122" s="12"/>
      <c r="S122" s="12"/>
      <c r="T122" s="12"/>
      <c r="U122" s="101"/>
    </row>
    <row r="123" spans="1:21" x14ac:dyDescent="0.4">
      <c r="A123" s="37"/>
      <c r="B123" s="101"/>
      <c r="C123" s="37"/>
      <c r="D123" s="37"/>
      <c r="E123" s="12"/>
      <c r="F123" s="174"/>
      <c r="G123" s="174"/>
      <c r="H123" s="174"/>
      <c r="I123" s="153"/>
      <c r="J123" s="103"/>
      <c r="K123" s="153"/>
      <c r="L123" s="103"/>
      <c r="M123" s="104"/>
      <c r="N123" s="9"/>
      <c r="O123" s="9"/>
      <c r="P123" s="12"/>
      <c r="Q123" s="104"/>
      <c r="R123" s="12"/>
      <c r="S123" s="12"/>
      <c r="T123" s="12"/>
      <c r="U123" s="101"/>
    </row>
    <row r="124" spans="1:21" x14ac:dyDescent="0.4">
      <c r="A124" s="37"/>
      <c r="B124" s="101"/>
      <c r="C124" s="37"/>
      <c r="D124" s="37"/>
      <c r="E124" s="12"/>
      <c r="F124" s="174"/>
      <c r="G124" s="174"/>
      <c r="H124" s="174"/>
      <c r="I124" s="153"/>
      <c r="J124" s="103"/>
      <c r="K124" s="153"/>
      <c r="L124" s="103"/>
      <c r="M124" s="104"/>
      <c r="N124" s="9"/>
      <c r="O124" s="9"/>
      <c r="P124" s="12"/>
      <c r="Q124" s="104"/>
      <c r="R124" s="12"/>
      <c r="S124" s="12"/>
      <c r="T124" s="12"/>
      <c r="U124" s="101"/>
    </row>
    <row r="125" spans="1:21" x14ac:dyDescent="0.4">
      <c r="A125" s="37"/>
      <c r="B125" s="101"/>
      <c r="C125" s="37"/>
      <c r="D125" s="37"/>
      <c r="E125" s="12"/>
      <c r="F125" s="174"/>
      <c r="G125" s="174"/>
      <c r="H125" s="174"/>
      <c r="I125" s="153"/>
      <c r="J125" s="103"/>
      <c r="K125" s="153"/>
      <c r="L125" s="103"/>
      <c r="M125" s="104"/>
      <c r="N125" s="9"/>
      <c r="O125" s="9"/>
      <c r="P125" s="12"/>
      <c r="Q125" s="104"/>
      <c r="R125" s="12"/>
      <c r="S125" s="12"/>
      <c r="T125" s="12"/>
      <c r="U125" s="101"/>
    </row>
    <row r="126" spans="1:21" x14ac:dyDescent="0.4">
      <c r="A126" s="37"/>
      <c r="B126" s="101"/>
      <c r="C126" s="37"/>
      <c r="D126" s="37"/>
      <c r="E126" s="12"/>
      <c r="F126" s="174"/>
      <c r="G126" s="174"/>
      <c r="H126" s="174"/>
      <c r="I126" s="153"/>
      <c r="J126" s="103"/>
      <c r="K126" s="153"/>
      <c r="L126" s="103"/>
      <c r="M126" s="104"/>
      <c r="N126" s="9"/>
      <c r="O126" s="9"/>
      <c r="P126" s="12"/>
      <c r="Q126" s="104"/>
      <c r="R126" s="12"/>
      <c r="S126" s="12"/>
      <c r="T126" s="12"/>
      <c r="U126" s="101"/>
    </row>
    <row r="127" spans="1:21" x14ac:dyDescent="0.4">
      <c r="A127" s="37"/>
      <c r="B127" s="101"/>
      <c r="C127" s="37"/>
      <c r="D127" s="37"/>
      <c r="E127" s="12"/>
      <c r="F127" s="174"/>
      <c r="G127" s="174"/>
      <c r="H127" s="174"/>
      <c r="I127" s="153"/>
      <c r="J127" s="103"/>
      <c r="K127" s="153"/>
      <c r="L127" s="103"/>
      <c r="M127" s="104"/>
      <c r="N127" s="9"/>
      <c r="O127" s="9"/>
      <c r="P127" s="12"/>
      <c r="Q127" s="104"/>
      <c r="R127" s="12"/>
      <c r="S127" s="12"/>
      <c r="T127" s="12"/>
      <c r="U127" s="101"/>
    </row>
    <row r="128" spans="1:21" x14ac:dyDescent="0.4">
      <c r="A128" s="37"/>
      <c r="B128" s="101"/>
      <c r="C128" s="37"/>
      <c r="D128" s="37"/>
      <c r="E128" s="12"/>
      <c r="F128" s="174"/>
      <c r="G128" s="174"/>
      <c r="H128" s="174"/>
      <c r="I128" s="153"/>
      <c r="J128" s="103"/>
      <c r="K128" s="153"/>
      <c r="L128" s="103"/>
      <c r="M128" s="104"/>
      <c r="N128" s="9"/>
      <c r="O128" s="9"/>
      <c r="P128" s="12"/>
      <c r="Q128" s="104"/>
      <c r="R128" s="12"/>
      <c r="S128" s="12"/>
      <c r="T128" s="12"/>
      <c r="U128" s="101"/>
    </row>
    <row r="129" spans="1:21" x14ac:dyDescent="0.4">
      <c r="A129" s="37"/>
      <c r="B129" s="101"/>
      <c r="C129" s="37"/>
      <c r="D129" s="37"/>
      <c r="E129" s="12"/>
      <c r="F129" s="174"/>
      <c r="G129" s="174"/>
      <c r="H129" s="174"/>
      <c r="I129" s="153"/>
      <c r="J129" s="103"/>
      <c r="K129" s="153"/>
      <c r="L129" s="103"/>
      <c r="M129" s="104"/>
      <c r="N129" s="9"/>
      <c r="O129" s="9"/>
      <c r="P129" s="12"/>
      <c r="Q129" s="104"/>
      <c r="R129" s="12"/>
      <c r="S129" s="12"/>
      <c r="T129" s="12"/>
      <c r="U129" s="101"/>
    </row>
    <row r="130" spans="1:21" x14ac:dyDescent="0.4">
      <c r="A130" s="37"/>
      <c r="B130" s="101"/>
      <c r="C130" s="37"/>
      <c r="D130" s="37"/>
      <c r="E130" s="12"/>
      <c r="F130" s="174"/>
      <c r="G130" s="174"/>
      <c r="H130" s="174"/>
      <c r="I130" s="153"/>
      <c r="J130" s="103"/>
      <c r="K130" s="153"/>
      <c r="L130" s="103"/>
      <c r="M130" s="104"/>
      <c r="N130" s="9"/>
      <c r="O130" s="9"/>
      <c r="P130" s="12"/>
      <c r="Q130" s="104"/>
      <c r="R130" s="12"/>
      <c r="S130" s="12"/>
      <c r="T130" s="12"/>
      <c r="U130" s="101"/>
    </row>
    <row r="131" spans="1:21" x14ac:dyDescent="0.4">
      <c r="A131" s="37"/>
      <c r="B131" s="101"/>
      <c r="C131" s="37"/>
      <c r="D131" s="37"/>
      <c r="E131" s="12"/>
      <c r="F131" s="174"/>
      <c r="G131" s="174"/>
      <c r="H131" s="174"/>
      <c r="I131" s="153"/>
      <c r="J131" s="103"/>
      <c r="K131" s="153"/>
      <c r="L131" s="103"/>
      <c r="M131" s="104"/>
      <c r="N131" s="9"/>
      <c r="O131" s="9"/>
      <c r="P131" s="12"/>
      <c r="Q131" s="104"/>
      <c r="R131" s="12"/>
      <c r="S131" s="12"/>
      <c r="T131" s="12"/>
      <c r="U131" s="101"/>
    </row>
    <row r="132" spans="1:21" x14ac:dyDescent="0.4">
      <c r="A132" s="37"/>
      <c r="B132" s="101"/>
      <c r="C132" s="37"/>
      <c r="D132" s="37"/>
      <c r="E132" s="12"/>
      <c r="F132" s="174"/>
      <c r="G132" s="174"/>
      <c r="H132" s="174"/>
      <c r="I132" s="153"/>
      <c r="J132" s="103"/>
      <c r="K132" s="153"/>
      <c r="L132" s="103"/>
      <c r="M132" s="104"/>
      <c r="N132" s="9"/>
      <c r="O132" s="9"/>
      <c r="P132" s="12"/>
      <c r="Q132" s="104"/>
      <c r="R132" s="12"/>
      <c r="S132" s="12"/>
      <c r="T132" s="12"/>
      <c r="U132" s="101"/>
    </row>
    <row r="133" spans="1:21" x14ac:dyDescent="0.4">
      <c r="A133" s="37"/>
      <c r="B133" s="101"/>
      <c r="C133" s="37"/>
      <c r="D133" s="37"/>
      <c r="E133" s="12"/>
      <c r="F133" s="174"/>
      <c r="G133" s="174"/>
      <c r="H133" s="174"/>
      <c r="I133" s="153"/>
      <c r="J133" s="103"/>
      <c r="K133" s="153"/>
      <c r="L133" s="103"/>
      <c r="M133" s="104"/>
      <c r="N133" s="9"/>
      <c r="O133" s="9"/>
      <c r="P133" s="12"/>
      <c r="Q133" s="104"/>
      <c r="R133" s="12"/>
      <c r="S133" s="12"/>
      <c r="T133" s="12"/>
      <c r="U133" s="101"/>
    </row>
    <row r="134" spans="1:21" x14ac:dyDescent="0.4">
      <c r="A134" s="37"/>
      <c r="B134" s="101"/>
      <c r="C134" s="37"/>
      <c r="D134" s="37"/>
      <c r="E134" s="12"/>
      <c r="F134" s="174"/>
      <c r="G134" s="174"/>
      <c r="H134" s="174"/>
      <c r="I134" s="153"/>
      <c r="J134" s="103"/>
      <c r="K134" s="153"/>
      <c r="L134" s="103"/>
      <c r="M134" s="104"/>
      <c r="N134" s="9"/>
      <c r="O134" s="9"/>
      <c r="P134" s="12"/>
      <c r="Q134" s="104"/>
      <c r="R134" s="12"/>
      <c r="S134" s="12"/>
      <c r="T134" s="12"/>
      <c r="U134" s="101"/>
    </row>
    <row r="135" spans="1:21" s="181" customFormat="1" x14ac:dyDescent="0.4">
      <c r="A135" s="37"/>
      <c r="B135" s="176"/>
      <c r="C135" s="78"/>
      <c r="D135" s="78"/>
      <c r="E135" s="9"/>
      <c r="F135" s="180"/>
      <c r="G135" s="180"/>
      <c r="H135" s="180"/>
      <c r="I135" s="153"/>
      <c r="J135" s="103"/>
      <c r="K135" s="153"/>
      <c r="L135" s="103"/>
      <c r="M135" s="104"/>
      <c r="N135" s="9"/>
      <c r="O135" s="9"/>
      <c r="P135" s="9"/>
      <c r="Q135" s="175"/>
      <c r="R135" s="9"/>
      <c r="S135" s="12"/>
      <c r="T135" s="12"/>
      <c r="U135" s="176"/>
    </row>
    <row r="136" spans="1:21" x14ac:dyDescent="0.4">
      <c r="A136" s="37"/>
      <c r="B136" s="101"/>
      <c r="C136" s="37"/>
      <c r="D136" s="37"/>
      <c r="E136" s="9"/>
      <c r="F136" s="174"/>
      <c r="G136" s="174"/>
      <c r="H136" s="174"/>
      <c r="I136" s="153"/>
      <c r="J136" s="103"/>
      <c r="K136" s="153"/>
      <c r="L136" s="103"/>
      <c r="M136" s="104"/>
      <c r="N136" s="9"/>
      <c r="O136" s="9"/>
      <c r="P136" s="12"/>
      <c r="Q136" s="104"/>
      <c r="R136" s="12"/>
      <c r="S136" s="12"/>
      <c r="T136" s="12"/>
      <c r="U136" s="101"/>
    </row>
    <row r="137" spans="1:21" x14ac:dyDescent="0.4">
      <c r="A137" s="37"/>
      <c r="B137" s="101"/>
      <c r="C137" s="37"/>
      <c r="D137" s="37"/>
      <c r="E137" s="12"/>
      <c r="F137" s="174"/>
      <c r="G137" s="174"/>
      <c r="H137" s="174"/>
      <c r="I137" s="153"/>
      <c r="J137" s="103"/>
      <c r="K137" s="153"/>
      <c r="L137" s="103"/>
      <c r="M137" s="104"/>
      <c r="N137" s="9"/>
      <c r="O137" s="9"/>
      <c r="P137" s="12"/>
      <c r="Q137" s="104"/>
      <c r="R137" s="12"/>
      <c r="S137" s="12"/>
      <c r="T137" s="12"/>
      <c r="U137" s="101"/>
    </row>
    <row r="138" spans="1:21" s="73" customFormat="1" x14ac:dyDescent="0.4">
      <c r="A138" s="128"/>
      <c r="B138" s="128"/>
      <c r="C138" s="128"/>
      <c r="D138" s="128"/>
      <c r="L138" s="158"/>
      <c r="N138"/>
      <c r="O138" s="99"/>
    </row>
    <row r="139" spans="1:21" s="73" customFormat="1" x14ac:dyDescent="0.4">
      <c r="A139" s="128"/>
      <c r="B139" s="128"/>
      <c r="C139" s="128"/>
      <c r="D139" s="128"/>
      <c r="N139"/>
    </row>
    <row r="140" spans="1:21" s="73" customFormat="1" x14ac:dyDescent="0.4">
      <c r="A140" s="128"/>
      <c r="B140" s="128"/>
      <c r="C140" s="128"/>
      <c r="D140" s="128"/>
      <c r="N140"/>
    </row>
    <row r="141" spans="1:21" s="73" customFormat="1" x14ac:dyDescent="0.4">
      <c r="A141" s="128"/>
      <c r="B141" s="128"/>
      <c r="C141" s="128"/>
      <c r="D141" s="128"/>
    </row>
    <row r="142" spans="1:21" s="73" customFormat="1" x14ac:dyDescent="0.4">
      <c r="A142" s="128"/>
      <c r="B142" s="73" t="s">
        <v>2</v>
      </c>
      <c r="C142" s="73" t="s">
        <v>777</v>
      </c>
      <c r="D142" s="73">
        <v>240</v>
      </c>
      <c r="F142"/>
      <c r="G142"/>
      <c r="H142"/>
      <c r="I142"/>
      <c r="J142"/>
      <c r="K142"/>
      <c r="L142"/>
      <c r="M142"/>
      <c r="N142"/>
      <c r="O142"/>
      <c r="P142"/>
      <c r="Q142"/>
      <c r="R142"/>
      <c r="S142"/>
    </row>
    <row r="143" spans="1:21" s="73" customFormat="1" x14ac:dyDescent="0.4">
      <c r="A143" s="128"/>
      <c r="B143" s="73" t="s">
        <v>14</v>
      </c>
      <c r="C143" s="73" t="s">
        <v>2629</v>
      </c>
      <c r="D143" s="73">
        <v>480</v>
      </c>
      <c r="F143"/>
      <c r="G143"/>
      <c r="H143"/>
      <c r="I143"/>
      <c r="J143"/>
      <c r="K143"/>
      <c r="L143"/>
      <c r="M143"/>
      <c r="N143"/>
      <c r="O143"/>
      <c r="P143"/>
      <c r="Q143"/>
      <c r="R143"/>
      <c r="S143"/>
    </row>
    <row r="144" spans="1:21" s="73" customFormat="1" x14ac:dyDescent="0.4">
      <c r="A144" s="128"/>
      <c r="B144" s="73" t="s">
        <v>158</v>
      </c>
      <c r="C144" s="73" t="s">
        <v>778</v>
      </c>
      <c r="D144" s="73">
        <v>2880</v>
      </c>
      <c r="F144"/>
      <c r="G144"/>
      <c r="H144"/>
      <c r="I144"/>
      <c r="J144"/>
      <c r="K144"/>
      <c r="L144"/>
      <c r="M144"/>
      <c r="N144"/>
      <c r="O144"/>
      <c r="P144"/>
      <c r="Q144"/>
      <c r="R144"/>
      <c r="S144"/>
    </row>
    <row r="145" spans="1:5" x14ac:dyDescent="0.4">
      <c r="A145" s="73"/>
      <c r="E145" s="73"/>
    </row>
    <row r="146" spans="1:5" x14ac:dyDescent="0.4">
      <c r="B146" s="128"/>
      <c r="C146" s="128"/>
      <c r="D146" s="128"/>
    </row>
    <row r="147" spans="1:5" x14ac:dyDescent="0.4">
      <c r="B147" s="128"/>
      <c r="C147" s="128"/>
      <c r="D147" s="128"/>
    </row>
  </sheetData>
  <conditionalFormatting sqref="F2:L137">
    <cfRule type="cellIs" dxfId="10" priority="1" operator="equal">
      <formula>"NOK"</formula>
    </cfRule>
  </conditionalFormatting>
  <pageMargins left="0.7" right="0.7" top="0.75" bottom="0.75" header="0.3" footer="0.3"/>
  <pageSetup paperSize="9" orientation="portrait" horizontalDpi="4294967295" verticalDpi="4294967295"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7"/>
  <dimension ref="A1:W146"/>
  <sheetViews>
    <sheetView workbookViewId="0">
      <selection activeCell="A2" sqref="A2:XFD136"/>
    </sheetView>
  </sheetViews>
  <sheetFormatPr baseColWidth="10" defaultColWidth="11.4609375" defaultRowHeight="14.6" x14ac:dyDescent="0.4"/>
  <cols>
    <col min="1" max="1" width="5.765625" customWidth="1"/>
    <col min="2" max="2" width="12" bestFit="1" customWidth="1"/>
    <col min="3" max="3" width="6.765625" bestFit="1" customWidth="1"/>
    <col min="4" max="4" width="9.23046875" bestFit="1" customWidth="1"/>
    <col min="5" max="5" width="42.23046875" customWidth="1"/>
    <col min="6" max="6" width="14.765625" bestFit="1" customWidth="1"/>
    <col min="7" max="7" width="16.4609375" customWidth="1"/>
    <col min="8" max="8" width="14.765625" customWidth="1"/>
    <col min="9" max="9" width="14.53515625" customWidth="1"/>
    <col min="10" max="12" width="10.23046875" customWidth="1"/>
    <col min="13" max="13" width="57.23046875" customWidth="1"/>
    <col min="14" max="14" width="48.765625" customWidth="1"/>
    <col min="15" max="15" width="44.23046875" customWidth="1"/>
    <col min="16" max="17" width="7.23046875" bestFit="1" customWidth="1"/>
    <col min="18" max="18" width="15.23046875" bestFit="1" customWidth="1"/>
    <col min="19" max="19" width="5.23046875" bestFit="1" customWidth="1"/>
    <col min="20" max="20" width="8.23046875" bestFit="1" customWidth="1"/>
    <col min="21" max="21" width="7.4609375" bestFit="1" customWidth="1"/>
  </cols>
  <sheetData>
    <row r="1" spans="1:23" x14ac:dyDescent="0.4">
      <c r="A1" s="7" t="s">
        <v>0</v>
      </c>
      <c r="B1" s="6"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6" t="s">
        <v>684</v>
      </c>
      <c r="R1" s="7" t="s">
        <v>659</v>
      </c>
      <c r="S1" s="6" t="s">
        <v>888</v>
      </c>
      <c r="T1" s="156" t="s">
        <v>2627</v>
      </c>
      <c r="U1" s="156" t="s">
        <v>2630</v>
      </c>
      <c r="W1" s="129"/>
    </row>
    <row r="2" spans="1:23" x14ac:dyDescent="0.4">
      <c r="A2" s="37"/>
      <c r="B2" s="101"/>
      <c r="C2" s="37"/>
      <c r="D2" s="37"/>
      <c r="E2" s="12"/>
      <c r="F2" s="182"/>
      <c r="G2" s="174"/>
      <c r="H2" s="174"/>
      <c r="I2" s="153"/>
      <c r="J2" s="103"/>
      <c r="K2" s="153"/>
      <c r="L2" s="103"/>
      <c r="M2" s="175"/>
      <c r="N2" s="9"/>
      <c r="O2" s="9"/>
      <c r="P2" s="12"/>
      <c r="Q2" s="104"/>
      <c r="R2" s="12"/>
      <c r="S2" s="38"/>
      <c r="T2" s="37"/>
      <c r="U2" s="104"/>
    </row>
    <row r="3" spans="1:23" x14ac:dyDescent="0.4">
      <c r="A3" s="37"/>
      <c r="B3" s="101"/>
      <c r="C3" s="37"/>
      <c r="D3" s="37"/>
      <c r="E3" s="12"/>
      <c r="F3" s="174"/>
      <c r="G3" s="174"/>
      <c r="H3" s="174"/>
      <c r="I3" s="153"/>
      <c r="J3" s="103"/>
      <c r="K3" s="153"/>
      <c r="L3" s="103"/>
      <c r="M3" s="175"/>
      <c r="N3" s="9"/>
      <c r="O3" s="9"/>
      <c r="P3" s="12"/>
      <c r="Q3" s="104"/>
      <c r="R3" s="12"/>
      <c r="S3" s="38"/>
      <c r="T3" s="37"/>
      <c r="U3" s="104"/>
    </row>
    <row r="4" spans="1:23" x14ac:dyDescent="0.4">
      <c r="A4" s="37"/>
      <c r="B4" s="101"/>
      <c r="C4" s="37"/>
      <c r="D4" s="37"/>
      <c r="E4" s="12"/>
      <c r="F4" s="174"/>
      <c r="G4" s="174"/>
      <c r="H4" s="174"/>
      <c r="I4" s="153"/>
      <c r="J4" s="103"/>
      <c r="K4" s="153"/>
      <c r="L4" s="103"/>
      <c r="M4" s="175"/>
      <c r="N4" s="9"/>
      <c r="O4" s="9"/>
      <c r="P4" s="12"/>
      <c r="Q4" s="104"/>
      <c r="R4" s="12"/>
      <c r="S4" s="38"/>
      <c r="T4" s="37"/>
      <c r="U4" s="104"/>
    </row>
    <row r="5" spans="1:23" x14ac:dyDescent="0.4">
      <c r="A5" s="37"/>
      <c r="B5" s="101"/>
      <c r="C5" s="37"/>
      <c r="D5" s="37"/>
      <c r="E5" s="9"/>
      <c r="F5" s="174"/>
      <c r="G5" s="174"/>
      <c r="H5" s="174"/>
      <c r="I5" s="153"/>
      <c r="J5" s="103"/>
      <c r="K5" s="153"/>
      <c r="L5" s="103"/>
      <c r="M5" s="175"/>
      <c r="N5" s="9"/>
      <c r="O5" s="9"/>
      <c r="P5" s="12"/>
      <c r="Q5" s="104"/>
      <c r="R5" s="12"/>
      <c r="S5" s="38"/>
      <c r="T5" s="37"/>
      <c r="U5" s="104"/>
    </row>
    <row r="6" spans="1:23" x14ac:dyDescent="0.4">
      <c r="A6" s="37"/>
      <c r="B6" s="101"/>
      <c r="C6" s="37"/>
      <c r="D6" s="37"/>
      <c r="E6" s="9"/>
      <c r="F6" s="174"/>
      <c r="G6" s="174"/>
      <c r="H6" s="174"/>
      <c r="I6" s="153"/>
      <c r="J6" s="103"/>
      <c r="K6" s="153"/>
      <c r="L6" s="103"/>
      <c r="M6" s="175"/>
      <c r="N6" s="9"/>
      <c r="O6" s="9"/>
      <c r="P6" s="12"/>
      <c r="Q6" s="104"/>
      <c r="R6" s="12"/>
      <c r="S6" s="38"/>
      <c r="T6" s="37"/>
      <c r="U6" s="104"/>
    </row>
    <row r="7" spans="1:23" x14ac:dyDescent="0.4">
      <c r="A7" s="37"/>
      <c r="B7" s="101"/>
      <c r="C7" s="37"/>
      <c r="D7" s="37"/>
      <c r="E7" s="12"/>
      <c r="F7" s="174"/>
      <c r="G7" s="174"/>
      <c r="H7" s="174"/>
      <c r="I7" s="153"/>
      <c r="J7" s="103"/>
      <c r="K7" s="153"/>
      <c r="L7" s="103"/>
      <c r="M7" s="175"/>
      <c r="N7" s="9"/>
      <c r="O7" s="9"/>
      <c r="P7" s="12"/>
      <c r="Q7" s="104"/>
      <c r="R7" s="12"/>
      <c r="S7" s="38"/>
      <c r="T7" s="37"/>
      <c r="U7" s="104"/>
    </row>
    <row r="8" spans="1:23" x14ac:dyDescent="0.4">
      <c r="A8" s="37"/>
      <c r="B8" s="101"/>
      <c r="C8" s="37"/>
      <c r="D8" s="37"/>
      <c r="E8" s="12"/>
      <c r="F8" s="174"/>
      <c r="G8" s="174"/>
      <c r="H8" s="174"/>
      <c r="I8" s="153"/>
      <c r="J8" s="103"/>
      <c r="K8" s="153"/>
      <c r="L8" s="103"/>
      <c r="M8" s="175"/>
      <c r="N8" s="9"/>
      <c r="O8" s="9"/>
      <c r="P8" s="12"/>
      <c r="Q8" s="104"/>
      <c r="R8" s="12"/>
      <c r="S8" s="38"/>
      <c r="T8" s="37"/>
      <c r="U8" s="104"/>
    </row>
    <row r="9" spans="1:23" x14ac:dyDescent="0.4">
      <c r="A9" s="37"/>
      <c r="B9" s="101"/>
      <c r="C9" s="37"/>
      <c r="D9" s="37"/>
      <c r="E9" s="12"/>
      <c r="F9" s="174"/>
      <c r="G9" s="174"/>
      <c r="H9" s="174"/>
      <c r="I9" s="153"/>
      <c r="J9" s="103"/>
      <c r="K9" s="153"/>
      <c r="L9" s="103"/>
      <c r="M9" s="175"/>
      <c r="N9" s="9"/>
      <c r="O9" s="9"/>
      <c r="P9" s="12"/>
      <c r="Q9" s="104"/>
      <c r="R9" s="12"/>
      <c r="S9" s="38"/>
      <c r="T9" s="37"/>
      <c r="U9" s="104"/>
    </row>
    <row r="10" spans="1:23" x14ac:dyDescent="0.4">
      <c r="A10" s="37"/>
      <c r="B10" s="101"/>
      <c r="C10" s="37"/>
      <c r="D10" s="37"/>
      <c r="E10" s="12"/>
      <c r="F10" s="174"/>
      <c r="G10" s="174"/>
      <c r="H10" s="174"/>
      <c r="I10" s="153"/>
      <c r="J10" s="103"/>
      <c r="K10" s="153"/>
      <c r="L10" s="103"/>
      <c r="M10" s="175"/>
      <c r="N10" s="9"/>
      <c r="O10" s="9"/>
      <c r="P10" s="12"/>
      <c r="Q10" s="104"/>
      <c r="R10" s="12"/>
      <c r="S10" s="38"/>
      <c r="T10" s="37"/>
      <c r="U10" s="104"/>
    </row>
    <row r="11" spans="1:23" x14ac:dyDescent="0.4">
      <c r="A11" s="37"/>
      <c r="B11" s="101"/>
      <c r="C11" s="37"/>
      <c r="D11" s="37"/>
      <c r="E11" s="12"/>
      <c r="F11" s="174"/>
      <c r="G11" s="174"/>
      <c r="H11" s="174"/>
      <c r="I11" s="153"/>
      <c r="J11" s="103"/>
      <c r="K11" s="153"/>
      <c r="L11" s="103"/>
      <c r="M11" s="175"/>
      <c r="N11" s="9"/>
      <c r="O11" s="9"/>
      <c r="P11" s="12"/>
      <c r="Q11" s="104"/>
      <c r="R11" s="12"/>
      <c r="S11" s="38"/>
      <c r="T11" s="37"/>
      <c r="U11" s="104"/>
    </row>
    <row r="12" spans="1:23" x14ac:dyDescent="0.4">
      <c r="A12" s="37"/>
      <c r="B12" s="101"/>
      <c r="C12" s="37"/>
      <c r="D12" s="37"/>
      <c r="E12" s="12"/>
      <c r="F12" s="174"/>
      <c r="G12" s="174"/>
      <c r="H12" s="174"/>
      <c r="I12" s="153"/>
      <c r="J12" s="103"/>
      <c r="K12" s="153"/>
      <c r="L12" s="103"/>
      <c r="M12" s="175"/>
      <c r="N12" s="9"/>
      <c r="O12" s="9"/>
      <c r="P12" s="12"/>
      <c r="Q12" s="104"/>
      <c r="R12" s="12"/>
      <c r="S12" s="38"/>
      <c r="T12" s="37"/>
      <c r="U12" s="104"/>
    </row>
    <row r="13" spans="1:23" x14ac:dyDescent="0.4">
      <c r="A13" s="37"/>
      <c r="B13" s="101"/>
      <c r="C13" s="37"/>
      <c r="D13" s="37"/>
      <c r="E13" s="12"/>
      <c r="F13" s="174"/>
      <c r="G13" s="174"/>
      <c r="H13" s="174"/>
      <c r="I13" s="153"/>
      <c r="J13" s="103"/>
      <c r="K13" s="153"/>
      <c r="L13" s="103"/>
      <c r="M13" s="175"/>
      <c r="N13" s="9"/>
      <c r="O13" s="9"/>
      <c r="P13" s="12"/>
      <c r="Q13" s="104"/>
      <c r="R13" s="12"/>
      <c r="S13" s="38"/>
      <c r="T13" s="37"/>
      <c r="U13" s="104"/>
    </row>
    <row r="14" spans="1:23" x14ac:dyDescent="0.4">
      <c r="A14" s="37"/>
      <c r="B14" s="101"/>
      <c r="C14" s="37"/>
      <c r="D14" s="37"/>
      <c r="E14" s="12"/>
      <c r="F14" s="174"/>
      <c r="G14" s="174"/>
      <c r="H14" s="174"/>
      <c r="I14" s="153"/>
      <c r="J14" s="103"/>
      <c r="K14" s="153"/>
      <c r="L14" s="103"/>
      <c r="M14" s="175"/>
      <c r="N14" s="9"/>
      <c r="O14" s="9"/>
      <c r="P14" s="12"/>
      <c r="Q14" s="104"/>
      <c r="R14" s="12"/>
      <c r="S14" s="38"/>
      <c r="T14" s="37"/>
      <c r="U14" s="104"/>
    </row>
    <row r="15" spans="1:23" x14ac:dyDescent="0.4">
      <c r="A15" s="37"/>
      <c r="B15" s="101"/>
      <c r="C15" s="37"/>
      <c r="D15" s="37"/>
      <c r="E15" s="12"/>
      <c r="F15" s="174"/>
      <c r="G15" s="174"/>
      <c r="H15" s="174"/>
      <c r="I15" s="153"/>
      <c r="J15" s="103"/>
      <c r="K15" s="153"/>
      <c r="L15" s="103"/>
      <c r="M15" s="175"/>
      <c r="N15" s="9"/>
      <c r="O15" s="9"/>
      <c r="P15" s="12"/>
      <c r="Q15" s="104"/>
      <c r="R15" s="12"/>
      <c r="S15" s="38"/>
      <c r="T15" s="37"/>
      <c r="U15" s="104"/>
    </row>
    <row r="16" spans="1:23" x14ac:dyDescent="0.4">
      <c r="A16" s="37"/>
      <c r="B16" s="101"/>
      <c r="C16" s="37"/>
      <c r="D16" s="37"/>
      <c r="E16" s="12"/>
      <c r="F16" s="174"/>
      <c r="G16" s="174"/>
      <c r="H16" s="174"/>
      <c r="I16" s="153"/>
      <c r="J16" s="103"/>
      <c r="K16" s="153"/>
      <c r="L16" s="103"/>
      <c r="M16" s="175"/>
      <c r="N16" s="9"/>
      <c r="O16" s="9"/>
      <c r="P16" s="12"/>
      <c r="Q16" s="104"/>
      <c r="R16" s="12"/>
      <c r="S16" s="38"/>
      <c r="T16" s="37"/>
      <c r="U16" s="104"/>
    </row>
    <row r="17" spans="1:21" x14ac:dyDescent="0.4">
      <c r="A17" s="37"/>
      <c r="B17" s="101"/>
      <c r="C17" s="37"/>
      <c r="D17" s="37"/>
      <c r="E17" s="12"/>
      <c r="F17" s="174"/>
      <c r="G17" s="174"/>
      <c r="H17" s="174"/>
      <c r="I17" s="153"/>
      <c r="J17" s="103"/>
      <c r="K17" s="153"/>
      <c r="L17" s="103"/>
      <c r="M17" s="175"/>
      <c r="N17" s="9"/>
      <c r="O17" s="9"/>
      <c r="P17" s="12"/>
      <c r="Q17" s="104"/>
      <c r="R17" s="12"/>
      <c r="S17" s="38"/>
      <c r="T17" s="37"/>
      <c r="U17" s="104"/>
    </row>
    <row r="18" spans="1:21" x14ac:dyDescent="0.4">
      <c r="A18" s="37"/>
      <c r="B18" s="101"/>
      <c r="C18" s="37"/>
      <c r="D18" s="37"/>
      <c r="E18" s="12"/>
      <c r="F18" s="174"/>
      <c r="G18" s="174"/>
      <c r="H18" s="174"/>
      <c r="I18" s="153"/>
      <c r="J18" s="103"/>
      <c r="K18" s="153"/>
      <c r="L18" s="103"/>
      <c r="M18" s="175"/>
      <c r="N18" s="9"/>
      <c r="O18" s="9"/>
      <c r="P18" s="12"/>
      <c r="Q18" s="104"/>
      <c r="R18" s="12"/>
      <c r="S18" s="38"/>
      <c r="T18" s="37"/>
      <c r="U18" s="104"/>
    </row>
    <row r="19" spans="1:21" x14ac:dyDescent="0.4">
      <c r="A19" s="37"/>
      <c r="B19" s="101"/>
      <c r="C19" s="37"/>
      <c r="D19" s="37"/>
      <c r="E19" s="12"/>
      <c r="F19" s="174"/>
      <c r="G19" s="174"/>
      <c r="H19" s="174"/>
      <c r="I19" s="153"/>
      <c r="J19" s="103"/>
      <c r="K19" s="153"/>
      <c r="L19" s="103"/>
      <c r="M19" s="175"/>
      <c r="N19" s="9"/>
      <c r="O19" s="9"/>
      <c r="P19" s="12"/>
      <c r="Q19" s="104"/>
      <c r="R19" s="12"/>
      <c r="S19" s="38"/>
      <c r="T19" s="37"/>
      <c r="U19" s="104"/>
    </row>
    <row r="20" spans="1:21" x14ac:dyDescent="0.4">
      <c r="A20" s="37"/>
      <c r="B20" s="101"/>
      <c r="C20" s="37"/>
      <c r="D20" s="37"/>
      <c r="E20" s="12"/>
      <c r="F20" s="174"/>
      <c r="G20" s="174"/>
      <c r="H20" s="174"/>
      <c r="I20" s="153"/>
      <c r="J20" s="103"/>
      <c r="K20" s="153"/>
      <c r="L20" s="103"/>
      <c r="M20" s="175"/>
      <c r="N20" s="9"/>
      <c r="O20" s="9"/>
      <c r="P20" s="12"/>
      <c r="Q20" s="104"/>
      <c r="R20" s="12"/>
      <c r="S20" s="38"/>
      <c r="T20" s="37"/>
      <c r="U20" s="104"/>
    </row>
    <row r="21" spans="1:21" x14ac:dyDescent="0.4">
      <c r="A21" s="37"/>
      <c r="B21" s="101"/>
      <c r="C21" s="37"/>
      <c r="D21" s="37"/>
      <c r="E21" s="12"/>
      <c r="F21" s="174"/>
      <c r="G21" s="174"/>
      <c r="H21" s="174"/>
      <c r="I21" s="153"/>
      <c r="J21" s="103"/>
      <c r="K21" s="153"/>
      <c r="L21" s="103"/>
      <c r="M21" s="175"/>
      <c r="N21" s="9"/>
      <c r="O21" s="9"/>
      <c r="P21" s="12"/>
      <c r="Q21" s="104"/>
      <c r="R21" s="12"/>
      <c r="S21" s="38"/>
      <c r="T21" s="37"/>
      <c r="U21" s="104"/>
    </row>
    <row r="22" spans="1:21" x14ac:dyDescent="0.4">
      <c r="A22" s="37"/>
      <c r="B22" s="101"/>
      <c r="C22" s="37"/>
      <c r="D22" s="37"/>
      <c r="E22" s="9"/>
      <c r="F22" s="174"/>
      <c r="G22" s="174"/>
      <c r="H22" s="174"/>
      <c r="I22" s="153"/>
      <c r="J22" s="103"/>
      <c r="K22" s="153"/>
      <c r="L22" s="103"/>
      <c r="M22" s="175"/>
      <c r="N22" s="9"/>
      <c r="O22" s="9"/>
      <c r="P22" s="12"/>
      <c r="Q22" s="104"/>
      <c r="R22" s="12"/>
      <c r="S22" s="38"/>
      <c r="T22" s="37"/>
      <c r="U22" s="104"/>
    </row>
    <row r="23" spans="1:21" x14ac:dyDescent="0.4">
      <c r="A23" s="37"/>
      <c r="B23" s="101"/>
      <c r="C23" s="37"/>
      <c r="D23" s="37"/>
      <c r="E23" s="12"/>
      <c r="F23" s="174"/>
      <c r="G23" s="174"/>
      <c r="H23" s="174"/>
      <c r="I23" s="153"/>
      <c r="J23" s="103"/>
      <c r="K23" s="153"/>
      <c r="L23" s="103"/>
      <c r="M23" s="175"/>
      <c r="N23" s="9"/>
      <c r="O23" s="9"/>
      <c r="P23" s="12"/>
      <c r="Q23" s="104"/>
      <c r="R23" s="12"/>
      <c r="S23" s="38"/>
      <c r="T23" s="37"/>
      <c r="U23" s="104"/>
    </row>
    <row r="24" spans="1:21" x14ac:dyDescent="0.4">
      <c r="A24" s="37"/>
      <c r="B24" s="101"/>
      <c r="C24" s="37"/>
      <c r="D24" s="37"/>
      <c r="E24" s="12"/>
      <c r="F24" s="174"/>
      <c r="G24" s="174"/>
      <c r="H24" s="174"/>
      <c r="I24" s="153"/>
      <c r="J24" s="103"/>
      <c r="K24" s="153"/>
      <c r="L24" s="103"/>
      <c r="M24" s="175"/>
      <c r="N24" s="9"/>
      <c r="O24" s="9"/>
      <c r="P24" s="12"/>
      <c r="Q24" s="104"/>
      <c r="R24" s="12"/>
      <c r="S24" s="38"/>
      <c r="T24" s="37"/>
      <c r="U24" s="104"/>
    </row>
    <row r="25" spans="1:21" x14ac:dyDescent="0.4">
      <c r="A25" s="37"/>
      <c r="B25" s="101"/>
      <c r="C25" s="37"/>
      <c r="D25" s="37"/>
      <c r="E25" s="12"/>
      <c r="F25" s="174"/>
      <c r="G25" s="174"/>
      <c r="H25" s="174"/>
      <c r="I25" s="153"/>
      <c r="J25" s="103"/>
      <c r="K25" s="153"/>
      <c r="L25" s="103"/>
      <c r="M25" s="175"/>
      <c r="N25" s="9"/>
      <c r="O25" s="9"/>
      <c r="P25" s="12"/>
      <c r="Q25" s="104"/>
      <c r="R25" s="12"/>
      <c r="S25" s="38"/>
      <c r="T25" s="37"/>
      <c r="U25" s="104"/>
    </row>
    <row r="26" spans="1:21" x14ac:dyDescent="0.4">
      <c r="A26" s="37"/>
      <c r="B26" s="101"/>
      <c r="C26" s="37"/>
      <c r="D26" s="37"/>
      <c r="E26" s="12"/>
      <c r="F26" s="174"/>
      <c r="G26" s="174"/>
      <c r="H26" s="174"/>
      <c r="I26" s="153"/>
      <c r="J26" s="103"/>
      <c r="K26" s="153"/>
      <c r="L26" s="103"/>
      <c r="M26" s="175"/>
      <c r="N26" s="9"/>
      <c r="O26" s="9"/>
      <c r="P26" s="12"/>
      <c r="Q26" s="104"/>
      <c r="R26" s="12"/>
      <c r="S26" s="38"/>
      <c r="T26" s="37"/>
      <c r="U26" s="104"/>
    </row>
    <row r="27" spans="1:21" x14ac:dyDescent="0.4">
      <c r="A27" s="37"/>
      <c r="B27" s="101"/>
      <c r="C27" s="37"/>
      <c r="D27" s="37"/>
      <c r="E27" s="12"/>
      <c r="F27" s="174"/>
      <c r="G27" s="174"/>
      <c r="H27" s="174"/>
      <c r="I27" s="153"/>
      <c r="J27" s="103"/>
      <c r="K27" s="153"/>
      <c r="L27" s="103"/>
      <c r="M27" s="175"/>
      <c r="N27" s="9"/>
      <c r="O27" s="9"/>
      <c r="P27" s="12"/>
      <c r="Q27" s="104"/>
      <c r="R27" s="12"/>
      <c r="S27" s="38"/>
      <c r="T27" s="37"/>
      <c r="U27" s="104"/>
    </row>
    <row r="28" spans="1:21" x14ac:dyDescent="0.4">
      <c r="A28" s="37"/>
      <c r="B28" s="101"/>
      <c r="C28" s="37"/>
      <c r="D28" s="37"/>
      <c r="E28" s="9"/>
      <c r="F28" s="174"/>
      <c r="G28" s="182"/>
      <c r="H28" s="182"/>
      <c r="I28" s="153"/>
      <c r="J28" s="103"/>
      <c r="K28" s="153"/>
      <c r="L28" s="103"/>
      <c r="M28" s="175"/>
      <c r="N28" s="9"/>
      <c r="O28" s="9"/>
      <c r="P28" s="12"/>
      <c r="Q28" s="104"/>
      <c r="R28" s="12"/>
      <c r="S28" s="38"/>
      <c r="T28" s="37"/>
      <c r="U28" s="104"/>
    </row>
    <row r="29" spans="1:21" x14ac:dyDescent="0.4">
      <c r="A29" s="37"/>
      <c r="B29" s="101"/>
      <c r="C29" s="37"/>
      <c r="D29" s="37"/>
      <c r="E29" s="12"/>
      <c r="F29" s="174"/>
      <c r="G29" s="174"/>
      <c r="H29" s="174"/>
      <c r="I29" s="153"/>
      <c r="J29" s="103"/>
      <c r="K29" s="153"/>
      <c r="L29" s="103"/>
      <c r="M29" s="175"/>
      <c r="N29" s="9"/>
      <c r="O29" s="9"/>
      <c r="P29" s="12"/>
      <c r="Q29" s="104"/>
      <c r="R29" s="12"/>
      <c r="S29" s="38"/>
      <c r="T29" s="37"/>
      <c r="U29" s="104"/>
    </row>
    <row r="30" spans="1:21" x14ac:dyDescent="0.4">
      <c r="A30" s="37"/>
      <c r="B30" s="101"/>
      <c r="C30" s="37"/>
      <c r="D30" s="37"/>
      <c r="E30" s="12"/>
      <c r="F30" s="174"/>
      <c r="G30" s="174"/>
      <c r="H30" s="174"/>
      <c r="I30" s="153"/>
      <c r="J30" s="103"/>
      <c r="K30" s="153"/>
      <c r="L30" s="103"/>
      <c r="M30" s="175"/>
      <c r="N30" s="9"/>
      <c r="O30" s="9"/>
      <c r="P30" s="12"/>
      <c r="Q30" s="104"/>
      <c r="R30" s="12"/>
      <c r="S30" s="38"/>
      <c r="T30" s="37"/>
      <c r="U30" s="104"/>
    </row>
    <row r="31" spans="1:21" x14ac:dyDescent="0.4">
      <c r="A31" s="37"/>
      <c r="B31" s="101"/>
      <c r="C31" s="37"/>
      <c r="D31" s="37"/>
      <c r="E31" s="12"/>
      <c r="F31" s="174"/>
      <c r="G31" s="174"/>
      <c r="H31" s="174"/>
      <c r="I31" s="153"/>
      <c r="J31" s="103"/>
      <c r="K31" s="153"/>
      <c r="L31" s="103"/>
      <c r="M31" s="175"/>
      <c r="N31" s="9"/>
      <c r="O31" s="9"/>
      <c r="P31" s="12"/>
      <c r="Q31" s="104"/>
      <c r="R31" s="12"/>
      <c r="S31" s="38"/>
      <c r="T31" s="37"/>
      <c r="U31" s="104"/>
    </row>
    <row r="32" spans="1:21" x14ac:dyDescent="0.4">
      <c r="A32" s="37"/>
      <c r="B32" s="101"/>
      <c r="C32" s="37"/>
      <c r="D32" s="37"/>
      <c r="E32" s="12"/>
      <c r="F32" s="174"/>
      <c r="G32" s="174"/>
      <c r="H32" s="174"/>
      <c r="I32" s="153"/>
      <c r="J32" s="103"/>
      <c r="K32" s="153"/>
      <c r="L32" s="103"/>
      <c r="M32" s="175"/>
      <c r="N32" s="9"/>
      <c r="O32" s="9"/>
      <c r="P32" s="12"/>
      <c r="Q32" s="104"/>
      <c r="R32" s="12"/>
      <c r="S32" s="38"/>
      <c r="T32" s="37"/>
      <c r="U32" s="104"/>
    </row>
    <row r="33" spans="1:21" x14ac:dyDescent="0.4">
      <c r="A33" s="37"/>
      <c r="B33" s="101"/>
      <c r="C33" s="37"/>
      <c r="D33" s="37"/>
      <c r="E33" s="12"/>
      <c r="F33" s="174"/>
      <c r="G33" s="174"/>
      <c r="H33" s="174"/>
      <c r="I33" s="153"/>
      <c r="J33" s="103"/>
      <c r="K33" s="153"/>
      <c r="L33" s="103"/>
      <c r="M33" s="175"/>
      <c r="N33" s="9"/>
      <c r="O33" s="9"/>
      <c r="P33" s="12"/>
      <c r="Q33" s="104"/>
      <c r="R33" s="12"/>
      <c r="S33" s="38"/>
      <c r="T33" s="37"/>
      <c r="U33" s="104"/>
    </row>
    <row r="34" spans="1:21" x14ac:dyDescent="0.4">
      <c r="A34" s="37"/>
      <c r="B34" s="101"/>
      <c r="C34" s="37"/>
      <c r="D34" s="37"/>
      <c r="E34" s="12"/>
      <c r="F34" s="174"/>
      <c r="G34" s="174"/>
      <c r="H34" s="174"/>
      <c r="I34" s="153"/>
      <c r="J34" s="103"/>
      <c r="K34" s="153"/>
      <c r="L34" s="103"/>
      <c r="M34" s="175"/>
      <c r="N34" s="9"/>
      <c r="O34" s="9"/>
      <c r="P34" s="12"/>
      <c r="Q34" s="104"/>
      <c r="R34" s="12"/>
      <c r="S34" s="38"/>
      <c r="T34" s="37"/>
      <c r="U34" s="104"/>
    </row>
    <row r="35" spans="1:21" x14ac:dyDescent="0.4">
      <c r="A35" s="37"/>
      <c r="B35" s="101"/>
      <c r="C35" s="37"/>
      <c r="D35" s="37"/>
      <c r="E35" s="12"/>
      <c r="F35" s="174"/>
      <c r="G35" s="174"/>
      <c r="H35" s="174"/>
      <c r="I35" s="153"/>
      <c r="J35" s="103"/>
      <c r="K35" s="153"/>
      <c r="L35" s="103"/>
      <c r="M35" s="175"/>
      <c r="N35" s="9"/>
      <c r="O35" s="9"/>
      <c r="P35" s="12"/>
      <c r="Q35" s="104"/>
      <c r="R35" s="12"/>
      <c r="S35" s="38"/>
      <c r="T35" s="37"/>
      <c r="U35" s="104"/>
    </row>
    <row r="36" spans="1:21" x14ac:dyDescent="0.4">
      <c r="A36" s="37"/>
      <c r="B36" s="101"/>
      <c r="C36" s="37"/>
      <c r="D36" s="37"/>
      <c r="E36" s="12"/>
      <c r="F36" s="174"/>
      <c r="G36" s="174"/>
      <c r="H36" s="174"/>
      <c r="I36" s="153"/>
      <c r="J36" s="103"/>
      <c r="K36" s="153"/>
      <c r="L36" s="103"/>
      <c r="M36" s="175"/>
      <c r="N36" s="9"/>
      <c r="O36" s="9"/>
      <c r="P36" s="12"/>
      <c r="Q36" s="104"/>
      <c r="R36" s="12"/>
      <c r="S36" s="38"/>
      <c r="T36" s="37"/>
      <c r="U36" s="104"/>
    </row>
    <row r="37" spans="1:21" x14ac:dyDescent="0.4">
      <c r="A37" s="37"/>
      <c r="B37" s="101"/>
      <c r="C37" s="37"/>
      <c r="D37" s="37"/>
      <c r="E37" s="12"/>
      <c r="F37" s="174"/>
      <c r="G37" s="174"/>
      <c r="H37" s="174"/>
      <c r="I37" s="153"/>
      <c r="J37" s="103"/>
      <c r="K37" s="153"/>
      <c r="L37" s="103"/>
      <c r="M37" s="175"/>
      <c r="N37" s="9"/>
      <c r="O37" s="9"/>
      <c r="P37" s="12"/>
      <c r="Q37" s="104"/>
      <c r="R37" s="12"/>
      <c r="S37" s="38"/>
      <c r="T37" s="37"/>
      <c r="U37" s="104"/>
    </row>
    <row r="38" spans="1:21" x14ac:dyDescent="0.4">
      <c r="A38" s="37"/>
      <c r="B38" s="101"/>
      <c r="C38" s="37"/>
      <c r="D38" s="37"/>
      <c r="E38" s="12"/>
      <c r="F38" s="174"/>
      <c r="G38" s="174"/>
      <c r="H38" s="174"/>
      <c r="I38" s="153"/>
      <c r="J38" s="103"/>
      <c r="K38" s="153"/>
      <c r="L38" s="103"/>
      <c r="M38" s="175"/>
      <c r="N38" s="9"/>
      <c r="O38" s="9"/>
      <c r="P38" s="12"/>
      <c r="Q38" s="104"/>
      <c r="R38" s="12"/>
      <c r="S38" s="38"/>
      <c r="T38" s="37"/>
      <c r="U38" s="104"/>
    </row>
    <row r="39" spans="1:21" x14ac:dyDescent="0.4">
      <c r="A39" s="37"/>
      <c r="B39" s="101"/>
      <c r="C39" s="37"/>
      <c r="D39" s="37"/>
      <c r="E39" s="12"/>
      <c r="F39" s="174"/>
      <c r="G39" s="174"/>
      <c r="H39" s="174"/>
      <c r="I39" s="153"/>
      <c r="J39" s="103"/>
      <c r="K39" s="153"/>
      <c r="L39" s="103"/>
      <c r="M39" s="175"/>
      <c r="N39" s="9"/>
      <c r="O39" s="9"/>
      <c r="P39" s="12"/>
      <c r="Q39" s="104"/>
      <c r="R39" s="12"/>
      <c r="S39" s="38"/>
      <c r="T39" s="37"/>
      <c r="U39" s="104"/>
    </row>
    <row r="40" spans="1:21" x14ac:dyDescent="0.4">
      <c r="A40" s="37"/>
      <c r="B40" s="101"/>
      <c r="C40" s="37"/>
      <c r="D40" s="37"/>
      <c r="E40" s="12"/>
      <c r="F40" s="174"/>
      <c r="G40" s="174"/>
      <c r="H40" s="174"/>
      <c r="I40" s="153"/>
      <c r="J40" s="103"/>
      <c r="K40" s="153"/>
      <c r="L40" s="103"/>
      <c r="M40" s="175"/>
      <c r="N40" s="9"/>
      <c r="O40" s="9"/>
      <c r="P40" s="12"/>
      <c r="Q40" s="104"/>
      <c r="R40" s="12"/>
      <c r="S40" s="38"/>
      <c r="T40" s="37"/>
      <c r="U40" s="104"/>
    </row>
    <row r="41" spans="1:21" x14ac:dyDescent="0.4">
      <c r="A41" s="37"/>
      <c r="B41" s="101"/>
      <c r="C41" s="37"/>
      <c r="D41" s="37"/>
      <c r="E41" s="9"/>
      <c r="F41" s="174"/>
      <c r="G41" s="174"/>
      <c r="H41" s="174"/>
      <c r="I41" s="153"/>
      <c r="J41" s="103"/>
      <c r="K41" s="153"/>
      <c r="L41" s="103"/>
      <c r="M41" s="175"/>
      <c r="N41" s="184"/>
      <c r="O41" s="184"/>
      <c r="P41" s="149"/>
      <c r="Q41" s="188"/>
      <c r="R41" s="149"/>
      <c r="S41" s="189"/>
      <c r="T41" s="130"/>
      <c r="U41" s="188"/>
    </row>
    <row r="42" spans="1:21" x14ac:dyDescent="0.4">
      <c r="A42" s="37"/>
      <c r="B42" s="101"/>
      <c r="C42" s="37"/>
      <c r="D42" s="37"/>
      <c r="E42" s="12"/>
      <c r="F42" s="174"/>
      <c r="G42" s="174"/>
      <c r="H42" s="174"/>
      <c r="I42" s="153"/>
      <c r="J42" s="103"/>
      <c r="K42" s="153"/>
      <c r="L42" s="103"/>
      <c r="M42" s="175"/>
      <c r="N42" s="9"/>
      <c r="O42" s="9"/>
      <c r="P42" s="12"/>
      <c r="Q42" s="104"/>
      <c r="R42" s="12"/>
      <c r="S42" s="38"/>
      <c r="T42" s="37"/>
      <c r="U42" s="104"/>
    </row>
    <row r="43" spans="1:21" x14ac:dyDescent="0.4">
      <c r="A43" s="37"/>
      <c r="B43" s="101"/>
      <c r="C43" s="37"/>
      <c r="D43" s="37"/>
      <c r="E43" s="12"/>
      <c r="F43" s="174"/>
      <c r="G43" s="174"/>
      <c r="H43" s="174"/>
      <c r="I43" s="153"/>
      <c r="J43" s="103"/>
      <c r="K43" s="153"/>
      <c r="L43" s="103"/>
      <c r="M43" s="175"/>
      <c r="N43" s="9"/>
      <c r="O43" s="9"/>
      <c r="P43" s="12"/>
      <c r="Q43" s="104"/>
      <c r="R43" s="12"/>
      <c r="S43" s="38"/>
      <c r="T43" s="37"/>
      <c r="U43" s="104"/>
    </row>
    <row r="44" spans="1:21" x14ac:dyDescent="0.4">
      <c r="A44" s="37"/>
      <c r="B44" s="101"/>
      <c r="C44" s="37"/>
      <c r="D44" s="37"/>
      <c r="E44" s="12"/>
      <c r="F44" s="174"/>
      <c r="G44" s="174"/>
      <c r="H44" s="174"/>
      <c r="I44" s="153"/>
      <c r="J44" s="103"/>
      <c r="K44" s="153"/>
      <c r="L44" s="103"/>
      <c r="M44" s="175"/>
      <c r="N44" s="9"/>
      <c r="O44" s="9"/>
      <c r="P44" s="12"/>
      <c r="Q44" s="104"/>
      <c r="R44" s="12"/>
      <c r="S44" s="38"/>
      <c r="T44" s="37"/>
      <c r="U44" s="104"/>
    </row>
    <row r="45" spans="1:21" x14ac:dyDescent="0.4">
      <c r="A45" s="37"/>
      <c r="B45" s="101"/>
      <c r="C45" s="37"/>
      <c r="D45" s="37"/>
      <c r="E45" s="12"/>
      <c r="F45" s="174"/>
      <c r="G45" s="174"/>
      <c r="H45" s="174"/>
      <c r="I45" s="153"/>
      <c r="J45" s="103"/>
      <c r="K45" s="153"/>
      <c r="L45" s="103"/>
      <c r="M45" s="175"/>
      <c r="N45" s="9"/>
      <c r="O45" s="9"/>
      <c r="P45" s="12"/>
      <c r="Q45" s="104"/>
      <c r="R45" s="12"/>
      <c r="S45" s="38"/>
      <c r="T45" s="37"/>
      <c r="U45" s="104"/>
    </row>
    <row r="46" spans="1:21" x14ac:dyDescent="0.4">
      <c r="A46" s="37"/>
      <c r="B46" s="101"/>
      <c r="C46" s="37"/>
      <c r="D46" s="37"/>
      <c r="E46" s="12"/>
      <c r="F46" s="174"/>
      <c r="G46" s="174"/>
      <c r="H46" s="174"/>
      <c r="I46" s="153"/>
      <c r="J46" s="103"/>
      <c r="K46" s="153"/>
      <c r="L46" s="103"/>
      <c r="M46" s="175"/>
      <c r="N46" s="9"/>
      <c r="O46" s="9"/>
      <c r="P46" s="12"/>
      <c r="Q46" s="104"/>
      <c r="R46" s="12"/>
      <c r="S46" s="38"/>
      <c r="T46" s="37"/>
      <c r="U46" s="104"/>
    </row>
    <row r="47" spans="1:21" x14ac:dyDescent="0.4">
      <c r="A47" s="37"/>
      <c r="B47" s="101"/>
      <c r="C47" s="37"/>
      <c r="D47" s="37"/>
      <c r="E47" s="12"/>
      <c r="F47" s="174"/>
      <c r="G47" s="174"/>
      <c r="H47" s="174"/>
      <c r="I47" s="153"/>
      <c r="J47" s="103"/>
      <c r="K47" s="153"/>
      <c r="L47" s="103"/>
      <c r="M47" s="175"/>
      <c r="N47" s="9"/>
      <c r="O47" s="9"/>
      <c r="P47" s="12"/>
      <c r="Q47" s="104"/>
      <c r="R47" s="12"/>
      <c r="S47" s="38"/>
      <c r="T47" s="37"/>
      <c r="U47" s="104"/>
    </row>
    <row r="48" spans="1:21" x14ac:dyDescent="0.4">
      <c r="A48" s="37"/>
      <c r="B48" s="101"/>
      <c r="C48" s="37"/>
      <c r="D48" s="37"/>
      <c r="E48" s="12"/>
      <c r="F48" s="174"/>
      <c r="G48" s="174"/>
      <c r="H48" s="174"/>
      <c r="I48" s="153"/>
      <c r="J48" s="103"/>
      <c r="K48" s="153"/>
      <c r="L48" s="103"/>
      <c r="M48" s="175"/>
      <c r="N48" s="9"/>
      <c r="O48" s="9"/>
      <c r="P48" s="12"/>
      <c r="Q48" s="104"/>
      <c r="R48" s="12"/>
      <c r="S48" s="38"/>
      <c r="T48" s="37"/>
      <c r="U48" s="104"/>
    </row>
    <row r="49" spans="1:21" x14ac:dyDescent="0.4">
      <c r="A49" s="37"/>
      <c r="B49" s="101"/>
      <c r="C49" s="37"/>
      <c r="D49" s="37"/>
      <c r="E49" s="9"/>
      <c r="F49" s="174"/>
      <c r="G49" s="174"/>
      <c r="H49" s="174"/>
      <c r="I49" s="153"/>
      <c r="J49" s="103"/>
      <c r="K49" s="153"/>
      <c r="L49" s="103"/>
      <c r="M49" s="175"/>
      <c r="N49" s="184"/>
      <c r="O49" s="184"/>
      <c r="P49" s="12"/>
      <c r="Q49" s="104"/>
      <c r="R49" s="12"/>
      <c r="S49" s="38"/>
      <c r="T49" s="37"/>
      <c r="U49" s="104"/>
    </row>
    <row r="50" spans="1:21" x14ac:dyDescent="0.4">
      <c r="A50" s="37"/>
      <c r="B50" s="101"/>
      <c r="C50" s="37"/>
      <c r="D50" s="37"/>
      <c r="E50" s="12"/>
      <c r="F50" s="174"/>
      <c r="G50" s="174"/>
      <c r="H50" s="174"/>
      <c r="I50" s="153"/>
      <c r="J50" s="103"/>
      <c r="K50" s="153"/>
      <c r="L50" s="103"/>
      <c r="M50" s="175"/>
      <c r="N50" s="9"/>
      <c r="O50" s="9"/>
      <c r="P50" s="12"/>
      <c r="Q50" s="104"/>
      <c r="R50" s="12"/>
      <c r="S50" s="38"/>
      <c r="T50" s="37"/>
      <c r="U50" s="104"/>
    </row>
    <row r="51" spans="1:21" x14ac:dyDescent="0.4">
      <c r="A51" s="37"/>
      <c r="B51" s="101"/>
      <c r="C51" s="37"/>
      <c r="D51" s="37"/>
      <c r="E51" s="12"/>
      <c r="F51" s="174"/>
      <c r="G51" s="174"/>
      <c r="H51" s="174"/>
      <c r="I51" s="153"/>
      <c r="J51" s="103"/>
      <c r="K51" s="153"/>
      <c r="L51" s="103"/>
      <c r="M51" s="175"/>
      <c r="N51" s="9"/>
      <c r="O51" s="9"/>
      <c r="P51" s="12"/>
      <c r="Q51" s="104"/>
      <c r="R51" s="12"/>
      <c r="S51" s="38"/>
      <c r="T51" s="37"/>
      <c r="U51" s="104"/>
    </row>
    <row r="52" spans="1:21" x14ac:dyDescent="0.4">
      <c r="A52" s="37"/>
      <c r="B52" s="101"/>
      <c r="C52" s="37"/>
      <c r="D52" s="37"/>
      <c r="E52" s="12"/>
      <c r="F52" s="174"/>
      <c r="G52" s="174"/>
      <c r="H52" s="174"/>
      <c r="I52" s="153"/>
      <c r="J52" s="103"/>
      <c r="K52" s="153"/>
      <c r="L52" s="103"/>
      <c r="M52" s="175"/>
      <c r="N52" s="9"/>
      <c r="O52" s="9"/>
      <c r="P52" s="12"/>
      <c r="Q52" s="104"/>
      <c r="R52" s="12"/>
      <c r="S52" s="38"/>
      <c r="T52" s="37"/>
      <c r="U52" s="104"/>
    </row>
    <row r="53" spans="1:21" x14ac:dyDescent="0.4">
      <c r="A53" s="37"/>
      <c r="B53" s="101"/>
      <c r="C53" s="37"/>
      <c r="D53" s="37"/>
      <c r="E53" s="12"/>
      <c r="F53" s="174"/>
      <c r="G53" s="174"/>
      <c r="H53" s="174"/>
      <c r="I53" s="153"/>
      <c r="J53" s="103"/>
      <c r="K53" s="153"/>
      <c r="L53" s="103"/>
      <c r="M53" s="175"/>
      <c r="N53" s="9"/>
      <c r="O53" s="9"/>
      <c r="P53" s="12"/>
      <c r="Q53" s="104"/>
      <c r="R53" s="12"/>
      <c r="S53" s="38"/>
      <c r="T53" s="37"/>
      <c r="U53" s="104"/>
    </row>
    <row r="54" spans="1:21" x14ac:dyDescent="0.4">
      <c r="A54" s="37"/>
      <c r="B54" s="101"/>
      <c r="C54" s="37"/>
      <c r="D54" s="37"/>
      <c r="E54" s="12"/>
      <c r="F54" s="174"/>
      <c r="G54" s="174"/>
      <c r="H54" s="174"/>
      <c r="I54" s="153"/>
      <c r="J54" s="103"/>
      <c r="K54" s="153"/>
      <c r="L54" s="103"/>
      <c r="M54" s="175"/>
      <c r="N54" s="9"/>
      <c r="O54" s="9"/>
      <c r="P54" s="12"/>
      <c r="Q54" s="104"/>
      <c r="R54" s="12"/>
      <c r="S54" s="38"/>
      <c r="T54" s="37"/>
      <c r="U54" s="104"/>
    </row>
    <row r="55" spans="1:21" x14ac:dyDescent="0.4">
      <c r="A55" s="37"/>
      <c r="B55" s="101"/>
      <c r="C55" s="37"/>
      <c r="D55" s="37"/>
      <c r="E55" s="12"/>
      <c r="F55" s="174"/>
      <c r="G55" s="174"/>
      <c r="H55" s="174"/>
      <c r="I55" s="153"/>
      <c r="J55" s="103"/>
      <c r="K55" s="153"/>
      <c r="L55" s="103"/>
      <c r="M55" s="175"/>
      <c r="N55" s="9"/>
      <c r="O55" s="9"/>
      <c r="P55" s="12"/>
      <c r="Q55" s="104"/>
      <c r="R55" s="12"/>
      <c r="S55" s="38"/>
      <c r="T55" s="37"/>
      <c r="U55" s="104"/>
    </row>
    <row r="56" spans="1:21" x14ac:dyDescent="0.4">
      <c r="A56" s="37"/>
      <c r="B56" s="101"/>
      <c r="C56" s="37"/>
      <c r="D56" s="37"/>
      <c r="E56" s="12"/>
      <c r="F56" s="174"/>
      <c r="G56" s="174"/>
      <c r="H56" s="174"/>
      <c r="I56" s="153"/>
      <c r="J56" s="103"/>
      <c r="K56" s="153"/>
      <c r="L56" s="103"/>
      <c r="M56" s="175"/>
      <c r="N56" s="9"/>
      <c r="O56" s="9"/>
      <c r="P56" s="12"/>
      <c r="Q56" s="104"/>
      <c r="R56" s="12"/>
      <c r="S56" s="38"/>
      <c r="T56" s="37"/>
      <c r="U56" s="104"/>
    </row>
    <row r="57" spans="1:21" x14ac:dyDescent="0.4">
      <c r="A57" s="37"/>
      <c r="B57" s="101"/>
      <c r="C57" s="37"/>
      <c r="D57" s="37"/>
      <c r="E57" s="12"/>
      <c r="F57" s="174"/>
      <c r="G57" s="174"/>
      <c r="H57" s="174"/>
      <c r="I57" s="153"/>
      <c r="J57" s="103"/>
      <c r="K57" s="153"/>
      <c r="L57" s="103"/>
      <c r="M57" s="175"/>
      <c r="N57" s="9"/>
      <c r="O57" s="9"/>
      <c r="P57" s="12"/>
      <c r="Q57" s="104"/>
      <c r="R57" s="12"/>
      <c r="S57" s="38"/>
      <c r="T57" s="37"/>
      <c r="U57" s="104"/>
    </row>
    <row r="58" spans="1:21" x14ac:dyDescent="0.4">
      <c r="A58" s="37"/>
      <c r="B58" s="101"/>
      <c r="C58" s="37"/>
      <c r="D58" s="37"/>
      <c r="E58" s="12"/>
      <c r="F58" s="174"/>
      <c r="G58" s="174"/>
      <c r="H58" s="174"/>
      <c r="I58" s="153"/>
      <c r="J58" s="103"/>
      <c r="K58" s="153"/>
      <c r="L58" s="103"/>
      <c r="M58" s="175"/>
      <c r="N58" s="9"/>
      <c r="O58" s="9"/>
      <c r="P58" s="12"/>
      <c r="Q58" s="104"/>
      <c r="R58" s="12"/>
      <c r="S58" s="38"/>
      <c r="T58" s="37"/>
      <c r="U58" s="104"/>
    </row>
    <row r="59" spans="1:21" x14ac:dyDescent="0.4">
      <c r="A59" s="37"/>
      <c r="B59" s="101"/>
      <c r="C59" s="37"/>
      <c r="D59" s="37"/>
      <c r="E59" s="12"/>
      <c r="F59" s="174"/>
      <c r="G59" s="174"/>
      <c r="H59" s="174"/>
      <c r="I59" s="153"/>
      <c r="J59" s="103"/>
      <c r="K59" s="153"/>
      <c r="L59" s="103"/>
      <c r="M59" s="175"/>
      <c r="N59" s="9"/>
      <c r="O59" s="9"/>
      <c r="P59" s="12"/>
      <c r="Q59" s="104"/>
      <c r="R59" s="12"/>
      <c r="S59" s="38"/>
      <c r="T59" s="37"/>
      <c r="U59" s="104"/>
    </row>
    <row r="60" spans="1:21" x14ac:dyDescent="0.4">
      <c r="A60" s="37"/>
      <c r="B60" s="101"/>
      <c r="C60" s="37"/>
      <c r="D60" s="37"/>
      <c r="E60" s="12"/>
      <c r="F60" s="174"/>
      <c r="G60" s="174"/>
      <c r="H60" s="174"/>
      <c r="I60" s="153"/>
      <c r="J60" s="103"/>
      <c r="K60" s="153"/>
      <c r="L60" s="103"/>
      <c r="M60" s="175"/>
      <c r="N60" s="9"/>
      <c r="O60" s="9"/>
      <c r="P60" s="12"/>
      <c r="Q60" s="104"/>
      <c r="R60" s="12"/>
      <c r="S60" s="38"/>
      <c r="T60" s="37"/>
      <c r="U60" s="104"/>
    </row>
    <row r="61" spans="1:21" x14ac:dyDescent="0.4">
      <c r="A61" s="37"/>
      <c r="B61" s="101"/>
      <c r="C61" s="37"/>
      <c r="D61" s="37"/>
      <c r="E61" s="12"/>
      <c r="F61" s="174"/>
      <c r="G61" s="174"/>
      <c r="H61" s="174"/>
      <c r="I61" s="153"/>
      <c r="J61" s="103"/>
      <c r="K61" s="153"/>
      <c r="L61" s="103"/>
      <c r="M61" s="175"/>
      <c r="N61" s="9"/>
      <c r="O61" s="9"/>
      <c r="P61" s="12"/>
      <c r="Q61" s="104"/>
      <c r="R61" s="12"/>
      <c r="S61" s="38"/>
      <c r="T61" s="37"/>
      <c r="U61" s="104"/>
    </row>
    <row r="62" spans="1:21" x14ac:dyDescent="0.4">
      <c r="A62" s="37"/>
      <c r="B62" s="101"/>
      <c r="C62" s="37"/>
      <c r="D62" s="37"/>
      <c r="E62" s="12"/>
      <c r="F62" s="174"/>
      <c r="G62" s="174"/>
      <c r="H62" s="174"/>
      <c r="I62" s="153"/>
      <c r="J62" s="103"/>
      <c r="K62" s="153"/>
      <c r="L62" s="103"/>
      <c r="M62" s="175"/>
      <c r="N62" s="9"/>
      <c r="O62" s="9"/>
      <c r="P62" s="12"/>
      <c r="Q62" s="104"/>
      <c r="R62" s="12"/>
      <c r="S62" s="38"/>
      <c r="T62" s="37"/>
      <c r="U62" s="104"/>
    </row>
    <row r="63" spans="1:21" x14ac:dyDescent="0.4">
      <c r="A63" s="37"/>
      <c r="B63" s="101"/>
      <c r="C63" s="37"/>
      <c r="D63" s="37"/>
      <c r="E63" s="12"/>
      <c r="F63" s="174"/>
      <c r="G63" s="174"/>
      <c r="H63" s="174"/>
      <c r="I63" s="153"/>
      <c r="J63" s="103"/>
      <c r="K63" s="153"/>
      <c r="L63" s="103"/>
      <c r="M63" s="175"/>
      <c r="N63" s="9"/>
      <c r="O63" s="9"/>
      <c r="P63" s="12"/>
      <c r="Q63" s="104"/>
      <c r="R63" s="12"/>
      <c r="S63" s="38"/>
      <c r="T63" s="37"/>
      <c r="U63" s="104"/>
    </row>
    <row r="64" spans="1:21" x14ac:dyDescent="0.4">
      <c r="A64" s="37"/>
      <c r="B64" s="101"/>
      <c r="C64" s="37"/>
      <c r="D64" s="37"/>
      <c r="E64" s="12"/>
      <c r="F64" s="174"/>
      <c r="G64" s="174"/>
      <c r="H64" s="174"/>
      <c r="I64" s="153"/>
      <c r="J64" s="103"/>
      <c r="K64" s="153"/>
      <c r="L64" s="103"/>
      <c r="M64" s="175"/>
      <c r="N64" s="9"/>
      <c r="O64" s="9"/>
      <c r="P64" s="12"/>
      <c r="Q64" s="104"/>
      <c r="R64" s="12"/>
      <c r="S64" s="38"/>
      <c r="T64" s="37"/>
      <c r="U64" s="104"/>
    </row>
    <row r="65" spans="1:21" x14ac:dyDescent="0.4">
      <c r="A65" s="37"/>
      <c r="B65" s="101"/>
      <c r="C65" s="37"/>
      <c r="D65" s="37"/>
      <c r="E65" s="12"/>
      <c r="F65" s="174"/>
      <c r="G65" s="174"/>
      <c r="H65" s="174"/>
      <c r="I65" s="153"/>
      <c r="J65" s="103"/>
      <c r="K65" s="153"/>
      <c r="L65" s="103"/>
      <c r="M65" s="175"/>
      <c r="N65" s="9"/>
      <c r="O65" s="9"/>
      <c r="P65" s="12"/>
      <c r="Q65" s="104"/>
      <c r="R65" s="12"/>
      <c r="S65" s="38"/>
      <c r="T65" s="37"/>
      <c r="U65" s="104"/>
    </row>
    <row r="66" spans="1:21" x14ac:dyDescent="0.4">
      <c r="A66" s="37"/>
      <c r="B66" s="101"/>
      <c r="C66" s="37"/>
      <c r="D66" s="37"/>
      <c r="E66" s="12"/>
      <c r="F66" s="174"/>
      <c r="G66" s="174"/>
      <c r="H66" s="174"/>
      <c r="I66" s="153"/>
      <c r="J66" s="103"/>
      <c r="K66" s="153"/>
      <c r="L66" s="103"/>
      <c r="M66" s="175"/>
      <c r="N66" s="9"/>
      <c r="O66" s="9"/>
      <c r="P66" s="12"/>
      <c r="Q66" s="104"/>
      <c r="R66" s="12"/>
      <c r="S66" s="38"/>
      <c r="T66" s="37"/>
      <c r="U66" s="104"/>
    </row>
    <row r="67" spans="1:21" x14ac:dyDescent="0.4">
      <c r="A67" s="37"/>
      <c r="B67" s="101"/>
      <c r="C67" s="37"/>
      <c r="D67" s="37"/>
      <c r="E67" s="12"/>
      <c r="F67" s="174"/>
      <c r="G67" s="174"/>
      <c r="H67" s="174"/>
      <c r="I67" s="153"/>
      <c r="J67" s="103"/>
      <c r="K67" s="153"/>
      <c r="L67" s="103"/>
      <c r="M67" s="175"/>
      <c r="N67" s="9"/>
      <c r="O67" s="9"/>
      <c r="P67" s="12"/>
      <c r="Q67" s="104"/>
      <c r="R67" s="12"/>
      <c r="S67" s="38"/>
      <c r="T67" s="37"/>
      <c r="U67" s="104"/>
    </row>
    <row r="68" spans="1:21" x14ac:dyDescent="0.4">
      <c r="A68" s="37"/>
      <c r="B68" s="101"/>
      <c r="C68" s="37"/>
      <c r="D68" s="37"/>
      <c r="E68" s="12"/>
      <c r="F68" s="174"/>
      <c r="G68" s="174"/>
      <c r="H68" s="174"/>
      <c r="I68" s="153"/>
      <c r="J68" s="103"/>
      <c r="K68" s="153"/>
      <c r="L68" s="103"/>
      <c r="M68" s="175"/>
      <c r="N68" s="9"/>
      <c r="O68" s="9"/>
      <c r="P68" s="12"/>
      <c r="Q68" s="104"/>
      <c r="R68" s="12"/>
      <c r="S68" s="38"/>
      <c r="T68" s="37"/>
      <c r="U68" s="104"/>
    </row>
    <row r="69" spans="1:21" x14ac:dyDescent="0.4">
      <c r="A69" s="37"/>
      <c r="B69" s="101"/>
      <c r="C69" s="37"/>
      <c r="D69" s="37"/>
      <c r="E69" s="9"/>
      <c r="F69" s="174"/>
      <c r="G69" s="174"/>
      <c r="H69" s="174"/>
      <c r="I69" s="153"/>
      <c r="J69" s="103"/>
      <c r="K69" s="153"/>
      <c r="L69" s="103"/>
      <c r="M69" s="175"/>
      <c r="N69" s="9"/>
      <c r="O69" s="9"/>
      <c r="P69" s="12"/>
      <c r="Q69" s="104"/>
      <c r="R69" s="12"/>
      <c r="S69" s="38"/>
      <c r="T69" s="37"/>
      <c r="U69" s="104"/>
    </row>
    <row r="70" spans="1:21" x14ac:dyDescent="0.4">
      <c r="A70" s="37"/>
      <c r="B70" s="101"/>
      <c r="C70" s="37"/>
      <c r="D70" s="37"/>
      <c r="E70" s="12"/>
      <c r="F70" s="174"/>
      <c r="G70" s="174"/>
      <c r="H70" s="174"/>
      <c r="I70" s="153"/>
      <c r="J70" s="103"/>
      <c r="K70" s="153"/>
      <c r="L70" s="103"/>
      <c r="M70" s="175"/>
      <c r="N70" s="9"/>
      <c r="O70" s="9"/>
      <c r="P70" s="12"/>
      <c r="Q70" s="104"/>
      <c r="R70" s="12"/>
      <c r="S70" s="38"/>
      <c r="T70" s="37"/>
      <c r="U70" s="104"/>
    </row>
    <row r="71" spans="1:21" x14ac:dyDescent="0.4">
      <c r="A71" s="37"/>
      <c r="B71" s="101"/>
      <c r="C71" s="37"/>
      <c r="D71" s="37"/>
      <c r="E71" s="12"/>
      <c r="F71" s="174"/>
      <c r="G71" s="174"/>
      <c r="H71" s="174"/>
      <c r="I71" s="153"/>
      <c r="J71" s="103"/>
      <c r="K71" s="153"/>
      <c r="L71" s="103"/>
      <c r="M71" s="175"/>
      <c r="N71" s="9"/>
      <c r="O71" s="9"/>
      <c r="P71" s="12"/>
      <c r="Q71" s="104"/>
      <c r="R71" s="12"/>
      <c r="S71" s="38"/>
      <c r="T71" s="37"/>
      <c r="U71" s="104"/>
    </row>
    <row r="72" spans="1:21" x14ac:dyDescent="0.4">
      <c r="A72" s="37"/>
      <c r="B72" s="101"/>
      <c r="C72" s="37"/>
      <c r="D72" s="37"/>
      <c r="E72" s="12"/>
      <c r="F72" s="174"/>
      <c r="G72" s="174"/>
      <c r="H72" s="174"/>
      <c r="I72" s="153"/>
      <c r="J72" s="103"/>
      <c r="K72" s="153"/>
      <c r="L72" s="103"/>
      <c r="M72" s="175"/>
      <c r="N72" s="9"/>
      <c r="O72" s="9"/>
      <c r="P72" s="12"/>
      <c r="Q72" s="104"/>
      <c r="R72" s="12"/>
      <c r="S72" s="38"/>
      <c r="T72" s="37"/>
      <c r="U72" s="104"/>
    </row>
    <row r="73" spans="1:21" x14ac:dyDescent="0.4">
      <c r="A73" s="37"/>
      <c r="B73" s="178"/>
      <c r="C73" s="37"/>
      <c r="D73" s="37"/>
      <c r="E73" s="12"/>
      <c r="F73" s="174"/>
      <c r="G73" s="174"/>
      <c r="H73" s="174"/>
      <c r="I73" s="153"/>
      <c r="J73" s="103"/>
      <c r="K73" s="153"/>
      <c r="L73" s="103"/>
      <c r="M73" s="175"/>
      <c r="N73" s="9"/>
      <c r="O73" s="9"/>
      <c r="P73" s="12"/>
      <c r="Q73" s="104"/>
      <c r="R73" s="12"/>
      <c r="S73" s="38"/>
      <c r="T73" s="37"/>
      <c r="U73" s="104"/>
    </row>
    <row r="74" spans="1:21" x14ac:dyDescent="0.4">
      <c r="A74" s="37"/>
      <c r="B74" s="101"/>
      <c r="C74" s="37"/>
      <c r="D74" s="37"/>
      <c r="E74" s="12"/>
      <c r="F74" s="174"/>
      <c r="G74" s="174"/>
      <c r="H74" s="174"/>
      <c r="I74" s="153"/>
      <c r="J74" s="103"/>
      <c r="K74" s="153"/>
      <c r="L74" s="103"/>
      <c r="M74" s="175"/>
      <c r="N74" s="9"/>
      <c r="O74" s="9"/>
      <c r="P74" s="12"/>
      <c r="Q74" s="104"/>
      <c r="R74" s="12"/>
      <c r="S74" s="38"/>
      <c r="T74" s="37"/>
      <c r="U74" s="104"/>
    </row>
    <row r="75" spans="1:21" x14ac:dyDescent="0.4">
      <c r="A75" s="37"/>
      <c r="B75" s="101"/>
      <c r="C75" s="37"/>
      <c r="D75" s="37"/>
      <c r="E75" s="9"/>
      <c r="F75" s="174"/>
      <c r="G75" s="174"/>
      <c r="H75" s="174"/>
      <c r="I75" s="153"/>
      <c r="J75" s="103"/>
      <c r="K75" s="153"/>
      <c r="L75" s="103"/>
      <c r="M75" s="175"/>
      <c r="N75" s="9"/>
      <c r="O75" s="9"/>
      <c r="P75" s="12"/>
      <c r="Q75" s="104"/>
      <c r="R75" s="12"/>
      <c r="S75" s="38"/>
      <c r="T75" s="37"/>
      <c r="U75" s="104"/>
    </row>
    <row r="76" spans="1:21" x14ac:dyDescent="0.4">
      <c r="A76" s="37"/>
      <c r="B76" s="101"/>
      <c r="C76" s="37"/>
      <c r="D76" s="37"/>
      <c r="E76" s="9"/>
      <c r="F76" s="174"/>
      <c r="G76" s="174"/>
      <c r="H76" s="174"/>
      <c r="I76" s="153"/>
      <c r="J76" s="103"/>
      <c r="K76" s="153"/>
      <c r="L76" s="103"/>
      <c r="M76" s="175"/>
      <c r="N76" s="9"/>
      <c r="O76" s="9"/>
      <c r="P76" s="12"/>
      <c r="Q76" s="104"/>
      <c r="R76" s="12"/>
      <c r="S76" s="38"/>
      <c r="T76" s="37"/>
      <c r="U76" s="104"/>
    </row>
    <row r="77" spans="1:21" x14ac:dyDescent="0.4">
      <c r="A77" s="37"/>
      <c r="B77" s="101"/>
      <c r="C77" s="37"/>
      <c r="D77" s="37"/>
      <c r="E77" s="9"/>
      <c r="F77" s="174"/>
      <c r="G77" s="174"/>
      <c r="H77" s="174"/>
      <c r="I77" s="153"/>
      <c r="J77" s="103"/>
      <c r="K77" s="153"/>
      <c r="L77" s="103"/>
      <c r="M77" s="175"/>
      <c r="N77" s="9"/>
      <c r="O77" s="9"/>
      <c r="P77" s="12"/>
      <c r="Q77" s="104"/>
      <c r="R77" s="12"/>
      <c r="S77" s="38"/>
      <c r="T77" s="37"/>
      <c r="U77" s="104"/>
    </row>
    <row r="78" spans="1:21" x14ac:dyDescent="0.4">
      <c r="A78" s="37"/>
      <c r="B78" s="101"/>
      <c r="C78" s="37"/>
      <c r="D78" s="37"/>
      <c r="E78" s="9"/>
      <c r="F78" s="174"/>
      <c r="G78" s="174"/>
      <c r="H78" s="174"/>
      <c r="I78" s="153"/>
      <c r="J78" s="103"/>
      <c r="K78" s="153"/>
      <c r="L78" s="103"/>
      <c r="M78" s="175"/>
      <c r="N78" s="9"/>
      <c r="O78" s="9"/>
      <c r="P78" s="12"/>
      <c r="Q78" s="104"/>
      <c r="R78" s="12"/>
      <c r="S78" s="38"/>
      <c r="T78" s="37"/>
      <c r="U78" s="104"/>
    </row>
    <row r="79" spans="1:21" x14ac:dyDescent="0.4">
      <c r="A79" s="37"/>
      <c r="B79" s="101"/>
      <c r="C79" s="37"/>
      <c r="D79" s="37"/>
      <c r="E79" s="9"/>
      <c r="F79" s="174"/>
      <c r="G79" s="174"/>
      <c r="H79" s="174"/>
      <c r="I79" s="153"/>
      <c r="J79" s="103"/>
      <c r="K79" s="153"/>
      <c r="L79" s="103"/>
      <c r="M79" s="175"/>
      <c r="N79" s="9"/>
      <c r="O79" s="9"/>
      <c r="P79" s="12"/>
      <c r="Q79" s="104"/>
      <c r="R79" s="12"/>
      <c r="S79" s="38"/>
      <c r="T79" s="37"/>
      <c r="U79" s="104"/>
    </row>
    <row r="80" spans="1:21" x14ac:dyDescent="0.4">
      <c r="A80" s="37"/>
      <c r="B80" s="101"/>
      <c r="C80" s="37"/>
      <c r="D80" s="37"/>
      <c r="E80" s="9"/>
      <c r="F80" s="174"/>
      <c r="G80" s="174"/>
      <c r="H80" s="174"/>
      <c r="I80" s="153"/>
      <c r="J80" s="103"/>
      <c r="K80" s="153"/>
      <c r="L80" s="103"/>
      <c r="M80" s="175"/>
      <c r="N80" s="9"/>
      <c r="O80" s="9"/>
      <c r="P80" s="12"/>
      <c r="Q80" s="104"/>
      <c r="R80" s="12"/>
      <c r="S80" s="38"/>
      <c r="T80" s="37"/>
      <c r="U80" s="104"/>
    </row>
    <row r="81" spans="1:21" x14ac:dyDescent="0.4">
      <c r="A81" s="37"/>
      <c r="B81" s="101"/>
      <c r="C81" s="37"/>
      <c r="D81" s="37"/>
      <c r="E81" s="9"/>
      <c r="F81" s="174"/>
      <c r="G81" s="174"/>
      <c r="H81" s="174"/>
      <c r="I81" s="153"/>
      <c r="J81" s="103"/>
      <c r="K81" s="153"/>
      <c r="L81" s="103"/>
      <c r="M81" s="175"/>
      <c r="N81" s="9"/>
      <c r="O81" s="9"/>
      <c r="P81" s="12"/>
      <c r="Q81" s="104"/>
      <c r="R81" s="12"/>
      <c r="S81" s="38"/>
      <c r="T81" s="37"/>
      <c r="U81" s="104"/>
    </row>
    <row r="82" spans="1:21" x14ac:dyDescent="0.4">
      <c r="A82" s="37"/>
      <c r="B82" s="101"/>
      <c r="C82" s="37"/>
      <c r="D82" s="37"/>
      <c r="E82" s="9"/>
      <c r="F82" s="174"/>
      <c r="G82" s="174"/>
      <c r="H82" s="174"/>
      <c r="I82" s="153"/>
      <c r="J82" s="103"/>
      <c r="K82" s="153"/>
      <c r="L82" s="103"/>
      <c r="M82" s="175"/>
      <c r="N82" s="9"/>
      <c r="O82" s="9"/>
      <c r="P82" s="12"/>
      <c r="Q82" s="104"/>
      <c r="R82" s="12"/>
      <c r="S82" s="38"/>
      <c r="T82" s="37"/>
      <c r="U82" s="104"/>
    </row>
    <row r="83" spans="1:21" x14ac:dyDescent="0.4">
      <c r="A83" s="37"/>
      <c r="B83" s="101"/>
      <c r="C83" s="37"/>
      <c r="D83" s="37"/>
      <c r="E83" s="9"/>
      <c r="F83" s="174"/>
      <c r="G83" s="174"/>
      <c r="H83" s="174"/>
      <c r="I83" s="153"/>
      <c r="J83" s="103"/>
      <c r="K83" s="153"/>
      <c r="L83" s="103"/>
      <c r="M83" s="175"/>
      <c r="N83" s="9"/>
      <c r="O83" s="9"/>
      <c r="P83" s="12"/>
      <c r="Q83" s="104"/>
      <c r="R83" s="12"/>
      <c r="S83" s="38"/>
      <c r="T83" s="37"/>
      <c r="U83" s="104"/>
    </row>
    <row r="84" spans="1:21" x14ac:dyDescent="0.4">
      <c r="A84" s="37"/>
      <c r="B84" s="101"/>
      <c r="C84" s="37"/>
      <c r="D84" s="37"/>
      <c r="E84" s="9"/>
      <c r="F84" s="174"/>
      <c r="G84" s="174"/>
      <c r="H84" s="174"/>
      <c r="I84" s="153"/>
      <c r="J84" s="103"/>
      <c r="K84" s="153"/>
      <c r="L84" s="103"/>
      <c r="M84" s="175"/>
      <c r="N84" s="9"/>
      <c r="O84" s="9"/>
      <c r="P84" s="12"/>
      <c r="Q84" s="104"/>
      <c r="R84" s="12"/>
      <c r="S84" s="38"/>
      <c r="T84" s="37"/>
      <c r="U84" s="104"/>
    </row>
    <row r="85" spans="1:21" x14ac:dyDescent="0.4">
      <c r="A85" s="37"/>
      <c r="B85" s="101"/>
      <c r="C85" s="37"/>
      <c r="D85" s="37"/>
      <c r="E85" s="9"/>
      <c r="F85" s="174"/>
      <c r="G85" s="174"/>
      <c r="H85" s="174"/>
      <c r="I85" s="153"/>
      <c r="J85" s="103"/>
      <c r="K85" s="153"/>
      <c r="L85" s="103"/>
      <c r="M85" s="175"/>
      <c r="N85" s="9"/>
      <c r="O85" s="9"/>
      <c r="P85" s="12"/>
      <c r="Q85" s="104"/>
      <c r="R85" s="12"/>
      <c r="S85" s="38"/>
      <c r="T85" s="37"/>
      <c r="U85" s="104"/>
    </row>
    <row r="86" spans="1:21" x14ac:dyDescent="0.4">
      <c r="A86" s="37"/>
      <c r="B86" s="101"/>
      <c r="C86" s="37"/>
      <c r="D86" s="37"/>
      <c r="E86" s="9"/>
      <c r="F86" s="174"/>
      <c r="G86" s="174"/>
      <c r="H86" s="174"/>
      <c r="I86" s="153"/>
      <c r="J86" s="103"/>
      <c r="K86" s="153"/>
      <c r="L86" s="103"/>
      <c r="M86" s="175"/>
      <c r="N86" s="9"/>
      <c r="O86" s="9"/>
      <c r="P86" s="12"/>
      <c r="Q86" s="104"/>
      <c r="R86" s="12"/>
      <c r="S86" s="38"/>
      <c r="T86" s="37"/>
      <c r="U86" s="104"/>
    </row>
    <row r="87" spans="1:21" x14ac:dyDescent="0.4">
      <c r="A87" s="37"/>
      <c r="B87" s="101"/>
      <c r="C87" s="37"/>
      <c r="D87" s="37"/>
      <c r="E87" s="9"/>
      <c r="F87" s="174"/>
      <c r="G87" s="174"/>
      <c r="H87" s="174"/>
      <c r="I87" s="153"/>
      <c r="J87" s="103"/>
      <c r="K87" s="153"/>
      <c r="L87" s="103"/>
      <c r="M87" s="175"/>
      <c r="N87" s="9"/>
      <c r="O87" s="9"/>
      <c r="P87" s="12"/>
      <c r="Q87" s="104"/>
      <c r="R87" s="12"/>
      <c r="S87" s="38"/>
      <c r="T87" s="37"/>
      <c r="U87" s="104"/>
    </row>
    <row r="88" spans="1:21" x14ac:dyDescent="0.4">
      <c r="A88" s="37"/>
      <c r="B88" s="101"/>
      <c r="C88" s="37"/>
      <c r="D88" s="37"/>
      <c r="E88" s="9"/>
      <c r="F88" s="174"/>
      <c r="G88" s="174"/>
      <c r="H88" s="174"/>
      <c r="I88" s="153"/>
      <c r="J88" s="103"/>
      <c r="K88" s="153"/>
      <c r="L88" s="103"/>
      <c r="M88" s="175"/>
      <c r="N88" s="9"/>
      <c r="O88" s="9"/>
      <c r="P88" s="12"/>
      <c r="Q88" s="104"/>
      <c r="R88" s="12"/>
      <c r="S88" s="38"/>
      <c r="T88" s="37"/>
      <c r="U88" s="104"/>
    </row>
    <row r="89" spans="1:21" x14ac:dyDescent="0.4">
      <c r="A89" s="37"/>
      <c r="B89" s="101"/>
      <c r="C89" s="37"/>
      <c r="D89" s="37"/>
      <c r="E89" s="9"/>
      <c r="F89" s="174"/>
      <c r="G89" s="174"/>
      <c r="H89" s="174"/>
      <c r="I89" s="153"/>
      <c r="J89" s="103"/>
      <c r="K89" s="153"/>
      <c r="L89" s="103"/>
      <c r="M89" s="175"/>
      <c r="N89" s="9"/>
      <c r="O89" s="9"/>
      <c r="P89" s="12"/>
      <c r="Q89" s="104"/>
      <c r="R89" s="12"/>
      <c r="S89" s="38"/>
      <c r="T89" s="37"/>
      <c r="U89" s="104"/>
    </row>
    <row r="90" spans="1:21" x14ac:dyDescent="0.4">
      <c r="A90" s="37"/>
      <c r="B90" s="101"/>
      <c r="C90" s="37"/>
      <c r="D90" s="37"/>
      <c r="E90" s="12"/>
      <c r="F90" s="174"/>
      <c r="G90" s="174"/>
      <c r="H90" s="174"/>
      <c r="I90" s="153"/>
      <c r="J90" s="103"/>
      <c r="K90" s="153"/>
      <c r="L90" s="103"/>
      <c r="M90" s="175"/>
      <c r="N90" s="9"/>
      <c r="O90" s="9"/>
      <c r="P90" s="12"/>
      <c r="Q90" s="104"/>
      <c r="R90" s="12"/>
      <c r="S90" s="38"/>
      <c r="T90" s="37"/>
      <c r="U90" s="104"/>
    </row>
    <row r="91" spans="1:21" x14ac:dyDescent="0.4">
      <c r="A91" s="37"/>
      <c r="B91" s="101"/>
      <c r="C91" s="37"/>
      <c r="D91" s="37"/>
      <c r="E91" s="9"/>
      <c r="F91" s="174"/>
      <c r="G91" s="174"/>
      <c r="H91" s="174"/>
      <c r="I91" s="153"/>
      <c r="J91" s="103"/>
      <c r="K91" s="153"/>
      <c r="L91" s="103"/>
      <c r="M91" s="175"/>
      <c r="N91" s="9"/>
      <c r="O91" s="9"/>
      <c r="P91" s="12"/>
      <c r="Q91" s="104"/>
      <c r="R91" s="12"/>
      <c r="S91" s="38"/>
      <c r="T91" s="37"/>
      <c r="U91" s="104"/>
    </row>
    <row r="92" spans="1:21" x14ac:dyDescent="0.4">
      <c r="A92" s="37"/>
      <c r="B92" s="101"/>
      <c r="C92" s="37"/>
      <c r="D92" s="37"/>
      <c r="E92" s="9"/>
      <c r="F92" s="174"/>
      <c r="G92" s="174"/>
      <c r="H92" s="174"/>
      <c r="I92" s="153"/>
      <c r="J92" s="103"/>
      <c r="K92" s="153"/>
      <c r="L92" s="103"/>
      <c r="M92" s="175"/>
      <c r="N92" s="9"/>
      <c r="O92" s="9"/>
      <c r="P92" s="12"/>
      <c r="Q92" s="104"/>
      <c r="R92" s="12"/>
      <c r="S92" s="38"/>
      <c r="T92" s="37"/>
      <c r="U92" s="104"/>
    </row>
    <row r="93" spans="1:21" x14ac:dyDescent="0.4">
      <c r="A93" s="37"/>
      <c r="B93" s="101"/>
      <c r="C93" s="37"/>
      <c r="D93" s="37"/>
      <c r="E93" s="9"/>
      <c r="F93" s="174"/>
      <c r="G93" s="174"/>
      <c r="H93" s="174"/>
      <c r="I93" s="153"/>
      <c r="J93" s="103"/>
      <c r="K93" s="153"/>
      <c r="L93" s="103"/>
      <c r="M93" s="175"/>
      <c r="N93" s="9"/>
      <c r="O93" s="9"/>
      <c r="P93" s="12"/>
      <c r="Q93" s="104"/>
      <c r="R93" s="12"/>
      <c r="S93" s="38"/>
      <c r="T93" s="37"/>
      <c r="U93" s="104"/>
    </row>
    <row r="94" spans="1:21" x14ac:dyDescent="0.4">
      <c r="A94" s="37"/>
      <c r="B94" s="101"/>
      <c r="C94" s="37"/>
      <c r="D94" s="37"/>
      <c r="E94" s="9"/>
      <c r="F94" s="174"/>
      <c r="G94" s="174"/>
      <c r="H94" s="174"/>
      <c r="I94" s="153"/>
      <c r="J94" s="103"/>
      <c r="K94" s="153"/>
      <c r="L94" s="103"/>
      <c r="M94" s="175"/>
      <c r="N94" s="9"/>
      <c r="O94" s="9"/>
      <c r="P94" s="12"/>
      <c r="Q94" s="104"/>
      <c r="R94" s="12"/>
      <c r="S94" s="38"/>
      <c r="T94" s="37"/>
      <c r="U94" s="104"/>
    </row>
    <row r="95" spans="1:21" x14ac:dyDescent="0.4">
      <c r="A95" s="37"/>
      <c r="B95" s="101"/>
      <c r="C95" s="37"/>
      <c r="D95" s="37"/>
      <c r="E95" s="9"/>
      <c r="F95" s="174"/>
      <c r="G95" s="174"/>
      <c r="H95" s="174"/>
      <c r="I95" s="153"/>
      <c r="J95" s="103"/>
      <c r="K95" s="153"/>
      <c r="L95" s="103"/>
      <c r="M95" s="175"/>
      <c r="N95" s="9"/>
      <c r="O95" s="9"/>
      <c r="P95" s="12"/>
      <c r="Q95" s="104"/>
      <c r="R95" s="12"/>
      <c r="S95" s="38"/>
      <c r="T95" s="37"/>
      <c r="U95" s="104"/>
    </row>
    <row r="96" spans="1:21" x14ac:dyDescent="0.4">
      <c r="A96" s="37"/>
      <c r="B96" s="101"/>
      <c r="C96" s="37"/>
      <c r="D96" s="37"/>
      <c r="E96" s="9"/>
      <c r="F96" s="174"/>
      <c r="G96" s="174"/>
      <c r="H96" s="174"/>
      <c r="I96" s="153"/>
      <c r="J96" s="103"/>
      <c r="K96" s="153"/>
      <c r="L96" s="103"/>
      <c r="M96" s="175"/>
      <c r="N96" s="184"/>
      <c r="O96" s="184"/>
      <c r="P96" s="12"/>
      <c r="Q96" s="104"/>
      <c r="R96" s="12"/>
      <c r="S96" s="38"/>
      <c r="T96" s="37"/>
      <c r="U96" s="104"/>
    </row>
    <row r="97" spans="1:21" x14ac:dyDescent="0.4">
      <c r="A97" s="37"/>
      <c r="B97" s="101"/>
      <c r="C97" s="37"/>
      <c r="D97" s="37"/>
      <c r="E97" s="9"/>
      <c r="F97" s="174"/>
      <c r="G97" s="174"/>
      <c r="H97" s="174"/>
      <c r="I97" s="153"/>
      <c r="J97" s="103"/>
      <c r="K97" s="153"/>
      <c r="L97" s="103"/>
      <c r="M97" s="175"/>
      <c r="N97" s="9"/>
      <c r="O97" s="9"/>
      <c r="P97" s="12"/>
      <c r="Q97" s="104"/>
      <c r="R97" s="12"/>
      <c r="S97" s="38"/>
      <c r="T97" s="37"/>
      <c r="U97" s="104"/>
    </row>
    <row r="98" spans="1:21" x14ac:dyDescent="0.4">
      <c r="A98" s="37"/>
      <c r="B98" s="101"/>
      <c r="C98" s="37"/>
      <c r="D98" s="37"/>
      <c r="E98" s="9"/>
      <c r="F98" s="174"/>
      <c r="G98" s="174"/>
      <c r="H98" s="174"/>
      <c r="I98" s="153"/>
      <c r="J98" s="103"/>
      <c r="K98" s="153"/>
      <c r="L98" s="103"/>
      <c r="M98" s="175"/>
      <c r="N98" s="9"/>
      <c r="O98" s="9"/>
      <c r="P98" s="12"/>
      <c r="Q98" s="104"/>
      <c r="R98" s="12"/>
      <c r="S98" s="38"/>
      <c r="T98" s="37"/>
      <c r="U98" s="104"/>
    </row>
    <row r="99" spans="1:21" x14ac:dyDescent="0.4">
      <c r="A99" s="37"/>
      <c r="B99" s="101"/>
      <c r="C99" s="37"/>
      <c r="D99" s="37"/>
      <c r="E99" s="9"/>
      <c r="F99" s="174"/>
      <c r="G99" s="174"/>
      <c r="H99" s="174"/>
      <c r="I99" s="153"/>
      <c r="J99" s="103"/>
      <c r="K99" s="153"/>
      <c r="L99" s="103"/>
      <c r="M99" s="175"/>
      <c r="N99" s="184"/>
      <c r="O99" s="184"/>
      <c r="P99" s="149"/>
      <c r="Q99" s="104"/>
      <c r="R99" s="12"/>
      <c r="S99" s="38"/>
      <c r="T99" s="37"/>
      <c r="U99" s="104"/>
    </row>
    <row r="100" spans="1:21" x14ac:dyDescent="0.4">
      <c r="A100" s="37"/>
      <c r="B100" s="101"/>
      <c r="C100" s="37"/>
      <c r="D100" s="37"/>
      <c r="E100" s="9"/>
      <c r="F100" s="174"/>
      <c r="G100" s="174"/>
      <c r="H100" s="174"/>
      <c r="I100" s="153"/>
      <c r="J100" s="103"/>
      <c r="K100" s="153"/>
      <c r="L100" s="103"/>
      <c r="M100" s="175"/>
      <c r="N100" s="9"/>
      <c r="O100" s="9"/>
      <c r="P100" s="12"/>
      <c r="Q100" s="104"/>
      <c r="R100" s="12"/>
      <c r="S100" s="38"/>
      <c r="T100" s="37"/>
      <c r="U100" s="104"/>
    </row>
    <row r="101" spans="1:21" x14ac:dyDescent="0.4">
      <c r="A101" s="37"/>
      <c r="B101" s="101"/>
      <c r="C101" s="37"/>
      <c r="D101" s="37"/>
      <c r="E101" s="9"/>
      <c r="F101" s="174"/>
      <c r="G101" s="174"/>
      <c r="H101" s="174"/>
      <c r="I101" s="153"/>
      <c r="J101" s="103"/>
      <c r="K101" s="153"/>
      <c r="L101" s="103"/>
      <c r="M101" s="175"/>
      <c r="N101" s="9"/>
      <c r="O101" s="9"/>
      <c r="P101" s="12"/>
      <c r="Q101" s="104"/>
      <c r="R101" s="12"/>
      <c r="S101" s="38"/>
      <c r="T101" s="37"/>
      <c r="U101" s="104"/>
    </row>
    <row r="102" spans="1:21" x14ac:dyDescent="0.4">
      <c r="A102" s="37"/>
      <c r="B102" s="101"/>
      <c r="C102" s="37"/>
      <c r="D102" s="37"/>
      <c r="E102" s="9"/>
      <c r="F102" s="174"/>
      <c r="G102" s="174"/>
      <c r="H102" s="174"/>
      <c r="I102" s="153"/>
      <c r="J102" s="103"/>
      <c r="K102" s="153"/>
      <c r="L102" s="103"/>
      <c r="M102" s="175"/>
      <c r="N102" s="9"/>
      <c r="O102" s="9"/>
      <c r="P102" s="12"/>
      <c r="Q102" s="104"/>
      <c r="R102" s="12"/>
      <c r="S102" s="38"/>
      <c r="T102" s="37"/>
      <c r="U102" s="104"/>
    </row>
    <row r="103" spans="1:21" x14ac:dyDescent="0.4">
      <c r="A103" s="37"/>
      <c r="B103" s="101"/>
      <c r="C103" s="37"/>
      <c r="D103" s="37"/>
      <c r="E103" s="9"/>
      <c r="F103" s="174"/>
      <c r="G103" s="174"/>
      <c r="H103" s="174"/>
      <c r="I103" s="153"/>
      <c r="J103" s="103"/>
      <c r="K103" s="153"/>
      <c r="L103" s="103"/>
      <c r="M103" s="175"/>
      <c r="N103" s="9"/>
      <c r="O103" s="9"/>
      <c r="P103" s="12"/>
      <c r="Q103" s="104"/>
      <c r="R103" s="12"/>
      <c r="S103" s="38"/>
      <c r="T103" s="37"/>
      <c r="U103" s="104"/>
    </row>
    <row r="104" spans="1:21" x14ac:dyDescent="0.4">
      <c r="A104" s="37"/>
      <c r="B104" s="101"/>
      <c r="C104" s="37"/>
      <c r="D104" s="37"/>
      <c r="E104" s="9"/>
      <c r="F104" s="174"/>
      <c r="G104" s="174"/>
      <c r="H104" s="174"/>
      <c r="I104" s="153"/>
      <c r="J104" s="103"/>
      <c r="K104" s="153"/>
      <c r="L104" s="103"/>
      <c r="M104" s="175"/>
      <c r="N104" s="9"/>
      <c r="O104" s="9"/>
      <c r="P104" s="12"/>
      <c r="Q104" s="104"/>
      <c r="R104" s="12"/>
      <c r="S104" s="38"/>
      <c r="T104" s="37"/>
      <c r="U104" s="104"/>
    </row>
    <row r="105" spans="1:21" x14ac:dyDescent="0.4">
      <c r="A105" s="37"/>
      <c r="B105" s="101"/>
      <c r="C105" s="37"/>
      <c r="D105" s="37"/>
      <c r="E105" s="9"/>
      <c r="F105" s="174"/>
      <c r="G105" s="174"/>
      <c r="H105" s="174"/>
      <c r="I105" s="153"/>
      <c r="J105" s="103"/>
      <c r="K105" s="153"/>
      <c r="L105" s="103"/>
      <c r="M105" s="175"/>
      <c r="N105" s="9"/>
      <c r="O105" s="9"/>
      <c r="P105" s="12"/>
      <c r="Q105" s="104"/>
      <c r="R105" s="12"/>
      <c r="S105" s="38"/>
      <c r="T105" s="37"/>
      <c r="U105" s="104"/>
    </row>
    <row r="106" spans="1:21" x14ac:dyDescent="0.4">
      <c r="A106" s="37"/>
      <c r="B106" s="101"/>
      <c r="C106" s="37"/>
      <c r="D106" s="37"/>
      <c r="E106" s="9"/>
      <c r="F106" s="174"/>
      <c r="G106" s="174"/>
      <c r="H106" s="174"/>
      <c r="I106" s="153"/>
      <c r="J106" s="103"/>
      <c r="K106" s="153"/>
      <c r="L106" s="103"/>
      <c r="M106" s="175"/>
      <c r="N106" s="9"/>
      <c r="O106" s="9"/>
      <c r="P106" s="12"/>
      <c r="Q106" s="104"/>
      <c r="R106" s="12"/>
      <c r="S106" s="38"/>
      <c r="T106" s="37"/>
      <c r="U106" s="104"/>
    </row>
    <row r="107" spans="1:21" x14ac:dyDescent="0.4">
      <c r="A107" s="37"/>
      <c r="B107" s="101"/>
      <c r="C107" s="37"/>
      <c r="D107" s="37"/>
      <c r="E107" s="9"/>
      <c r="F107" s="174"/>
      <c r="G107" s="174"/>
      <c r="H107" s="174"/>
      <c r="I107" s="153"/>
      <c r="J107" s="103"/>
      <c r="K107" s="153"/>
      <c r="L107" s="103"/>
      <c r="M107" s="175"/>
      <c r="N107" s="9"/>
      <c r="O107" s="9"/>
      <c r="P107" s="12"/>
      <c r="Q107" s="104"/>
      <c r="R107" s="12"/>
      <c r="S107" s="38"/>
      <c r="T107" s="37"/>
      <c r="U107" s="104"/>
    </row>
    <row r="108" spans="1:21" x14ac:dyDescent="0.4">
      <c r="A108" s="37"/>
      <c r="B108" s="101"/>
      <c r="C108" s="37"/>
      <c r="D108" s="37"/>
      <c r="E108" s="9"/>
      <c r="F108" s="174"/>
      <c r="G108" s="174"/>
      <c r="H108" s="174"/>
      <c r="I108" s="153"/>
      <c r="J108" s="103"/>
      <c r="K108" s="153"/>
      <c r="L108" s="103"/>
      <c r="M108" s="175"/>
      <c r="N108" s="9"/>
      <c r="O108" s="9"/>
      <c r="P108" s="12"/>
      <c r="Q108" s="104"/>
      <c r="R108" s="12"/>
      <c r="S108" s="38"/>
      <c r="T108" s="37"/>
      <c r="U108" s="104"/>
    </row>
    <row r="109" spans="1:21" x14ac:dyDescent="0.4">
      <c r="A109" s="37"/>
      <c r="B109" s="101"/>
      <c r="C109" s="37"/>
      <c r="D109" s="37"/>
      <c r="E109" s="9"/>
      <c r="F109" s="174"/>
      <c r="G109" s="174"/>
      <c r="H109" s="174"/>
      <c r="I109" s="153"/>
      <c r="J109" s="103"/>
      <c r="K109" s="153"/>
      <c r="L109" s="103"/>
      <c r="M109" s="175"/>
      <c r="N109" s="9"/>
      <c r="O109" s="9"/>
      <c r="P109" s="12"/>
      <c r="Q109" s="104"/>
      <c r="R109" s="12"/>
      <c r="S109" s="38"/>
      <c r="T109" s="37"/>
      <c r="U109" s="104"/>
    </row>
    <row r="110" spans="1:21" x14ac:dyDescent="0.4">
      <c r="A110" s="37"/>
      <c r="B110" s="101"/>
      <c r="C110" s="37"/>
      <c r="D110" s="37"/>
      <c r="E110" s="9"/>
      <c r="F110" s="174"/>
      <c r="G110" s="174"/>
      <c r="H110" s="174"/>
      <c r="I110" s="153"/>
      <c r="J110" s="103"/>
      <c r="K110" s="153"/>
      <c r="L110" s="103"/>
      <c r="M110" s="175"/>
      <c r="N110" s="9"/>
      <c r="O110" s="9"/>
      <c r="P110" s="12"/>
      <c r="Q110" s="104"/>
      <c r="R110" s="12"/>
      <c r="S110" s="38"/>
      <c r="T110" s="37"/>
      <c r="U110" s="104"/>
    </row>
    <row r="111" spans="1:21" x14ac:dyDescent="0.4">
      <c r="A111" s="37"/>
      <c r="B111" s="101"/>
      <c r="C111" s="37"/>
      <c r="D111" s="37"/>
      <c r="E111" s="9"/>
      <c r="F111" s="174"/>
      <c r="G111" s="174"/>
      <c r="H111" s="174"/>
      <c r="I111" s="153"/>
      <c r="J111" s="103"/>
      <c r="K111" s="153"/>
      <c r="L111" s="103"/>
      <c r="M111" s="175"/>
      <c r="N111" s="9"/>
      <c r="O111" s="9"/>
      <c r="P111" s="12"/>
      <c r="Q111" s="104"/>
      <c r="R111" s="12"/>
      <c r="S111" s="38"/>
      <c r="T111" s="37"/>
      <c r="U111" s="104"/>
    </row>
    <row r="112" spans="1:21" x14ac:dyDescent="0.4">
      <c r="A112" s="37"/>
      <c r="B112" s="101"/>
      <c r="C112" s="37"/>
      <c r="D112" s="37"/>
      <c r="E112" s="9"/>
      <c r="F112" s="174"/>
      <c r="G112" s="174"/>
      <c r="H112" s="174"/>
      <c r="I112" s="153"/>
      <c r="J112" s="103"/>
      <c r="K112" s="153"/>
      <c r="L112" s="103"/>
      <c r="M112" s="175"/>
      <c r="N112" s="9"/>
      <c r="O112" s="9"/>
      <c r="P112" s="12"/>
      <c r="Q112" s="104"/>
      <c r="R112" s="12"/>
      <c r="S112" s="38"/>
      <c r="T112" s="37"/>
      <c r="U112" s="104"/>
    </row>
    <row r="113" spans="1:21" x14ac:dyDescent="0.4">
      <c r="A113" s="37"/>
      <c r="B113" s="101"/>
      <c r="C113" s="37"/>
      <c r="D113" s="37"/>
      <c r="E113" s="9"/>
      <c r="F113" s="174"/>
      <c r="G113" s="174"/>
      <c r="H113" s="174"/>
      <c r="I113" s="153"/>
      <c r="J113" s="103"/>
      <c r="K113" s="153"/>
      <c r="L113" s="103"/>
      <c r="M113" s="175"/>
      <c r="N113" s="9"/>
      <c r="O113" s="9"/>
      <c r="P113" s="12"/>
      <c r="Q113" s="104"/>
      <c r="R113" s="12"/>
      <c r="S113" s="38"/>
      <c r="T113" s="37"/>
      <c r="U113" s="104"/>
    </row>
    <row r="114" spans="1:21" x14ac:dyDescent="0.4">
      <c r="A114" s="37"/>
      <c r="B114" s="101"/>
      <c r="C114" s="37"/>
      <c r="D114" s="37"/>
      <c r="E114" s="9"/>
      <c r="F114" s="174"/>
      <c r="G114" s="174"/>
      <c r="H114" s="174"/>
      <c r="I114" s="153"/>
      <c r="J114" s="103"/>
      <c r="K114" s="153"/>
      <c r="L114" s="103"/>
      <c r="M114" s="175"/>
      <c r="N114" s="9"/>
      <c r="O114" s="9"/>
      <c r="P114" s="12"/>
      <c r="Q114" s="104"/>
      <c r="R114" s="12"/>
      <c r="S114" s="38"/>
      <c r="T114" s="37"/>
      <c r="U114" s="104"/>
    </row>
    <row r="115" spans="1:21" x14ac:dyDescent="0.4">
      <c r="A115" s="37"/>
      <c r="B115" s="101"/>
      <c r="C115" s="37"/>
      <c r="D115" s="37"/>
      <c r="E115" s="9"/>
      <c r="F115" s="174"/>
      <c r="G115" s="174"/>
      <c r="H115" s="174"/>
      <c r="I115" s="153"/>
      <c r="J115" s="103"/>
      <c r="K115" s="153"/>
      <c r="L115" s="103"/>
      <c r="M115" s="175"/>
      <c r="N115" s="9"/>
      <c r="O115" s="9"/>
      <c r="P115" s="12"/>
      <c r="Q115" s="104"/>
      <c r="R115" s="12"/>
      <c r="S115" s="38"/>
      <c r="T115" s="37"/>
      <c r="U115" s="104"/>
    </row>
    <row r="116" spans="1:21" x14ac:dyDescent="0.4">
      <c r="A116" s="37"/>
      <c r="B116" s="101"/>
      <c r="C116" s="37"/>
      <c r="D116" s="37"/>
      <c r="E116" s="9"/>
      <c r="F116" s="174"/>
      <c r="G116" s="174"/>
      <c r="H116" s="174"/>
      <c r="I116" s="153"/>
      <c r="J116" s="103"/>
      <c r="K116" s="153"/>
      <c r="L116" s="103"/>
      <c r="M116" s="175"/>
      <c r="N116" s="9"/>
      <c r="O116" s="9"/>
      <c r="P116" s="12"/>
      <c r="Q116" s="104"/>
      <c r="R116" s="12"/>
      <c r="S116" s="38"/>
      <c r="T116" s="37"/>
      <c r="U116" s="104"/>
    </row>
    <row r="117" spans="1:21" x14ac:dyDescent="0.4">
      <c r="A117" s="37"/>
      <c r="B117" s="101"/>
      <c r="C117" s="37"/>
      <c r="D117" s="37"/>
      <c r="E117" s="9"/>
      <c r="F117" s="174"/>
      <c r="G117" s="174"/>
      <c r="H117" s="174"/>
      <c r="I117" s="153"/>
      <c r="J117" s="103"/>
      <c r="K117" s="153"/>
      <c r="L117" s="103"/>
      <c r="M117" s="175"/>
      <c r="N117" s="9"/>
      <c r="O117" s="9"/>
      <c r="P117" s="12"/>
      <c r="Q117" s="104"/>
      <c r="R117" s="12"/>
      <c r="S117" s="38"/>
      <c r="T117" s="37"/>
      <c r="U117" s="104"/>
    </row>
    <row r="118" spans="1:21" x14ac:dyDescent="0.4">
      <c r="A118" s="37"/>
      <c r="B118" s="101"/>
      <c r="C118" s="37"/>
      <c r="D118" s="37"/>
      <c r="E118" s="9"/>
      <c r="F118" s="174"/>
      <c r="G118" s="174"/>
      <c r="H118" s="174"/>
      <c r="I118" s="153"/>
      <c r="J118" s="103"/>
      <c r="K118" s="153"/>
      <c r="L118" s="103"/>
      <c r="M118" s="175"/>
      <c r="N118" s="9"/>
      <c r="O118" s="9"/>
      <c r="P118" s="12"/>
      <c r="Q118" s="104"/>
      <c r="R118" s="12"/>
      <c r="S118" s="38"/>
      <c r="T118" s="37"/>
      <c r="U118" s="104"/>
    </row>
    <row r="119" spans="1:21" x14ac:dyDescent="0.4">
      <c r="A119" s="37"/>
      <c r="B119" s="101"/>
      <c r="C119" s="37"/>
      <c r="D119" s="37"/>
      <c r="E119" s="9"/>
      <c r="F119" s="174"/>
      <c r="G119" s="174"/>
      <c r="H119" s="174"/>
      <c r="I119" s="153"/>
      <c r="J119" s="103"/>
      <c r="K119" s="153"/>
      <c r="L119" s="103"/>
      <c r="M119" s="175"/>
      <c r="N119" s="184"/>
      <c r="O119" s="184"/>
      <c r="P119" s="12"/>
      <c r="Q119" s="104"/>
      <c r="R119" s="12"/>
      <c r="S119" s="38"/>
      <c r="T119" s="37"/>
      <c r="U119" s="104"/>
    </row>
    <row r="120" spans="1:21" x14ac:dyDescent="0.4">
      <c r="A120" s="37"/>
      <c r="B120" s="101"/>
      <c r="C120" s="37"/>
      <c r="D120" s="37"/>
      <c r="E120" s="9"/>
      <c r="F120" s="174"/>
      <c r="G120" s="174"/>
      <c r="H120" s="174"/>
      <c r="I120" s="153"/>
      <c r="J120" s="103"/>
      <c r="K120" s="153"/>
      <c r="L120" s="103"/>
      <c r="M120" s="175"/>
      <c r="N120" s="9"/>
      <c r="O120" s="9"/>
      <c r="P120" s="12"/>
      <c r="Q120" s="104"/>
      <c r="R120" s="12"/>
      <c r="S120" s="38"/>
      <c r="T120" s="37"/>
      <c r="U120" s="104"/>
    </row>
    <row r="121" spans="1:21" x14ac:dyDescent="0.4">
      <c r="A121" s="37"/>
      <c r="B121" s="101"/>
      <c r="C121" s="37"/>
      <c r="D121" s="37"/>
      <c r="E121" s="9"/>
      <c r="F121" s="174"/>
      <c r="G121" s="174"/>
      <c r="H121" s="174"/>
      <c r="I121" s="153"/>
      <c r="J121" s="103"/>
      <c r="K121" s="153"/>
      <c r="L121" s="103"/>
      <c r="M121" s="175"/>
      <c r="N121" s="9"/>
      <c r="O121" s="9"/>
      <c r="P121" s="12"/>
      <c r="Q121" s="104"/>
      <c r="R121" s="12"/>
      <c r="S121" s="38"/>
      <c r="T121" s="37"/>
      <c r="U121" s="104"/>
    </row>
    <row r="122" spans="1:21" x14ac:dyDescent="0.4">
      <c r="A122" s="37"/>
      <c r="B122" s="101"/>
      <c r="C122" s="37"/>
      <c r="D122" s="37"/>
      <c r="E122" s="9"/>
      <c r="F122" s="174"/>
      <c r="G122" s="174"/>
      <c r="H122" s="174"/>
      <c r="I122" s="153"/>
      <c r="J122" s="103"/>
      <c r="K122" s="153"/>
      <c r="L122" s="103"/>
      <c r="M122" s="175"/>
      <c r="N122" s="9"/>
      <c r="O122" s="9"/>
      <c r="P122" s="12"/>
      <c r="Q122" s="104"/>
      <c r="R122" s="12"/>
      <c r="S122" s="38"/>
      <c r="T122" s="37"/>
      <c r="U122" s="104"/>
    </row>
    <row r="123" spans="1:21" x14ac:dyDescent="0.4">
      <c r="A123" s="37"/>
      <c r="B123" s="101"/>
      <c r="C123" s="37"/>
      <c r="D123" s="37"/>
      <c r="E123" s="9"/>
      <c r="F123" s="174"/>
      <c r="G123" s="174"/>
      <c r="H123" s="174"/>
      <c r="I123" s="153"/>
      <c r="J123" s="103"/>
      <c r="K123" s="153"/>
      <c r="L123" s="103"/>
      <c r="M123" s="175"/>
      <c r="N123" s="9"/>
      <c r="O123" s="9"/>
      <c r="P123" s="12"/>
      <c r="Q123" s="104"/>
      <c r="R123" s="12"/>
      <c r="S123" s="38"/>
      <c r="T123" s="37"/>
      <c r="U123" s="104"/>
    </row>
    <row r="124" spans="1:21" x14ac:dyDescent="0.4">
      <c r="A124" s="37"/>
      <c r="B124" s="101"/>
      <c r="C124" s="37"/>
      <c r="D124" s="37"/>
      <c r="E124" s="9"/>
      <c r="F124" s="174"/>
      <c r="G124" s="174"/>
      <c r="H124" s="174"/>
      <c r="I124" s="153"/>
      <c r="J124" s="103"/>
      <c r="K124" s="153"/>
      <c r="L124" s="103"/>
      <c r="M124" s="175"/>
      <c r="N124" s="9"/>
      <c r="O124" s="9"/>
      <c r="P124" s="12"/>
      <c r="Q124" s="104"/>
      <c r="R124" s="12"/>
      <c r="S124" s="38"/>
      <c r="T124" s="37"/>
      <c r="U124" s="104"/>
    </row>
    <row r="125" spans="1:21" x14ac:dyDescent="0.4">
      <c r="A125" s="37"/>
      <c r="B125" s="101"/>
      <c r="C125" s="37"/>
      <c r="D125" s="37"/>
      <c r="E125" s="9"/>
      <c r="F125" s="174"/>
      <c r="G125" s="174"/>
      <c r="H125" s="174"/>
      <c r="I125" s="153"/>
      <c r="J125" s="103"/>
      <c r="K125" s="153"/>
      <c r="L125" s="103"/>
      <c r="M125" s="175"/>
      <c r="N125" s="9"/>
      <c r="O125" s="9"/>
      <c r="P125" s="12"/>
      <c r="Q125" s="104"/>
      <c r="R125" s="12"/>
      <c r="S125" s="38"/>
      <c r="T125" s="37"/>
      <c r="U125" s="104"/>
    </row>
    <row r="126" spans="1:21" x14ac:dyDescent="0.4">
      <c r="A126" s="37"/>
      <c r="B126" s="101"/>
      <c r="C126" s="37"/>
      <c r="D126" s="37"/>
      <c r="E126" s="9"/>
      <c r="F126" s="174"/>
      <c r="G126" s="174"/>
      <c r="H126" s="174"/>
      <c r="I126" s="153"/>
      <c r="J126" s="103"/>
      <c r="K126" s="153"/>
      <c r="L126" s="103"/>
      <c r="M126" s="175"/>
      <c r="N126" s="9"/>
      <c r="O126" s="9"/>
      <c r="P126" s="12"/>
      <c r="Q126" s="104"/>
      <c r="R126" s="12"/>
      <c r="S126" s="38"/>
      <c r="T126" s="37"/>
      <c r="U126" s="104"/>
    </row>
    <row r="127" spans="1:21" x14ac:dyDescent="0.4">
      <c r="A127" s="37"/>
      <c r="B127" s="101"/>
      <c r="C127" s="37"/>
      <c r="D127" s="37"/>
      <c r="E127" s="9"/>
      <c r="F127" s="174"/>
      <c r="G127" s="174"/>
      <c r="H127" s="174"/>
      <c r="I127" s="153"/>
      <c r="J127" s="103"/>
      <c r="K127" s="153"/>
      <c r="L127" s="103"/>
      <c r="M127" s="175"/>
      <c r="N127" s="9"/>
      <c r="O127" s="9"/>
      <c r="P127" s="12"/>
      <c r="Q127" s="104"/>
      <c r="R127" s="12"/>
      <c r="S127" s="38"/>
      <c r="T127" s="37"/>
      <c r="U127" s="104"/>
    </row>
    <row r="128" spans="1:21" x14ac:dyDescent="0.4">
      <c r="A128" s="37"/>
      <c r="B128" s="101"/>
      <c r="C128" s="37"/>
      <c r="D128" s="37"/>
      <c r="E128" s="9"/>
      <c r="F128" s="174"/>
      <c r="G128" s="174"/>
      <c r="H128" s="174"/>
      <c r="I128" s="153"/>
      <c r="J128" s="103"/>
      <c r="K128" s="153"/>
      <c r="L128" s="103"/>
      <c r="M128" s="175"/>
      <c r="N128" s="9"/>
      <c r="O128" s="9"/>
      <c r="P128" s="12"/>
      <c r="Q128" s="104"/>
      <c r="R128" s="12"/>
      <c r="S128" s="38"/>
      <c r="T128" s="37"/>
      <c r="U128" s="104"/>
    </row>
    <row r="129" spans="1:21" x14ac:dyDescent="0.4">
      <c r="A129" s="37"/>
      <c r="B129" s="101"/>
      <c r="C129" s="37"/>
      <c r="D129" s="37"/>
      <c r="E129" s="9"/>
      <c r="F129" s="174"/>
      <c r="G129" s="174"/>
      <c r="H129" s="174"/>
      <c r="I129" s="153"/>
      <c r="J129" s="103"/>
      <c r="K129" s="153"/>
      <c r="L129" s="103"/>
      <c r="M129" s="175"/>
      <c r="N129" s="9"/>
      <c r="O129" s="9"/>
      <c r="P129" s="12"/>
      <c r="Q129" s="104"/>
      <c r="R129" s="12"/>
      <c r="S129" s="38"/>
      <c r="T129" s="37"/>
      <c r="U129" s="104"/>
    </row>
    <row r="130" spans="1:21" x14ac:dyDescent="0.4">
      <c r="A130" s="37"/>
      <c r="B130" s="101"/>
      <c r="C130" s="37"/>
      <c r="D130" s="37"/>
      <c r="E130" s="9"/>
      <c r="F130" s="174"/>
      <c r="G130" s="174"/>
      <c r="H130" s="174"/>
      <c r="I130" s="153"/>
      <c r="J130" s="103"/>
      <c r="K130" s="153"/>
      <c r="L130" s="103"/>
      <c r="M130" s="175"/>
      <c r="N130" s="9"/>
      <c r="O130" s="9"/>
      <c r="P130" s="12"/>
      <c r="Q130" s="104"/>
      <c r="R130" s="12"/>
      <c r="S130" s="38"/>
      <c r="T130" s="37"/>
      <c r="U130" s="104"/>
    </row>
    <row r="131" spans="1:21" x14ac:dyDescent="0.4">
      <c r="A131" s="37"/>
      <c r="B131" s="101"/>
      <c r="C131" s="37"/>
      <c r="D131" s="37"/>
      <c r="E131" s="9"/>
      <c r="F131" s="174"/>
      <c r="G131" s="174"/>
      <c r="H131" s="174"/>
      <c r="I131" s="153"/>
      <c r="J131" s="103"/>
      <c r="K131" s="153"/>
      <c r="L131" s="103"/>
      <c r="M131" s="175"/>
      <c r="N131" s="9"/>
      <c r="O131" s="9"/>
      <c r="P131" s="12"/>
      <c r="Q131" s="104"/>
      <c r="R131" s="12"/>
      <c r="S131" s="38"/>
      <c r="T131" s="37"/>
      <c r="U131" s="104"/>
    </row>
    <row r="132" spans="1:21" x14ac:dyDescent="0.4">
      <c r="A132" s="37"/>
      <c r="B132" s="101"/>
      <c r="C132" s="37"/>
      <c r="D132" s="37"/>
      <c r="E132" s="9"/>
      <c r="F132" s="174"/>
      <c r="G132" s="174"/>
      <c r="H132" s="174"/>
      <c r="I132" s="153"/>
      <c r="J132" s="103"/>
      <c r="K132" s="153"/>
      <c r="L132" s="103"/>
      <c r="M132" s="175"/>
      <c r="N132" s="9"/>
      <c r="O132" s="9"/>
      <c r="P132" s="12"/>
      <c r="Q132" s="104"/>
      <c r="R132" s="12"/>
      <c r="S132" s="38"/>
      <c r="T132" s="37"/>
      <c r="U132" s="104"/>
    </row>
    <row r="133" spans="1:21" x14ac:dyDescent="0.4">
      <c r="A133" s="37"/>
      <c r="B133" s="101"/>
      <c r="C133" s="37"/>
      <c r="D133" s="37"/>
      <c r="E133" s="9"/>
      <c r="F133" s="174"/>
      <c r="G133" s="174"/>
      <c r="H133" s="174"/>
      <c r="I133" s="153"/>
      <c r="J133" s="103"/>
      <c r="K133" s="153"/>
      <c r="L133" s="103"/>
      <c r="M133" s="175"/>
      <c r="N133" s="184"/>
      <c r="O133" s="184"/>
      <c r="P133" s="149"/>
      <c r="Q133" s="188"/>
      <c r="R133" s="149"/>
      <c r="S133" s="189"/>
      <c r="T133" s="37"/>
      <c r="U133" s="104"/>
    </row>
    <row r="134" spans="1:21" x14ac:dyDescent="0.4">
      <c r="A134" s="37"/>
      <c r="B134" s="101"/>
      <c r="C134" s="37"/>
      <c r="D134" s="37"/>
      <c r="E134" s="9"/>
      <c r="F134" s="174"/>
      <c r="G134" s="174"/>
      <c r="H134" s="174"/>
      <c r="I134" s="153"/>
      <c r="J134" s="103"/>
      <c r="K134" s="153"/>
      <c r="L134" s="103"/>
      <c r="M134" s="175"/>
      <c r="N134" s="9"/>
      <c r="O134" s="9"/>
      <c r="P134" s="12"/>
      <c r="Q134" s="104"/>
      <c r="R134" s="12"/>
      <c r="S134" s="38"/>
      <c r="T134" s="37"/>
      <c r="U134" s="104"/>
    </row>
    <row r="135" spans="1:21" x14ac:dyDescent="0.4">
      <c r="A135" s="37"/>
      <c r="B135" s="101"/>
      <c r="C135" s="37"/>
      <c r="D135" s="37"/>
      <c r="E135" s="9"/>
      <c r="F135" s="174"/>
      <c r="G135" s="174"/>
      <c r="H135" s="174"/>
      <c r="I135" s="153"/>
      <c r="J135" s="103"/>
      <c r="K135" s="153"/>
      <c r="L135" s="103"/>
      <c r="M135" s="175"/>
      <c r="N135" s="9"/>
      <c r="O135" s="9"/>
      <c r="P135" s="12"/>
      <c r="Q135" s="104"/>
      <c r="R135" s="12"/>
      <c r="S135" s="38"/>
      <c r="T135" s="37"/>
      <c r="U135" s="104"/>
    </row>
    <row r="136" spans="1:21" x14ac:dyDescent="0.4">
      <c r="A136" s="37"/>
      <c r="B136" s="101"/>
      <c r="C136" s="37"/>
      <c r="D136" s="37"/>
      <c r="E136" s="9"/>
      <c r="F136" s="174"/>
      <c r="G136" s="174"/>
      <c r="H136" s="174"/>
      <c r="I136" s="153"/>
      <c r="J136" s="103"/>
      <c r="K136" s="153"/>
      <c r="L136" s="103"/>
      <c r="M136" s="175"/>
      <c r="N136" s="9"/>
      <c r="O136" s="9"/>
      <c r="P136" s="12"/>
      <c r="Q136" s="104"/>
      <c r="R136" s="12"/>
      <c r="S136" s="38"/>
      <c r="T136" s="37"/>
      <c r="U136" s="104"/>
    </row>
    <row r="137" spans="1:21" s="73" customFormat="1" x14ac:dyDescent="0.4">
      <c r="A137" s="128"/>
      <c r="B137" s="128"/>
      <c r="C137" s="128"/>
      <c r="D137" s="128"/>
      <c r="N137"/>
      <c r="O137" s="99"/>
      <c r="T137" s="113"/>
    </row>
    <row r="138" spans="1:21" s="73" customFormat="1" x14ac:dyDescent="0.4">
      <c r="A138" s="128"/>
      <c r="B138" s="128"/>
      <c r="C138" s="128"/>
      <c r="D138" s="128"/>
      <c r="N138"/>
      <c r="T138" s="113"/>
    </row>
    <row r="139" spans="1:21" s="73" customFormat="1" x14ac:dyDescent="0.4">
      <c r="A139" s="128"/>
      <c r="B139" s="128"/>
      <c r="C139" s="128"/>
      <c r="D139" s="128"/>
      <c r="N139"/>
      <c r="T139" s="113"/>
    </row>
    <row r="140" spans="1:21" s="73" customFormat="1" x14ac:dyDescent="0.4">
      <c r="A140" s="128"/>
      <c r="B140" s="128"/>
      <c r="C140" s="128"/>
      <c r="D140" s="128"/>
      <c r="T140" s="113"/>
    </row>
    <row r="141" spans="1:21" s="73" customFormat="1" x14ac:dyDescent="0.4">
      <c r="A141" s="128"/>
      <c r="B141" s="73" t="s">
        <v>2</v>
      </c>
      <c r="C141" s="73" t="s">
        <v>777</v>
      </c>
      <c r="D141" s="73">
        <v>240</v>
      </c>
      <c r="F141"/>
      <c r="G141"/>
      <c r="H141"/>
      <c r="I141"/>
      <c r="J141"/>
      <c r="K141"/>
      <c r="L141"/>
      <c r="M141"/>
      <c r="N141"/>
      <c r="O141"/>
      <c r="P141"/>
      <c r="Q141"/>
      <c r="R141"/>
      <c r="S141"/>
    </row>
    <row r="142" spans="1:21" s="73" customFormat="1" x14ac:dyDescent="0.4">
      <c r="A142" s="128"/>
      <c r="B142" s="73" t="s">
        <v>14</v>
      </c>
      <c r="C142" s="73" t="s">
        <v>2629</v>
      </c>
      <c r="D142" s="73">
        <v>480</v>
      </c>
      <c r="F142"/>
      <c r="G142"/>
      <c r="H142"/>
      <c r="I142"/>
      <c r="J142"/>
      <c r="K142"/>
      <c r="L142"/>
      <c r="M142"/>
      <c r="N142"/>
      <c r="O142"/>
      <c r="P142"/>
      <c r="Q142"/>
      <c r="R142"/>
      <c r="S142"/>
    </row>
    <row r="143" spans="1:21" s="73" customFormat="1" x14ac:dyDescent="0.4">
      <c r="A143" s="128"/>
      <c r="B143" s="73" t="s">
        <v>158</v>
      </c>
      <c r="C143" s="73" t="s">
        <v>778</v>
      </c>
      <c r="D143" s="73">
        <v>2880</v>
      </c>
      <c r="F143"/>
      <c r="G143"/>
      <c r="H143"/>
      <c r="I143"/>
      <c r="J143"/>
      <c r="K143"/>
      <c r="L143"/>
      <c r="M143"/>
      <c r="N143"/>
      <c r="O143"/>
      <c r="P143"/>
      <c r="Q143"/>
      <c r="R143"/>
      <c r="S143"/>
    </row>
    <row r="144" spans="1:21" x14ac:dyDescent="0.4">
      <c r="A144" s="73"/>
      <c r="E144" s="73"/>
    </row>
    <row r="145" spans="2:4" x14ac:dyDescent="0.4">
      <c r="B145" s="128"/>
      <c r="C145" s="128"/>
      <c r="D145" s="128"/>
    </row>
    <row r="146" spans="2:4" x14ac:dyDescent="0.4">
      <c r="B146" s="128"/>
      <c r="C146" s="128"/>
      <c r="D146" s="128"/>
    </row>
  </sheetData>
  <autoFilter ref="A1:U136" xr:uid="{00000000-0001-0000-2300-000000000000}">
    <sortState xmlns:xlrd2="http://schemas.microsoft.com/office/spreadsheetml/2017/richdata2" ref="A2:U136">
      <sortCondition ref="F1:F136"/>
    </sortState>
  </autoFilter>
  <conditionalFormatting sqref="F2:L136">
    <cfRule type="cellIs" dxfId="9" priority="1" operator="equal">
      <formula>"NOK"</formula>
    </cfRule>
  </conditionalFormatting>
  <pageMargins left="0.7" right="0.7" top="0.75" bottom="0.75" header="0.3" footer="0.3"/>
  <pageSetup paperSize="9" orientation="portrait" horizontalDpi="4294967295" verticalDpi="4294967295"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8"/>
  <dimension ref="A1:U153"/>
  <sheetViews>
    <sheetView zoomScaleNormal="100" workbookViewId="0">
      <selection activeCell="A2" sqref="A2:XFD143"/>
    </sheetView>
  </sheetViews>
  <sheetFormatPr baseColWidth="10" defaultColWidth="11.4609375" defaultRowHeight="14.6" x14ac:dyDescent="0.4"/>
  <cols>
    <col min="1" max="1" width="5.765625" customWidth="1"/>
    <col min="2" max="2" width="9.765625" bestFit="1" customWidth="1"/>
    <col min="3" max="3" width="6.765625" bestFit="1" customWidth="1"/>
    <col min="4" max="4" width="9.23046875" bestFit="1" customWidth="1"/>
    <col min="5" max="5" width="38.07421875" customWidth="1"/>
    <col min="6" max="6" width="13" customWidth="1"/>
    <col min="7" max="7" width="16.4609375" customWidth="1"/>
    <col min="8" max="8" width="13" customWidth="1"/>
    <col min="9" max="9" width="14.53515625" customWidth="1"/>
    <col min="10" max="12" width="10.23046875" customWidth="1"/>
    <col min="13" max="13" width="57.23046875" customWidth="1"/>
    <col min="14" max="14" width="60.23046875" customWidth="1"/>
    <col min="15" max="15" width="40" customWidth="1"/>
    <col min="16" max="16" width="13.23046875" style="120" customWidth="1"/>
    <col min="17" max="17" width="7.23046875" customWidth="1"/>
    <col min="18" max="18" width="12.23046875" customWidth="1"/>
    <col min="19" max="19" width="5.23046875" bestFit="1" customWidth="1"/>
    <col min="20" max="20" width="8.23046875" bestFit="1" customWidth="1"/>
  </cols>
  <sheetData>
    <row r="1" spans="1:21" x14ac:dyDescent="0.4">
      <c r="A1" s="7" t="s">
        <v>0</v>
      </c>
      <c r="B1" s="6"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6" t="s">
        <v>684</v>
      </c>
      <c r="R1" s="7" t="s">
        <v>659</v>
      </c>
      <c r="S1" s="6" t="s">
        <v>888</v>
      </c>
      <c r="T1" s="156" t="s">
        <v>2627</v>
      </c>
      <c r="U1" s="156" t="s">
        <v>2630</v>
      </c>
    </row>
    <row r="2" spans="1:21" x14ac:dyDescent="0.4">
      <c r="A2" s="37"/>
      <c r="B2" s="134"/>
      <c r="C2" s="37"/>
      <c r="D2" s="133"/>
      <c r="E2" s="12"/>
      <c r="F2" s="102"/>
      <c r="G2" s="102"/>
      <c r="H2" s="102"/>
      <c r="I2" s="153"/>
      <c r="J2" s="103"/>
      <c r="K2" s="153"/>
      <c r="L2" s="103"/>
      <c r="M2" s="155"/>
      <c r="N2" s="100"/>
      <c r="O2" s="139"/>
      <c r="P2" s="37"/>
      <c r="Q2" s="37"/>
      <c r="R2" s="12"/>
      <c r="S2" s="38"/>
      <c r="T2" s="37"/>
      <c r="U2" s="37"/>
    </row>
    <row r="3" spans="1:21" x14ac:dyDescent="0.4">
      <c r="A3" s="37"/>
      <c r="B3" s="134"/>
      <c r="C3" s="37"/>
      <c r="D3" s="133"/>
      <c r="E3" s="12"/>
      <c r="F3" s="102"/>
      <c r="G3" s="102"/>
      <c r="H3" s="102"/>
      <c r="I3" s="153"/>
      <c r="J3" s="103"/>
      <c r="K3" s="153"/>
      <c r="L3" s="103"/>
      <c r="M3" s="155"/>
      <c r="N3" s="100"/>
      <c r="O3" s="139"/>
      <c r="P3" s="37"/>
      <c r="Q3" s="37"/>
      <c r="R3" s="12"/>
      <c r="S3" s="38"/>
      <c r="T3" s="37"/>
      <c r="U3" s="37"/>
    </row>
    <row r="4" spans="1:21" x14ac:dyDescent="0.4">
      <c r="A4" s="37"/>
      <c r="B4" s="37"/>
      <c r="C4" s="37"/>
      <c r="D4" s="133"/>
      <c r="E4" s="12"/>
      <c r="F4" s="102"/>
      <c r="G4" s="102"/>
      <c r="H4" s="102"/>
      <c r="I4" s="153"/>
      <c r="J4" s="103"/>
      <c r="K4" s="153"/>
      <c r="L4" s="103"/>
      <c r="M4" s="12"/>
      <c r="N4" s="9"/>
      <c r="O4" s="9"/>
      <c r="P4" s="37"/>
      <c r="Q4" s="37"/>
      <c r="R4" s="12"/>
      <c r="S4" s="38"/>
      <c r="T4" s="37"/>
      <c r="U4" s="37"/>
    </row>
    <row r="5" spans="1:21" x14ac:dyDescent="0.4">
      <c r="A5" s="37"/>
      <c r="B5" s="134"/>
      <c r="C5" s="37"/>
      <c r="D5" s="133"/>
      <c r="E5" s="12"/>
      <c r="F5" s="102"/>
      <c r="G5" s="102"/>
      <c r="H5" s="102"/>
      <c r="I5" s="153"/>
      <c r="J5" s="103"/>
      <c r="K5" s="153"/>
      <c r="L5" s="103"/>
      <c r="M5" s="155"/>
      <c r="N5" s="100"/>
      <c r="O5" s="139"/>
      <c r="P5" s="37"/>
      <c r="Q5" s="37"/>
      <c r="R5" s="12"/>
      <c r="S5" s="38"/>
      <c r="T5" s="37"/>
      <c r="U5" s="37"/>
    </row>
    <row r="6" spans="1:21" x14ac:dyDescent="0.4">
      <c r="A6" s="37"/>
      <c r="B6" s="134"/>
      <c r="C6" s="37"/>
      <c r="D6" s="133"/>
      <c r="E6" s="12"/>
      <c r="F6" s="102"/>
      <c r="G6" s="102"/>
      <c r="H6" s="102"/>
      <c r="I6" s="153"/>
      <c r="J6" s="103"/>
      <c r="K6" s="153"/>
      <c r="L6" s="103"/>
      <c r="M6" s="155"/>
      <c r="N6" s="100"/>
      <c r="O6" s="139"/>
      <c r="P6" s="37"/>
      <c r="Q6" s="37"/>
      <c r="R6" s="12"/>
      <c r="S6" s="38"/>
      <c r="T6" s="37"/>
      <c r="U6" s="37"/>
    </row>
    <row r="7" spans="1:21" x14ac:dyDescent="0.4">
      <c r="A7" s="37"/>
      <c r="B7" s="134"/>
      <c r="C7" s="37"/>
      <c r="D7" s="133"/>
      <c r="E7" s="12"/>
      <c r="F7" s="102"/>
      <c r="G7" s="102"/>
      <c r="H7" s="102"/>
      <c r="I7" s="153"/>
      <c r="J7" s="103"/>
      <c r="K7" s="153"/>
      <c r="L7" s="103"/>
      <c r="M7" s="155"/>
      <c r="N7" s="9"/>
      <c r="O7" s="9"/>
      <c r="P7" s="37"/>
      <c r="Q7" s="37"/>
      <c r="R7" s="12"/>
      <c r="S7" s="38"/>
      <c r="T7" s="37"/>
      <c r="U7" s="37"/>
    </row>
    <row r="8" spans="1:21" x14ac:dyDescent="0.4">
      <c r="A8" s="37"/>
      <c r="B8" s="134"/>
      <c r="C8" s="37"/>
      <c r="D8" s="133"/>
      <c r="E8" s="12"/>
      <c r="F8" s="102"/>
      <c r="G8" s="102"/>
      <c r="H8" s="102"/>
      <c r="I8" s="153"/>
      <c r="J8" s="103"/>
      <c r="K8" s="153"/>
      <c r="L8" s="103"/>
      <c r="M8" s="155"/>
      <c r="N8" s="100"/>
      <c r="O8" s="139"/>
      <c r="P8" s="37"/>
      <c r="Q8" s="37"/>
      <c r="R8" s="12"/>
      <c r="S8" s="38"/>
      <c r="T8" s="37"/>
      <c r="U8" s="37"/>
    </row>
    <row r="9" spans="1:21" x14ac:dyDescent="0.4">
      <c r="A9" s="37"/>
      <c r="B9" s="134"/>
      <c r="C9" s="37"/>
      <c r="D9" s="133"/>
      <c r="E9" s="12"/>
      <c r="F9" s="102"/>
      <c r="G9" s="102"/>
      <c r="H9" s="102"/>
      <c r="I9" s="153"/>
      <c r="J9" s="103"/>
      <c r="K9" s="153"/>
      <c r="L9" s="103"/>
      <c r="M9" s="155"/>
      <c r="N9" s="100"/>
      <c r="O9" s="139"/>
      <c r="P9" s="37"/>
      <c r="Q9" s="37"/>
      <c r="R9" s="12"/>
      <c r="S9" s="38"/>
      <c r="T9" s="37"/>
      <c r="U9" s="37"/>
    </row>
    <row r="10" spans="1:21" x14ac:dyDescent="0.4">
      <c r="A10" s="37"/>
      <c r="B10" s="37"/>
      <c r="C10" s="37"/>
      <c r="D10" s="133"/>
      <c r="E10" s="12"/>
      <c r="F10" s="102"/>
      <c r="G10" s="102"/>
      <c r="H10" s="102"/>
      <c r="I10" s="153"/>
      <c r="J10" s="103"/>
      <c r="K10" s="153"/>
      <c r="L10" s="103"/>
      <c r="M10" s="12"/>
      <c r="N10" s="9"/>
      <c r="O10" s="139"/>
      <c r="P10" s="37"/>
      <c r="Q10" s="37"/>
      <c r="R10" s="12"/>
      <c r="S10" s="38"/>
      <c r="T10" s="37"/>
      <c r="U10" s="37"/>
    </row>
    <row r="11" spans="1:21" x14ac:dyDescent="0.4">
      <c r="A11" s="37"/>
      <c r="B11" s="134"/>
      <c r="C11" s="37"/>
      <c r="D11" s="133"/>
      <c r="E11" s="9"/>
      <c r="F11" s="102"/>
      <c r="G11" s="102"/>
      <c r="H11" s="102"/>
      <c r="I11" s="153"/>
      <c r="J11" s="103"/>
      <c r="K11" s="153"/>
      <c r="L11" s="103"/>
      <c r="M11" s="155"/>
      <c r="N11" s="100"/>
      <c r="O11" s="139"/>
      <c r="P11" s="37"/>
      <c r="Q11" s="37"/>
      <c r="R11" s="12"/>
      <c r="S11" s="38"/>
      <c r="T11" s="37"/>
      <c r="U11" s="37"/>
    </row>
    <row r="12" spans="1:21" x14ac:dyDescent="0.4">
      <c r="A12" s="37"/>
      <c r="B12" s="134"/>
      <c r="C12" s="37"/>
      <c r="D12" s="133"/>
      <c r="E12" s="12"/>
      <c r="F12" s="102"/>
      <c r="G12" s="102"/>
      <c r="H12" s="102"/>
      <c r="I12" s="153"/>
      <c r="J12" s="103"/>
      <c r="K12" s="153"/>
      <c r="L12" s="103"/>
      <c r="M12" s="155"/>
      <c r="N12" s="100"/>
      <c r="O12" s="139"/>
      <c r="P12" s="37"/>
      <c r="Q12" s="37"/>
      <c r="R12" s="12"/>
      <c r="S12" s="38"/>
      <c r="T12" s="37"/>
      <c r="U12" s="37"/>
    </row>
    <row r="13" spans="1:21" x14ac:dyDescent="0.4">
      <c r="A13" s="37"/>
      <c r="B13" s="134"/>
      <c r="C13" s="37"/>
      <c r="D13" s="133"/>
      <c r="E13" s="12"/>
      <c r="F13" s="102"/>
      <c r="G13" s="102"/>
      <c r="H13" s="102"/>
      <c r="I13" s="153"/>
      <c r="J13" s="103"/>
      <c r="K13" s="153"/>
      <c r="L13" s="103"/>
      <c r="M13" s="155"/>
      <c r="N13" s="100"/>
      <c r="O13" s="139"/>
      <c r="P13" s="37"/>
      <c r="Q13" s="37"/>
      <c r="R13" s="12"/>
      <c r="S13" s="38"/>
      <c r="T13" s="37"/>
      <c r="U13" s="37"/>
    </row>
    <row r="14" spans="1:21" x14ac:dyDescent="0.4">
      <c r="A14" s="37"/>
      <c r="B14" s="134"/>
      <c r="C14" s="37"/>
      <c r="D14" s="133"/>
      <c r="E14" s="12"/>
      <c r="F14" s="102"/>
      <c r="G14" s="102"/>
      <c r="H14" s="102"/>
      <c r="I14" s="153"/>
      <c r="J14" s="103"/>
      <c r="K14" s="153"/>
      <c r="L14" s="103"/>
      <c r="M14" s="155"/>
      <c r="N14" s="100"/>
      <c r="O14" s="139"/>
      <c r="P14" s="37"/>
      <c r="Q14" s="37"/>
      <c r="R14" s="12"/>
      <c r="S14" s="38"/>
      <c r="T14" s="37"/>
      <c r="U14" s="37"/>
    </row>
    <row r="15" spans="1:21" x14ac:dyDescent="0.4">
      <c r="A15" s="37"/>
      <c r="B15" s="134"/>
      <c r="C15" s="37"/>
      <c r="D15" s="133"/>
      <c r="E15" s="12"/>
      <c r="F15" s="102"/>
      <c r="G15" s="102"/>
      <c r="H15" s="102"/>
      <c r="I15" s="153"/>
      <c r="J15" s="103"/>
      <c r="K15" s="153"/>
      <c r="L15" s="103"/>
      <c r="M15" s="155"/>
      <c r="N15" s="100"/>
      <c r="O15" s="139"/>
      <c r="P15" s="37"/>
      <c r="Q15" s="37"/>
      <c r="R15" s="12"/>
      <c r="S15" s="38"/>
      <c r="T15" s="37"/>
      <c r="U15" s="37"/>
    </row>
    <row r="16" spans="1:21" x14ac:dyDescent="0.4">
      <c r="A16" s="37"/>
      <c r="B16" s="134"/>
      <c r="C16" s="37"/>
      <c r="D16" s="133"/>
      <c r="E16" s="12"/>
      <c r="F16" s="102"/>
      <c r="G16" s="102"/>
      <c r="H16" s="102"/>
      <c r="I16" s="153"/>
      <c r="J16" s="103"/>
      <c r="K16" s="153"/>
      <c r="L16" s="103"/>
      <c r="M16" s="155"/>
      <c r="N16" s="100"/>
      <c r="O16" s="139"/>
      <c r="P16" s="37"/>
      <c r="Q16" s="37"/>
      <c r="R16" s="12"/>
      <c r="S16" s="38"/>
      <c r="T16" s="37"/>
      <c r="U16" s="37"/>
    </row>
    <row r="17" spans="1:21" x14ac:dyDescent="0.4">
      <c r="A17" s="37"/>
      <c r="B17" s="134"/>
      <c r="C17" s="37"/>
      <c r="D17" s="133"/>
      <c r="E17" s="12"/>
      <c r="F17" s="102"/>
      <c r="G17" s="102"/>
      <c r="H17" s="102"/>
      <c r="I17" s="153"/>
      <c r="J17" s="103"/>
      <c r="K17" s="153"/>
      <c r="L17" s="103"/>
      <c r="M17" s="155"/>
      <c r="N17" s="100"/>
      <c r="O17" s="139"/>
      <c r="P17" s="37"/>
      <c r="Q17" s="37"/>
      <c r="R17" s="12"/>
      <c r="S17" s="38"/>
      <c r="T17" s="37"/>
      <c r="U17" s="37"/>
    </row>
    <row r="18" spans="1:21" x14ac:dyDescent="0.4">
      <c r="A18" s="37"/>
      <c r="B18" s="134"/>
      <c r="C18" s="37"/>
      <c r="D18" s="133"/>
      <c r="E18" s="12"/>
      <c r="F18" s="102"/>
      <c r="G18" s="102"/>
      <c r="H18" s="102"/>
      <c r="I18" s="153"/>
      <c r="J18" s="103"/>
      <c r="K18" s="153"/>
      <c r="L18" s="103"/>
      <c r="M18" s="155"/>
      <c r="N18" s="100"/>
      <c r="O18" s="139"/>
      <c r="P18" s="37"/>
      <c r="Q18" s="37"/>
      <c r="R18" s="12"/>
      <c r="S18" s="38"/>
      <c r="T18" s="37"/>
      <c r="U18" s="37"/>
    </row>
    <row r="19" spans="1:21" x14ac:dyDescent="0.4">
      <c r="A19" s="37"/>
      <c r="B19" s="134"/>
      <c r="C19" s="37"/>
      <c r="D19" s="133"/>
      <c r="E19" s="12"/>
      <c r="F19" s="102"/>
      <c r="G19" s="102"/>
      <c r="H19" s="102"/>
      <c r="I19" s="153"/>
      <c r="J19" s="103"/>
      <c r="K19" s="153"/>
      <c r="L19" s="103"/>
      <c r="M19" s="155"/>
      <c r="N19" s="100"/>
      <c r="O19" s="139"/>
      <c r="P19" s="37"/>
      <c r="Q19" s="37"/>
      <c r="R19" s="12"/>
      <c r="S19" s="38"/>
      <c r="T19" s="37"/>
      <c r="U19" s="37"/>
    </row>
    <row r="20" spans="1:21" x14ac:dyDescent="0.4">
      <c r="A20" s="37"/>
      <c r="B20" s="134"/>
      <c r="C20" s="37"/>
      <c r="D20" s="133"/>
      <c r="E20" s="12"/>
      <c r="F20" s="102"/>
      <c r="G20" s="102"/>
      <c r="H20" s="102"/>
      <c r="I20" s="153"/>
      <c r="J20" s="103"/>
      <c r="K20" s="153"/>
      <c r="L20" s="103"/>
      <c r="M20" s="155"/>
      <c r="N20" s="100"/>
      <c r="O20" s="139"/>
      <c r="P20" s="83"/>
      <c r="Q20" s="37"/>
      <c r="R20" s="12"/>
      <c r="S20" s="38"/>
      <c r="T20" s="37"/>
      <c r="U20" s="37"/>
    </row>
    <row r="21" spans="1:21" x14ac:dyDescent="0.4">
      <c r="A21" s="37"/>
      <c r="B21" s="134"/>
      <c r="C21" s="37"/>
      <c r="D21" s="133"/>
      <c r="E21" s="12"/>
      <c r="F21" s="102"/>
      <c r="G21" s="102"/>
      <c r="H21" s="102"/>
      <c r="I21" s="153"/>
      <c r="J21" s="103"/>
      <c r="K21" s="153"/>
      <c r="L21" s="103"/>
      <c r="M21" s="155"/>
      <c r="N21" s="100"/>
      <c r="O21" s="139"/>
      <c r="P21" s="37"/>
      <c r="Q21" s="37"/>
      <c r="R21" s="12"/>
      <c r="S21" s="38"/>
      <c r="T21" s="37"/>
      <c r="U21" s="37"/>
    </row>
    <row r="22" spans="1:21" x14ac:dyDescent="0.4">
      <c r="A22" s="37"/>
      <c r="B22" s="134"/>
      <c r="C22" s="37"/>
      <c r="D22" s="133"/>
      <c r="E22" s="12"/>
      <c r="F22" s="102"/>
      <c r="G22" s="102"/>
      <c r="H22" s="102"/>
      <c r="I22" s="153"/>
      <c r="J22" s="103"/>
      <c r="K22" s="153"/>
      <c r="L22" s="103"/>
      <c r="M22" s="155"/>
      <c r="N22" s="100"/>
      <c r="O22" s="139"/>
      <c r="P22" s="37"/>
      <c r="Q22" s="37"/>
      <c r="R22" s="12"/>
      <c r="S22" s="38"/>
      <c r="T22" s="37"/>
      <c r="U22" s="37"/>
    </row>
    <row r="23" spans="1:21" x14ac:dyDescent="0.4">
      <c r="A23" s="37"/>
      <c r="B23" s="134"/>
      <c r="C23" s="37"/>
      <c r="D23" s="133"/>
      <c r="E23" s="12"/>
      <c r="F23" s="102"/>
      <c r="G23" s="102"/>
      <c r="H23" s="102"/>
      <c r="I23" s="153"/>
      <c r="J23" s="103"/>
      <c r="K23" s="153"/>
      <c r="L23" s="103"/>
      <c r="M23" s="155"/>
      <c r="N23" s="100"/>
      <c r="O23" s="139"/>
      <c r="P23" s="37"/>
      <c r="Q23" s="37"/>
      <c r="R23" s="12"/>
      <c r="S23" s="38"/>
      <c r="T23" s="37"/>
      <c r="U23" s="37"/>
    </row>
    <row r="24" spans="1:21" x14ac:dyDescent="0.4">
      <c r="A24" s="37"/>
      <c r="B24" s="134"/>
      <c r="C24" s="37"/>
      <c r="D24" s="133"/>
      <c r="E24" s="12"/>
      <c r="F24" s="102"/>
      <c r="G24" s="102"/>
      <c r="H24" s="102"/>
      <c r="I24" s="153"/>
      <c r="J24" s="103"/>
      <c r="K24" s="153"/>
      <c r="L24" s="103"/>
      <c r="M24" s="155"/>
      <c r="N24" s="100"/>
      <c r="O24" s="139"/>
      <c r="P24" s="37"/>
      <c r="Q24" s="37"/>
      <c r="R24" s="12"/>
      <c r="S24" s="38"/>
      <c r="T24" s="37"/>
      <c r="U24" s="37"/>
    </row>
    <row r="25" spans="1:21" x14ac:dyDescent="0.4">
      <c r="A25" s="37"/>
      <c r="B25" s="134"/>
      <c r="C25" s="37"/>
      <c r="D25" s="133"/>
      <c r="E25" s="12"/>
      <c r="F25" s="102"/>
      <c r="G25" s="102"/>
      <c r="H25" s="102"/>
      <c r="I25" s="153"/>
      <c r="J25" s="103"/>
      <c r="K25" s="153"/>
      <c r="L25" s="103"/>
      <c r="M25" s="155"/>
      <c r="N25" s="100"/>
      <c r="O25" s="139"/>
      <c r="P25" s="37"/>
      <c r="Q25" s="37"/>
      <c r="R25" s="12"/>
      <c r="S25" s="38"/>
      <c r="T25" s="37"/>
      <c r="U25" s="37"/>
    </row>
    <row r="26" spans="1:21" x14ac:dyDescent="0.4">
      <c r="A26" s="37"/>
      <c r="B26" s="134"/>
      <c r="C26" s="37"/>
      <c r="D26" s="133"/>
      <c r="E26" s="12"/>
      <c r="F26" s="102"/>
      <c r="G26" s="102"/>
      <c r="H26" s="102"/>
      <c r="I26" s="153"/>
      <c r="J26" s="103"/>
      <c r="K26" s="153"/>
      <c r="L26" s="103"/>
      <c r="M26" s="155"/>
      <c r="N26" s="100"/>
      <c r="O26" s="139"/>
      <c r="P26" s="37"/>
      <c r="Q26" s="37"/>
      <c r="R26" s="12"/>
      <c r="S26" s="38"/>
      <c r="T26" s="37"/>
      <c r="U26" s="37"/>
    </row>
    <row r="27" spans="1:21" x14ac:dyDescent="0.4">
      <c r="A27" s="37"/>
      <c r="B27" s="134"/>
      <c r="C27" s="37"/>
      <c r="D27" s="133"/>
      <c r="E27" s="12"/>
      <c r="F27" s="102"/>
      <c r="G27" s="102"/>
      <c r="H27" s="102"/>
      <c r="I27" s="153"/>
      <c r="J27" s="103"/>
      <c r="K27" s="153"/>
      <c r="L27" s="103"/>
      <c r="M27" s="155"/>
      <c r="N27" s="100"/>
      <c r="O27" s="139"/>
      <c r="P27" s="37"/>
      <c r="Q27" s="37"/>
      <c r="R27" s="12"/>
      <c r="S27" s="38"/>
      <c r="T27" s="37"/>
      <c r="U27" s="37"/>
    </row>
    <row r="28" spans="1:21" x14ac:dyDescent="0.4">
      <c r="A28" s="37"/>
      <c r="B28" s="134"/>
      <c r="C28" s="37"/>
      <c r="D28" s="133"/>
      <c r="E28" s="12"/>
      <c r="F28" s="102"/>
      <c r="G28" s="102"/>
      <c r="H28" s="102"/>
      <c r="I28" s="153"/>
      <c r="J28" s="103"/>
      <c r="K28" s="153"/>
      <c r="L28" s="103"/>
      <c r="M28" s="155"/>
      <c r="N28" s="100"/>
      <c r="O28" s="139"/>
      <c r="P28" s="37"/>
      <c r="Q28" s="37"/>
      <c r="R28" s="12"/>
      <c r="S28" s="38"/>
      <c r="T28" s="37"/>
      <c r="U28" s="37"/>
    </row>
    <row r="29" spans="1:21" x14ac:dyDescent="0.4">
      <c r="A29" s="37"/>
      <c r="B29" s="134"/>
      <c r="C29" s="37"/>
      <c r="D29" s="133"/>
      <c r="E29" s="12"/>
      <c r="F29" s="102"/>
      <c r="G29" s="102"/>
      <c r="H29" s="102"/>
      <c r="I29" s="153"/>
      <c r="J29" s="103"/>
      <c r="K29" s="153"/>
      <c r="L29" s="103"/>
      <c r="M29" s="155"/>
      <c r="N29" s="100"/>
      <c r="O29" s="139"/>
      <c r="P29" s="37"/>
      <c r="Q29" s="37"/>
      <c r="R29" s="12"/>
      <c r="S29" s="38"/>
      <c r="T29" s="37"/>
      <c r="U29" s="37"/>
    </row>
    <row r="30" spans="1:21" x14ac:dyDescent="0.4">
      <c r="A30" s="37"/>
      <c r="B30" s="134"/>
      <c r="C30" s="37"/>
      <c r="D30" s="133"/>
      <c r="E30" s="12"/>
      <c r="F30" s="102"/>
      <c r="G30" s="102"/>
      <c r="H30" s="102"/>
      <c r="I30" s="153"/>
      <c r="J30" s="103"/>
      <c r="K30" s="153"/>
      <c r="L30" s="103"/>
      <c r="M30" s="155"/>
      <c r="N30" s="100"/>
      <c r="O30" s="139"/>
      <c r="P30" s="37"/>
      <c r="Q30" s="37"/>
      <c r="R30" s="12"/>
      <c r="S30" s="38"/>
      <c r="T30" s="37"/>
      <c r="U30" s="37"/>
    </row>
    <row r="31" spans="1:21" x14ac:dyDescent="0.4">
      <c r="A31" s="37"/>
      <c r="B31" s="134"/>
      <c r="C31" s="37"/>
      <c r="D31" s="133"/>
      <c r="E31" s="12"/>
      <c r="F31" s="102"/>
      <c r="G31" s="102"/>
      <c r="H31" s="102"/>
      <c r="I31" s="153"/>
      <c r="J31" s="103"/>
      <c r="K31" s="153"/>
      <c r="L31" s="103"/>
      <c r="M31" s="155"/>
      <c r="N31" s="100"/>
      <c r="O31" s="139"/>
      <c r="P31" s="83"/>
      <c r="Q31" s="37"/>
      <c r="R31" s="12"/>
      <c r="S31" s="38"/>
      <c r="T31" s="37"/>
      <c r="U31" s="37"/>
    </row>
    <row r="32" spans="1:21" x14ac:dyDescent="0.4">
      <c r="A32" s="37"/>
      <c r="B32" s="134"/>
      <c r="C32" s="37"/>
      <c r="D32" s="133"/>
      <c r="E32" s="12"/>
      <c r="F32" s="102"/>
      <c r="G32" s="102"/>
      <c r="H32" s="102"/>
      <c r="I32" s="153"/>
      <c r="J32" s="103"/>
      <c r="K32" s="153"/>
      <c r="L32" s="103"/>
      <c r="M32" s="155"/>
      <c r="N32" s="100"/>
      <c r="O32" s="139"/>
      <c r="P32" s="83"/>
      <c r="Q32" s="37"/>
      <c r="R32" s="12"/>
      <c r="S32" s="38"/>
      <c r="T32" s="37"/>
      <c r="U32" s="37"/>
    </row>
    <row r="33" spans="1:21" x14ac:dyDescent="0.4">
      <c r="A33" s="37"/>
      <c r="B33" s="134"/>
      <c r="C33" s="37"/>
      <c r="D33" s="133"/>
      <c r="E33" s="12"/>
      <c r="F33" s="102"/>
      <c r="G33" s="102"/>
      <c r="H33" s="102"/>
      <c r="I33" s="153"/>
      <c r="J33" s="103"/>
      <c r="K33" s="153"/>
      <c r="L33" s="103"/>
      <c r="M33" s="155"/>
      <c r="N33" s="100"/>
      <c r="O33" s="139"/>
      <c r="P33" s="83"/>
      <c r="Q33" s="37"/>
      <c r="R33" s="12"/>
      <c r="S33" s="38"/>
      <c r="T33" s="37"/>
      <c r="U33" s="37"/>
    </row>
    <row r="34" spans="1:21" x14ac:dyDescent="0.4">
      <c r="A34" s="37"/>
      <c r="B34" s="134"/>
      <c r="C34" s="37"/>
      <c r="D34" s="133"/>
      <c r="E34" s="9"/>
      <c r="F34" s="102"/>
      <c r="G34" s="102"/>
      <c r="H34" s="102"/>
      <c r="I34" s="153"/>
      <c r="J34" s="103"/>
      <c r="K34" s="153"/>
      <c r="L34" s="103"/>
      <c r="M34" s="155"/>
      <c r="N34" s="100"/>
      <c r="O34" s="139"/>
      <c r="P34" s="37"/>
      <c r="Q34" s="37"/>
      <c r="R34" s="12"/>
      <c r="S34" s="38"/>
      <c r="T34" s="37"/>
      <c r="U34" s="37"/>
    </row>
    <row r="35" spans="1:21" x14ac:dyDescent="0.4">
      <c r="A35" s="37"/>
      <c r="B35" s="134"/>
      <c r="C35" s="37"/>
      <c r="D35" s="133"/>
      <c r="E35" s="12"/>
      <c r="F35" s="102"/>
      <c r="G35" s="102"/>
      <c r="H35" s="102"/>
      <c r="I35" s="153"/>
      <c r="J35" s="103"/>
      <c r="K35" s="153"/>
      <c r="L35" s="103"/>
      <c r="M35" s="155"/>
      <c r="N35" s="100"/>
      <c r="O35" s="139"/>
      <c r="P35" s="37"/>
      <c r="Q35" s="37"/>
      <c r="R35" s="12"/>
      <c r="S35" s="38"/>
      <c r="T35" s="37"/>
      <c r="U35" s="37"/>
    </row>
    <row r="36" spans="1:21" x14ac:dyDescent="0.4">
      <c r="A36" s="37"/>
      <c r="B36" s="134"/>
      <c r="C36" s="37"/>
      <c r="D36" s="133"/>
      <c r="E36" s="12"/>
      <c r="F36" s="102"/>
      <c r="G36" s="102"/>
      <c r="H36" s="102"/>
      <c r="I36" s="153"/>
      <c r="J36" s="103"/>
      <c r="K36" s="153"/>
      <c r="L36" s="103"/>
      <c r="M36" s="155"/>
      <c r="N36" s="100"/>
      <c r="O36" s="139"/>
      <c r="P36" s="37"/>
      <c r="Q36" s="37"/>
      <c r="R36" s="12"/>
      <c r="S36" s="38"/>
      <c r="T36" s="37"/>
      <c r="U36" s="37"/>
    </row>
    <row r="37" spans="1:21" x14ac:dyDescent="0.4">
      <c r="A37" s="37"/>
      <c r="B37" s="134"/>
      <c r="C37" s="37"/>
      <c r="D37" s="133"/>
      <c r="E37" s="9"/>
      <c r="F37" s="102"/>
      <c r="G37" s="102"/>
      <c r="H37" s="102"/>
      <c r="I37" s="153"/>
      <c r="J37" s="103"/>
      <c r="K37" s="153"/>
      <c r="L37" s="103"/>
      <c r="M37" s="155"/>
      <c r="N37" s="100"/>
      <c r="O37" s="139"/>
      <c r="P37" s="37"/>
      <c r="Q37" s="37"/>
      <c r="R37" s="12"/>
      <c r="S37" s="38"/>
      <c r="T37" s="37"/>
      <c r="U37" s="37"/>
    </row>
    <row r="38" spans="1:21" x14ac:dyDescent="0.4">
      <c r="A38" s="37"/>
      <c r="B38" s="134"/>
      <c r="C38" s="37"/>
      <c r="D38" s="133"/>
      <c r="E38" s="9"/>
      <c r="F38" s="102"/>
      <c r="G38" s="102"/>
      <c r="H38" s="102"/>
      <c r="I38" s="153"/>
      <c r="J38" s="103"/>
      <c r="K38" s="153"/>
      <c r="L38" s="103"/>
      <c r="M38" s="155"/>
      <c r="N38" s="100"/>
      <c r="O38" s="139"/>
      <c r="P38" s="37"/>
      <c r="Q38" s="37"/>
      <c r="R38" s="12"/>
      <c r="S38" s="38"/>
      <c r="T38" s="37"/>
      <c r="U38" s="37"/>
    </row>
    <row r="39" spans="1:21" x14ac:dyDescent="0.4">
      <c r="A39" s="37"/>
      <c r="B39" s="134"/>
      <c r="C39" s="37"/>
      <c r="D39" s="133"/>
      <c r="E39" s="12"/>
      <c r="F39" s="102"/>
      <c r="G39" s="102"/>
      <c r="H39" s="102"/>
      <c r="I39" s="153"/>
      <c r="J39" s="103"/>
      <c r="K39" s="153"/>
      <c r="L39" s="103"/>
      <c r="M39" s="155"/>
      <c r="N39" s="100"/>
      <c r="O39" s="139"/>
      <c r="P39" s="37"/>
      <c r="Q39" s="37"/>
      <c r="R39" s="12"/>
      <c r="S39" s="38"/>
      <c r="T39" s="37"/>
      <c r="U39" s="37"/>
    </row>
    <row r="40" spans="1:21" x14ac:dyDescent="0.4">
      <c r="A40" s="37"/>
      <c r="B40" s="134"/>
      <c r="C40" s="37"/>
      <c r="D40" s="133"/>
      <c r="E40" s="12"/>
      <c r="F40" s="102"/>
      <c r="G40" s="102"/>
      <c r="H40" s="102"/>
      <c r="I40" s="153"/>
      <c r="J40" s="103"/>
      <c r="K40" s="153"/>
      <c r="L40" s="103"/>
      <c r="M40" s="155"/>
      <c r="N40" s="100"/>
      <c r="O40" s="139"/>
      <c r="P40" s="37"/>
      <c r="Q40" s="37"/>
      <c r="R40" s="12"/>
      <c r="S40" s="38"/>
      <c r="T40" s="37"/>
      <c r="U40" s="37"/>
    </row>
    <row r="41" spans="1:21" x14ac:dyDescent="0.4">
      <c r="A41" s="37"/>
      <c r="B41" s="134"/>
      <c r="C41" s="37"/>
      <c r="D41" s="133"/>
      <c r="E41" s="12"/>
      <c r="F41" s="102"/>
      <c r="G41" s="102"/>
      <c r="H41" s="102"/>
      <c r="I41" s="153"/>
      <c r="J41" s="103"/>
      <c r="K41" s="153"/>
      <c r="L41" s="103"/>
      <c r="M41" s="155"/>
      <c r="N41" s="100"/>
      <c r="O41" s="139"/>
      <c r="P41" s="37"/>
      <c r="Q41" s="37"/>
      <c r="R41" s="12"/>
      <c r="S41" s="189"/>
      <c r="T41" s="37"/>
      <c r="U41" s="37"/>
    </row>
    <row r="42" spans="1:21" x14ac:dyDescent="0.4">
      <c r="A42" s="37"/>
      <c r="B42" s="134"/>
      <c r="C42" s="37"/>
      <c r="D42" s="133"/>
      <c r="E42" s="12"/>
      <c r="F42" s="102"/>
      <c r="G42" s="102"/>
      <c r="H42" s="102"/>
      <c r="I42" s="153"/>
      <c r="J42" s="103"/>
      <c r="K42" s="153"/>
      <c r="L42" s="103"/>
      <c r="M42" s="155"/>
      <c r="N42" s="100"/>
      <c r="O42" s="139"/>
      <c r="P42" s="37"/>
      <c r="Q42" s="37"/>
      <c r="R42" s="12"/>
      <c r="S42" s="38"/>
      <c r="T42" s="37"/>
      <c r="U42" s="37"/>
    </row>
    <row r="43" spans="1:21" x14ac:dyDescent="0.4">
      <c r="A43" s="37"/>
      <c r="B43" s="134"/>
      <c r="C43" s="37"/>
      <c r="D43" s="133"/>
      <c r="E43" s="12"/>
      <c r="F43" s="102"/>
      <c r="G43" s="102"/>
      <c r="H43" s="102"/>
      <c r="I43" s="153"/>
      <c r="J43" s="103"/>
      <c r="K43" s="153"/>
      <c r="L43" s="103"/>
      <c r="M43" s="155"/>
      <c r="N43" s="100"/>
      <c r="O43" s="139"/>
      <c r="P43" s="37"/>
      <c r="Q43" s="37"/>
      <c r="R43" s="12"/>
      <c r="S43" s="38"/>
      <c r="T43" s="37"/>
      <c r="U43" s="37"/>
    </row>
    <row r="44" spans="1:21" x14ac:dyDescent="0.4">
      <c r="A44" s="37"/>
      <c r="B44" s="134"/>
      <c r="C44" s="37"/>
      <c r="D44" s="133"/>
      <c r="E44" s="12"/>
      <c r="F44" s="102"/>
      <c r="G44" s="102"/>
      <c r="H44" s="102"/>
      <c r="I44" s="153"/>
      <c r="J44" s="103"/>
      <c r="K44" s="153"/>
      <c r="L44" s="103"/>
      <c r="M44" s="155"/>
      <c r="N44" s="100"/>
      <c r="O44" s="139"/>
      <c r="P44" s="37"/>
      <c r="Q44" s="37"/>
      <c r="R44" s="12"/>
      <c r="S44" s="38"/>
      <c r="T44" s="37"/>
      <c r="U44" s="37"/>
    </row>
    <row r="45" spans="1:21" x14ac:dyDescent="0.4">
      <c r="A45" s="37"/>
      <c r="B45" s="134"/>
      <c r="C45" s="37"/>
      <c r="D45" s="133"/>
      <c r="E45" s="12"/>
      <c r="F45" s="102"/>
      <c r="G45" s="102"/>
      <c r="H45" s="102"/>
      <c r="I45" s="153"/>
      <c r="J45" s="103"/>
      <c r="K45" s="153"/>
      <c r="L45" s="103"/>
      <c r="M45" s="155"/>
      <c r="N45" s="100"/>
      <c r="O45" s="139"/>
      <c r="P45" s="37"/>
      <c r="Q45" s="37"/>
      <c r="R45" s="12"/>
      <c r="S45" s="38"/>
      <c r="T45" s="37"/>
      <c r="U45" s="37"/>
    </row>
    <row r="46" spans="1:21" x14ac:dyDescent="0.4">
      <c r="A46" s="37"/>
      <c r="B46" s="134"/>
      <c r="C46" s="37"/>
      <c r="D46" s="133"/>
      <c r="E46" s="12"/>
      <c r="F46" s="102"/>
      <c r="G46" s="102"/>
      <c r="H46" s="102"/>
      <c r="I46" s="153"/>
      <c r="J46" s="103"/>
      <c r="K46" s="153"/>
      <c r="L46" s="103"/>
      <c r="M46" s="155"/>
      <c r="N46" s="100"/>
      <c r="O46" s="139"/>
      <c r="P46" s="37"/>
      <c r="Q46" s="37"/>
      <c r="R46" s="12"/>
      <c r="S46" s="38"/>
      <c r="T46" s="37"/>
      <c r="U46" s="37"/>
    </row>
    <row r="47" spans="1:21" x14ac:dyDescent="0.4">
      <c r="A47" s="37"/>
      <c r="B47" s="134"/>
      <c r="C47" s="37"/>
      <c r="D47" s="133"/>
      <c r="E47" s="12"/>
      <c r="F47" s="102"/>
      <c r="G47" s="102"/>
      <c r="H47" s="102"/>
      <c r="I47" s="153"/>
      <c r="J47" s="103"/>
      <c r="K47" s="153"/>
      <c r="L47" s="103"/>
      <c r="M47" s="155"/>
      <c r="N47" s="100"/>
      <c r="O47" s="139"/>
      <c r="P47" s="37"/>
      <c r="Q47" s="37"/>
      <c r="R47" s="12"/>
      <c r="S47" s="38"/>
      <c r="T47" s="37"/>
      <c r="U47" s="37"/>
    </row>
    <row r="48" spans="1:21" x14ac:dyDescent="0.4">
      <c r="A48" s="37"/>
      <c r="B48" s="134"/>
      <c r="C48" s="37"/>
      <c r="D48" s="133"/>
      <c r="E48" s="12"/>
      <c r="F48" s="102"/>
      <c r="G48" s="102"/>
      <c r="H48" s="102"/>
      <c r="I48" s="153"/>
      <c r="J48" s="103"/>
      <c r="K48" s="153"/>
      <c r="L48" s="103"/>
      <c r="M48" s="155"/>
      <c r="N48" s="100"/>
      <c r="O48" s="139"/>
      <c r="P48" s="37"/>
      <c r="Q48" s="37"/>
      <c r="R48" s="12"/>
      <c r="S48" s="38"/>
      <c r="T48" s="37"/>
      <c r="U48" s="37"/>
    </row>
    <row r="49" spans="1:21" x14ac:dyDescent="0.4">
      <c r="A49" s="37"/>
      <c r="B49" s="134"/>
      <c r="C49" s="37"/>
      <c r="D49" s="133"/>
      <c r="E49" s="12"/>
      <c r="F49" s="102"/>
      <c r="G49" s="102"/>
      <c r="H49" s="102"/>
      <c r="I49" s="153"/>
      <c r="J49" s="103"/>
      <c r="K49" s="153"/>
      <c r="L49" s="103"/>
      <c r="M49" s="155"/>
      <c r="N49" s="100"/>
      <c r="O49" s="139"/>
      <c r="P49" s="37"/>
      <c r="Q49" s="37"/>
      <c r="R49" s="12"/>
      <c r="S49" s="38"/>
      <c r="T49" s="37"/>
      <c r="U49" s="37"/>
    </row>
    <row r="50" spans="1:21" x14ac:dyDescent="0.4">
      <c r="A50" s="37"/>
      <c r="B50" s="134"/>
      <c r="C50" s="37"/>
      <c r="D50" s="133"/>
      <c r="E50" s="12"/>
      <c r="F50" s="102"/>
      <c r="G50" s="102"/>
      <c r="H50" s="102"/>
      <c r="I50" s="153"/>
      <c r="J50" s="103"/>
      <c r="K50" s="153"/>
      <c r="L50" s="103"/>
      <c r="M50" s="155"/>
      <c r="N50" s="100"/>
      <c r="O50" s="139"/>
      <c r="P50" s="37"/>
      <c r="Q50" s="37"/>
      <c r="R50" s="12"/>
      <c r="S50" s="38"/>
      <c r="T50" s="37"/>
      <c r="U50" s="37"/>
    </row>
    <row r="51" spans="1:21" x14ac:dyDescent="0.4">
      <c r="A51" s="37"/>
      <c r="B51" s="134"/>
      <c r="C51" s="37"/>
      <c r="D51" s="133"/>
      <c r="E51" s="12"/>
      <c r="F51" s="102"/>
      <c r="G51" s="102"/>
      <c r="H51" s="102"/>
      <c r="I51" s="153"/>
      <c r="J51" s="103"/>
      <c r="K51" s="153"/>
      <c r="L51" s="103"/>
      <c r="M51" s="155"/>
      <c r="N51" s="100"/>
      <c r="O51" s="139"/>
      <c r="P51" s="37"/>
      <c r="Q51" s="37"/>
      <c r="R51" s="12"/>
      <c r="S51" s="38"/>
      <c r="T51" s="37"/>
      <c r="U51" s="37"/>
    </row>
    <row r="52" spans="1:21" x14ac:dyDescent="0.4">
      <c r="A52" s="37"/>
      <c r="B52" s="134"/>
      <c r="C52" s="37"/>
      <c r="D52" s="133"/>
      <c r="E52" s="12"/>
      <c r="F52" s="102"/>
      <c r="G52" s="102"/>
      <c r="H52" s="102"/>
      <c r="I52" s="153"/>
      <c r="J52" s="103"/>
      <c r="K52" s="153"/>
      <c r="L52" s="103"/>
      <c r="M52" s="155"/>
      <c r="N52" s="100"/>
      <c r="O52" s="139"/>
      <c r="P52" s="37"/>
      <c r="Q52" s="37"/>
      <c r="R52" s="12"/>
      <c r="S52" s="38"/>
      <c r="T52" s="37"/>
      <c r="U52" s="37"/>
    </row>
    <row r="53" spans="1:21" x14ac:dyDescent="0.4">
      <c r="A53" s="37"/>
      <c r="B53" s="134"/>
      <c r="C53" s="37"/>
      <c r="D53" s="133"/>
      <c r="E53" s="12"/>
      <c r="F53" s="102"/>
      <c r="G53" s="102"/>
      <c r="H53" s="102"/>
      <c r="I53" s="153"/>
      <c r="J53" s="103"/>
      <c r="K53" s="153"/>
      <c r="L53" s="103"/>
      <c r="M53" s="155"/>
      <c r="N53" s="100"/>
      <c r="O53" s="139"/>
      <c r="P53" s="37"/>
      <c r="Q53" s="37"/>
      <c r="R53" s="12"/>
      <c r="S53" s="38"/>
      <c r="T53" s="37"/>
      <c r="U53" s="37"/>
    </row>
    <row r="54" spans="1:21" x14ac:dyDescent="0.4">
      <c r="A54" s="37"/>
      <c r="B54" s="134"/>
      <c r="C54" s="37"/>
      <c r="D54" s="133"/>
      <c r="E54" s="12"/>
      <c r="F54" s="102"/>
      <c r="G54" s="102"/>
      <c r="H54" s="102"/>
      <c r="I54" s="153"/>
      <c r="J54" s="103"/>
      <c r="K54" s="153"/>
      <c r="L54" s="103"/>
      <c r="M54" s="155"/>
      <c r="N54" s="100"/>
      <c r="O54" s="139"/>
      <c r="P54" s="37"/>
      <c r="Q54" s="37"/>
      <c r="R54" s="12"/>
      <c r="S54" s="38"/>
      <c r="T54" s="37"/>
      <c r="U54" s="37"/>
    </row>
    <row r="55" spans="1:21" x14ac:dyDescent="0.4">
      <c r="A55" s="37"/>
      <c r="B55" s="134"/>
      <c r="C55" s="37"/>
      <c r="D55" s="133"/>
      <c r="E55" s="12"/>
      <c r="F55" s="102"/>
      <c r="G55" s="102"/>
      <c r="H55" s="102"/>
      <c r="I55" s="153"/>
      <c r="J55" s="103"/>
      <c r="K55" s="153"/>
      <c r="L55" s="103"/>
      <c r="M55" s="155"/>
      <c r="N55" s="100"/>
      <c r="O55" s="139"/>
      <c r="P55" s="37"/>
      <c r="Q55" s="37"/>
      <c r="R55" s="12"/>
      <c r="S55" s="38"/>
      <c r="T55" s="37"/>
      <c r="U55" s="37"/>
    </row>
    <row r="56" spans="1:21" x14ac:dyDescent="0.4">
      <c r="A56" s="37"/>
      <c r="B56" s="134"/>
      <c r="C56" s="37"/>
      <c r="D56" s="133"/>
      <c r="E56" s="12"/>
      <c r="F56" s="102"/>
      <c r="G56" s="102"/>
      <c r="H56" s="102"/>
      <c r="I56" s="153"/>
      <c r="J56" s="103"/>
      <c r="K56" s="153"/>
      <c r="L56" s="103"/>
      <c r="M56" s="155"/>
      <c r="N56" s="100"/>
      <c r="O56" s="139"/>
      <c r="P56" s="37"/>
      <c r="Q56" s="37"/>
      <c r="R56" s="12"/>
      <c r="S56" s="38"/>
      <c r="T56" s="37"/>
      <c r="U56" s="37"/>
    </row>
    <row r="57" spans="1:21" x14ac:dyDescent="0.4">
      <c r="A57" s="37"/>
      <c r="B57" s="134"/>
      <c r="C57" s="37"/>
      <c r="D57" s="133"/>
      <c r="E57" s="12"/>
      <c r="F57" s="102"/>
      <c r="G57" s="102"/>
      <c r="H57" s="102"/>
      <c r="I57" s="153"/>
      <c r="J57" s="103"/>
      <c r="K57" s="153"/>
      <c r="L57" s="103"/>
      <c r="M57" s="155"/>
      <c r="N57" s="100"/>
      <c r="O57" s="139"/>
      <c r="P57" s="37"/>
      <c r="Q57" s="37"/>
      <c r="R57" s="12"/>
      <c r="S57" s="38"/>
      <c r="T57" s="37"/>
      <c r="U57" s="37"/>
    </row>
    <row r="58" spans="1:21" x14ac:dyDescent="0.4">
      <c r="A58" s="37"/>
      <c r="B58" s="134"/>
      <c r="C58" s="37"/>
      <c r="D58" s="133"/>
      <c r="E58" s="12"/>
      <c r="F58" s="102"/>
      <c r="G58" s="102"/>
      <c r="H58" s="102"/>
      <c r="I58" s="153"/>
      <c r="J58" s="103"/>
      <c r="K58" s="153"/>
      <c r="L58" s="103"/>
      <c r="M58" s="155"/>
      <c r="N58" s="100"/>
      <c r="O58" s="139"/>
      <c r="P58" s="37"/>
      <c r="Q58" s="37"/>
      <c r="R58" s="12"/>
      <c r="S58" s="38"/>
      <c r="T58" s="37"/>
      <c r="U58" s="37"/>
    </row>
    <row r="59" spans="1:21" x14ac:dyDescent="0.4">
      <c r="A59" s="37"/>
      <c r="B59" s="134"/>
      <c r="C59" s="37"/>
      <c r="D59" s="133"/>
      <c r="E59" s="12"/>
      <c r="F59" s="102"/>
      <c r="G59" s="102"/>
      <c r="H59" s="102"/>
      <c r="I59" s="153"/>
      <c r="J59" s="103"/>
      <c r="K59" s="153"/>
      <c r="L59" s="103"/>
      <c r="M59" s="155"/>
      <c r="N59" s="100"/>
      <c r="O59" s="139"/>
      <c r="P59" s="37"/>
      <c r="Q59" s="37"/>
      <c r="R59" s="12"/>
      <c r="S59" s="38"/>
      <c r="T59" s="37"/>
      <c r="U59" s="37"/>
    </row>
    <row r="60" spans="1:21" x14ac:dyDescent="0.4">
      <c r="A60" s="37"/>
      <c r="B60" s="134"/>
      <c r="C60" s="37"/>
      <c r="D60" s="133"/>
      <c r="E60" s="9"/>
      <c r="F60" s="102"/>
      <c r="G60" s="102"/>
      <c r="H60" s="102"/>
      <c r="I60" s="153"/>
      <c r="J60" s="103"/>
      <c r="K60" s="153"/>
      <c r="L60" s="103"/>
      <c r="M60" s="155"/>
      <c r="N60" s="100"/>
      <c r="O60" s="139"/>
      <c r="P60" s="37"/>
      <c r="Q60" s="37"/>
      <c r="R60" s="12"/>
      <c r="S60" s="38"/>
      <c r="T60" s="37"/>
      <c r="U60" s="37"/>
    </row>
    <row r="61" spans="1:21" x14ac:dyDescent="0.4">
      <c r="A61" s="37"/>
      <c r="B61" s="134"/>
      <c r="C61" s="37"/>
      <c r="D61" s="133"/>
      <c r="E61" s="12"/>
      <c r="F61" s="102"/>
      <c r="G61" s="102"/>
      <c r="H61" s="102"/>
      <c r="I61" s="153"/>
      <c r="J61" s="103"/>
      <c r="K61" s="153"/>
      <c r="L61" s="103"/>
      <c r="M61" s="155"/>
      <c r="N61" s="100"/>
      <c r="O61" s="139"/>
      <c r="P61" s="37"/>
      <c r="Q61" s="37"/>
      <c r="R61" s="12"/>
      <c r="S61" s="38"/>
      <c r="T61" s="37"/>
      <c r="U61" s="37"/>
    </row>
    <row r="62" spans="1:21" x14ac:dyDescent="0.4">
      <c r="A62" s="37"/>
      <c r="B62" s="134"/>
      <c r="C62" s="37"/>
      <c r="D62" s="133"/>
      <c r="E62" s="12"/>
      <c r="F62" s="102"/>
      <c r="G62" s="102"/>
      <c r="H62" s="102"/>
      <c r="I62" s="153"/>
      <c r="J62" s="103"/>
      <c r="K62" s="153"/>
      <c r="L62" s="103"/>
      <c r="M62" s="155"/>
      <c r="N62" s="100"/>
      <c r="O62" s="139"/>
      <c r="P62" s="37"/>
      <c r="Q62" s="37"/>
      <c r="R62" s="12"/>
      <c r="S62" s="38"/>
      <c r="T62" s="37"/>
      <c r="U62" s="37"/>
    </row>
    <row r="63" spans="1:21" x14ac:dyDescent="0.4">
      <c r="A63" s="37"/>
      <c r="B63" s="134"/>
      <c r="C63" s="37"/>
      <c r="D63" s="133"/>
      <c r="E63" s="12"/>
      <c r="F63" s="102"/>
      <c r="G63" s="102"/>
      <c r="H63" s="102"/>
      <c r="I63" s="153"/>
      <c r="J63" s="103"/>
      <c r="K63" s="153"/>
      <c r="L63" s="103"/>
      <c r="M63" s="155"/>
      <c r="N63" s="100"/>
      <c r="O63" s="139"/>
      <c r="P63" s="37"/>
      <c r="Q63" s="37"/>
      <c r="R63" s="12"/>
      <c r="S63" s="38"/>
      <c r="T63" s="37"/>
      <c r="U63" s="37"/>
    </row>
    <row r="64" spans="1:21" x14ac:dyDescent="0.4">
      <c r="A64" s="37"/>
      <c r="B64" s="134"/>
      <c r="C64" s="37"/>
      <c r="D64" s="133"/>
      <c r="E64" s="12"/>
      <c r="F64" s="102"/>
      <c r="G64" s="102"/>
      <c r="H64" s="102"/>
      <c r="I64" s="153"/>
      <c r="J64" s="103"/>
      <c r="K64" s="153"/>
      <c r="L64" s="103"/>
      <c r="M64" s="155"/>
      <c r="N64" s="100"/>
      <c r="O64" s="139"/>
      <c r="P64" s="37"/>
      <c r="Q64" s="37"/>
      <c r="R64" s="12"/>
      <c r="S64" s="38"/>
      <c r="T64" s="37"/>
      <c r="U64" s="37"/>
    </row>
    <row r="65" spans="1:21" x14ac:dyDescent="0.4">
      <c r="A65" s="37"/>
      <c r="B65" s="134"/>
      <c r="C65" s="37"/>
      <c r="D65" s="133"/>
      <c r="E65" s="12"/>
      <c r="F65" s="102"/>
      <c r="G65" s="102"/>
      <c r="H65" s="102"/>
      <c r="I65" s="153"/>
      <c r="J65" s="103"/>
      <c r="K65" s="153"/>
      <c r="L65" s="103"/>
      <c r="M65" s="155"/>
      <c r="N65" s="100"/>
      <c r="O65" s="139"/>
      <c r="P65" s="37"/>
      <c r="Q65" s="37"/>
      <c r="R65" s="12"/>
      <c r="S65" s="38"/>
      <c r="T65" s="37"/>
      <c r="U65" s="37"/>
    </row>
    <row r="66" spans="1:21" x14ac:dyDescent="0.4">
      <c r="A66" s="37"/>
      <c r="B66" s="134"/>
      <c r="C66" s="37"/>
      <c r="D66" s="133"/>
      <c r="E66" s="12"/>
      <c r="F66" s="102"/>
      <c r="G66" s="102"/>
      <c r="H66" s="102"/>
      <c r="I66" s="153"/>
      <c r="J66" s="103"/>
      <c r="K66" s="153"/>
      <c r="L66" s="103"/>
      <c r="M66" s="155"/>
      <c r="N66" s="100"/>
      <c r="O66" s="139"/>
      <c r="P66" s="37"/>
      <c r="Q66" s="37"/>
      <c r="R66" s="12"/>
      <c r="S66" s="38"/>
      <c r="T66" s="37"/>
      <c r="U66" s="37"/>
    </row>
    <row r="67" spans="1:21" x14ac:dyDescent="0.4">
      <c r="A67" s="37"/>
      <c r="B67" s="134"/>
      <c r="C67" s="37"/>
      <c r="D67" s="133"/>
      <c r="E67" s="12"/>
      <c r="F67" s="102"/>
      <c r="G67" s="102"/>
      <c r="H67" s="102"/>
      <c r="I67" s="153"/>
      <c r="J67" s="103"/>
      <c r="K67" s="153"/>
      <c r="L67" s="103"/>
      <c r="M67" s="155"/>
      <c r="N67" s="100"/>
      <c r="O67" s="139"/>
      <c r="P67" s="37"/>
      <c r="Q67" s="37"/>
      <c r="R67" s="12"/>
      <c r="S67" s="38"/>
      <c r="T67" s="37"/>
      <c r="U67" s="37"/>
    </row>
    <row r="68" spans="1:21" x14ac:dyDescent="0.4">
      <c r="A68" s="37"/>
      <c r="B68" s="134"/>
      <c r="C68" s="37"/>
      <c r="D68" s="133"/>
      <c r="E68" s="12"/>
      <c r="F68" s="102"/>
      <c r="G68" s="102"/>
      <c r="H68" s="102"/>
      <c r="I68" s="153"/>
      <c r="J68" s="103"/>
      <c r="K68" s="153"/>
      <c r="L68" s="103"/>
      <c r="M68" s="155"/>
      <c r="N68" s="100"/>
      <c r="O68" s="139"/>
      <c r="P68" s="37"/>
      <c r="Q68" s="37"/>
      <c r="R68" s="12"/>
      <c r="S68" s="38"/>
      <c r="T68" s="37"/>
      <c r="U68" s="37"/>
    </row>
    <row r="69" spans="1:21" x14ac:dyDescent="0.4">
      <c r="A69" s="37"/>
      <c r="B69" s="134"/>
      <c r="C69" s="37"/>
      <c r="D69" s="133"/>
      <c r="E69" s="12"/>
      <c r="F69" s="102"/>
      <c r="G69" s="102"/>
      <c r="H69" s="102"/>
      <c r="I69" s="153"/>
      <c r="J69" s="103"/>
      <c r="K69" s="153"/>
      <c r="L69" s="103"/>
      <c r="M69" s="155"/>
      <c r="N69" s="100"/>
      <c r="O69" s="139"/>
      <c r="P69" s="37"/>
      <c r="Q69" s="37"/>
      <c r="R69" s="12"/>
      <c r="S69" s="38"/>
      <c r="T69" s="37"/>
      <c r="U69" s="37"/>
    </row>
    <row r="70" spans="1:21" x14ac:dyDescent="0.4">
      <c r="A70" s="37"/>
      <c r="B70" s="134"/>
      <c r="C70" s="37"/>
      <c r="D70" s="133"/>
      <c r="E70" s="12"/>
      <c r="F70" s="102"/>
      <c r="G70" s="102"/>
      <c r="H70" s="102"/>
      <c r="I70" s="153"/>
      <c r="J70" s="103"/>
      <c r="K70" s="153"/>
      <c r="L70" s="103"/>
      <c r="M70" s="155"/>
      <c r="N70" s="100"/>
      <c r="O70" s="139"/>
      <c r="P70" s="37"/>
      <c r="Q70" s="37"/>
      <c r="R70" s="12"/>
      <c r="S70" s="38"/>
      <c r="T70" s="37"/>
      <c r="U70" s="37"/>
    </row>
    <row r="71" spans="1:21" x14ac:dyDescent="0.4">
      <c r="A71" s="37"/>
      <c r="B71" s="134"/>
      <c r="C71" s="37"/>
      <c r="D71" s="133"/>
      <c r="E71" s="12"/>
      <c r="F71" s="102"/>
      <c r="G71" s="102"/>
      <c r="H71" s="102"/>
      <c r="I71" s="153"/>
      <c r="J71" s="103"/>
      <c r="K71" s="153"/>
      <c r="L71" s="103"/>
      <c r="M71" s="155"/>
      <c r="N71" s="100"/>
      <c r="O71" s="139"/>
      <c r="P71" s="37"/>
      <c r="Q71" s="37"/>
      <c r="R71" s="12"/>
      <c r="S71" s="38"/>
      <c r="T71" s="37"/>
      <c r="U71" s="37"/>
    </row>
    <row r="72" spans="1:21" x14ac:dyDescent="0.4">
      <c r="A72" s="37"/>
      <c r="B72" s="134"/>
      <c r="C72" s="37"/>
      <c r="D72" s="133"/>
      <c r="E72" s="12"/>
      <c r="F72" s="102"/>
      <c r="G72" s="102"/>
      <c r="H72" s="102"/>
      <c r="I72" s="153"/>
      <c r="J72" s="103"/>
      <c r="K72" s="153"/>
      <c r="L72" s="103"/>
      <c r="M72" s="155"/>
      <c r="N72" s="100"/>
      <c r="O72" s="139"/>
      <c r="P72" s="37"/>
      <c r="Q72" s="37"/>
      <c r="R72" s="12"/>
      <c r="S72" s="38"/>
      <c r="T72" s="37"/>
      <c r="U72" s="37"/>
    </row>
    <row r="73" spans="1:21" x14ac:dyDescent="0.4">
      <c r="A73" s="37"/>
      <c r="B73" s="134"/>
      <c r="C73" s="37"/>
      <c r="D73" s="133"/>
      <c r="E73" s="12"/>
      <c r="F73" s="102"/>
      <c r="G73" s="102"/>
      <c r="H73" s="102"/>
      <c r="I73" s="153"/>
      <c r="J73" s="103"/>
      <c r="K73" s="153"/>
      <c r="L73" s="103"/>
      <c r="M73" s="155"/>
      <c r="N73" s="100"/>
      <c r="O73" s="139"/>
      <c r="P73" s="37"/>
      <c r="Q73" s="37"/>
      <c r="R73" s="12"/>
      <c r="S73" s="38"/>
      <c r="T73" s="37"/>
      <c r="U73" s="37"/>
    </row>
    <row r="74" spans="1:21" x14ac:dyDescent="0.4">
      <c r="A74" s="37"/>
      <c r="B74" s="134"/>
      <c r="C74" s="37"/>
      <c r="D74" s="133"/>
      <c r="E74" s="12"/>
      <c r="F74" s="102"/>
      <c r="G74" s="102"/>
      <c r="H74" s="102"/>
      <c r="I74" s="153"/>
      <c r="J74" s="103"/>
      <c r="K74" s="153"/>
      <c r="L74" s="103"/>
      <c r="M74" s="155"/>
      <c r="N74" s="100"/>
      <c r="O74" s="139"/>
      <c r="P74" s="37"/>
      <c r="Q74" s="37"/>
      <c r="R74" s="12"/>
      <c r="S74" s="38"/>
      <c r="T74" s="37"/>
      <c r="U74" s="37"/>
    </row>
    <row r="75" spans="1:21" x14ac:dyDescent="0.4">
      <c r="A75" s="37"/>
      <c r="B75" s="134"/>
      <c r="C75" s="37"/>
      <c r="D75" s="133"/>
      <c r="E75" s="12"/>
      <c r="F75" s="102"/>
      <c r="G75" s="102"/>
      <c r="H75" s="102"/>
      <c r="I75" s="153"/>
      <c r="J75" s="103"/>
      <c r="K75" s="153"/>
      <c r="L75" s="103"/>
      <c r="M75" s="155"/>
      <c r="N75" s="100"/>
      <c r="O75" s="139"/>
      <c r="P75" s="37"/>
      <c r="Q75" s="37"/>
      <c r="R75" s="12"/>
      <c r="S75" s="38"/>
      <c r="T75" s="37"/>
      <c r="U75" s="37"/>
    </row>
    <row r="76" spans="1:21" x14ac:dyDescent="0.4">
      <c r="A76" s="37"/>
      <c r="B76" s="134"/>
      <c r="C76" s="37"/>
      <c r="D76" s="133"/>
      <c r="E76" s="12"/>
      <c r="F76" s="102"/>
      <c r="G76" s="102"/>
      <c r="H76" s="102"/>
      <c r="I76" s="153"/>
      <c r="J76" s="103"/>
      <c r="K76" s="153"/>
      <c r="L76" s="103"/>
      <c r="M76" s="155"/>
      <c r="N76" s="100"/>
      <c r="O76" s="139"/>
      <c r="P76" s="37"/>
      <c r="Q76" s="37"/>
      <c r="R76" s="12"/>
      <c r="S76" s="38"/>
      <c r="T76" s="37"/>
      <c r="U76" s="37"/>
    </row>
    <row r="77" spans="1:21" x14ac:dyDescent="0.4">
      <c r="A77" s="37"/>
      <c r="B77" s="134"/>
      <c r="C77" s="37"/>
      <c r="D77" s="133"/>
      <c r="E77" s="12"/>
      <c r="F77" s="102"/>
      <c r="G77" s="102"/>
      <c r="H77" s="102"/>
      <c r="I77" s="153"/>
      <c r="J77" s="103"/>
      <c r="K77" s="153"/>
      <c r="L77" s="103"/>
      <c r="M77" s="155"/>
      <c r="N77" s="100"/>
      <c r="O77" s="139"/>
      <c r="P77" s="37"/>
      <c r="Q77" s="37"/>
      <c r="R77" s="12"/>
      <c r="S77" s="38"/>
      <c r="T77" s="37"/>
      <c r="U77" s="37"/>
    </row>
    <row r="78" spans="1:21" x14ac:dyDescent="0.4">
      <c r="A78" s="37"/>
      <c r="B78" s="134"/>
      <c r="C78" s="37"/>
      <c r="D78" s="133"/>
      <c r="E78" s="12"/>
      <c r="F78" s="102"/>
      <c r="G78" s="102"/>
      <c r="H78" s="102"/>
      <c r="I78" s="153"/>
      <c r="J78" s="103"/>
      <c r="K78" s="153"/>
      <c r="L78" s="103"/>
      <c r="M78" s="155"/>
      <c r="N78" s="100"/>
      <c r="O78" s="139"/>
      <c r="P78" s="37"/>
      <c r="Q78" s="37"/>
      <c r="R78" s="12"/>
      <c r="S78" s="38"/>
      <c r="T78" s="37"/>
      <c r="U78" s="37"/>
    </row>
    <row r="79" spans="1:21" x14ac:dyDescent="0.4">
      <c r="A79" s="37"/>
      <c r="B79" s="134"/>
      <c r="C79" s="37"/>
      <c r="D79" s="133"/>
      <c r="E79" s="12"/>
      <c r="F79" s="102"/>
      <c r="G79" s="102"/>
      <c r="H79" s="102"/>
      <c r="I79" s="153"/>
      <c r="J79" s="103"/>
      <c r="K79" s="153"/>
      <c r="L79" s="103"/>
      <c r="M79" s="155"/>
      <c r="N79" s="100"/>
      <c r="O79" s="139"/>
      <c r="P79" s="37"/>
      <c r="Q79" s="37"/>
      <c r="R79" s="12"/>
      <c r="S79" s="38"/>
      <c r="T79" s="37"/>
      <c r="U79" s="37"/>
    </row>
    <row r="80" spans="1:21" x14ac:dyDescent="0.4">
      <c r="A80" s="37"/>
      <c r="B80" s="134"/>
      <c r="C80" s="37"/>
      <c r="D80" s="133"/>
      <c r="E80" s="12"/>
      <c r="F80" s="102"/>
      <c r="G80" s="102"/>
      <c r="H80" s="102"/>
      <c r="I80" s="153"/>
      <c r="J80" s="103"/>
      <c r="K80" s="153"/>
      <c r="L80" s="103"/>
      <c r="M80" s="155"/>
      <c r="N80" s="100"/>
      <c r="O80" s="139"/>
      <c r="P80" s="37"/>
      <c r="Q80" s="37"/>
      <c r="R80" s="12"/>
      <c r="S80" s="38"/>
      <c r="T80" s="37"/>
      <c r="U80" s="37"/>
    </row>
    <row r="81" spans="1:21" x14ac:dyDescent="0.4">
      <c r="A81" s="37"/>
      <c r="B81" s="134"/>
      <c r="C81" s="37"/>
      <c r="D81" s="133"/>
      <c r="E81" s="12"/>
      <c r="F81" s="102"/>
      <c r="G81" s="102"/>
      <c r="H81" s="102"/>
      <c r="I81" s="153"/>
      <c r="J81" s="103"/>
      <c r="K81" s="153"/>
      <c r="L81" s="103"/>
      <c r="M81" s="155"/>
      <c r="N81" s="100"/>
      <c r="O81" s="139"/>
      <c r="P81" s="37"/>
      <c r="Q81" s="37"/>
      <c r="R81" s="12"/>
      <c r="S81" s="38"/>
      <c r="T81" s="37"/>
      <c r="U81" s="37"/>
    </row>
    <row r="82" spans="1:21" x14ac:dyDescent="0.4">
      <c r="A82" s="37"/>
      <c r="B82" s="134"/>
      <c r="C82" s="37"/>
      <c r="D82" s="133"/>
      <c r="E82" s="12"/>
      <c r="F82" s="102"/>
      <c r="G82" s="102"/>
      <c r="H82" s="102"/>
      <c r="I82" s="153"/>
      <c r="J82" s="103"/>
      <c r="K82" s="153"/>
      <c r="L82" s="103"/>
      <c r="M82" s="155"/>
      <c r="N82" s="100"/>
      <c r="O82" s="139"/>
      <c r="P82" s="37"/>
      <c r="Q82" s="37"/>
      <c r="R82" s="12"/>
      <c r="S82" s="38"/>
      <c r="T82" s="37"/>
      <c r="U82" s="37"/>
    </row>
    <row r="83" spans="1:21" x14ac:dyDescent="0.4">
      <c r="A83" s="37"/>
      <c r="B83" s="134"/>
      <c r="C83" s="37"/>
      <c r="D83" s="133"/>
      <c r="E83" s="12"/>
      <c r="F83" s="102"/>
      <c r="G83" s="102"/>
      <c r="H83" s="102"/>
      <c r="I83" s="153"/>
      <c r="J83" s="103"/>
      <c r="K83" s="153"/>
      <c r="L83" s="103"/>
      <c r="M83" s="155"/>
      <c r="N83" s="100"/>
      <c r="O83" s="139"/>
      <c r="P83" s="37"/>
      <c r="Q83" s="37"/>
      <c r="R83" s="12"/>
      <c r="S83" s="38"/>
      <c r="T83" s="37"/>
      <c r="U83" s="37"/>
    </row>
    <row r="84" spans="1:21" x14ac:dyDescent="0.4">
      <c r="A84" s="37"/>
      <c r="B84" s="134"/>
      <c r="C84" s="37"/>
      <c r="D84" s="133"/>
      <c r="E84" s="9"/>
      <c r="F84" s="102"/>
      <c r="G84" s="102"/>
      <c r="H84" s="102"/>
      <c r="I84" s="153"/>
      <c r="J84" s="103"/>
      <c r="K84" s="153"/>
      <c r="L84" s="103"/>
      <c r="M84" s="155"/>
      <c r="N84" s="100"/>
      <c r="O84" s="139"/>
      <c r="P84" s="37"/>
      <c r="Q84" s="37"/>
      <c r="R84" s="12"/>
      <c r="S84" s="38"/>
      <c r="T84" s="37"/>
      <c r="U84" s="37"/>
    </row>
    <row r="85" spans="1:21" x14ac:dyDescent="0.4">
      <c r="A85" s="37"/>
      <c r="B85" s="134"/>
      <c r="C85" s="37"/>
      <c r="D85" s="133"/>
      <c r="E85" s="12"/>
      <c r="F85" s="102"/>
      <c r="G85" s="102"/>
      <c r="H85" s="102"/>
      <c r="I85" s="153"/>
      <c r="J85" s="103"/>
      <c r="K85" s="153"/>
      <c r="L85" s="103"/>
      <c r="M85" s="155"/>
      <c r="N85" s="100"/>
      <c r="O85" s="139"/>
      <c r="P85" s="37"/>
      <c r="Q85" s="37"/>
      <c r="R85" s="12"/>
      <c r="S85" s="38"/>
      <c r="T85" s="37"/>
      <c r="U85" s="37"/>
    </row>
    <row r="86" spans="1:21" x14ac:dyDescent="0.4">
      <c r="A86" s="37"/>
      <c r="B86" s="134"/>
      <c r="C86" s="37"/>
      <c r="D86" s="133"/>
      <c r="E86" s="12"/>
      <c r="F86" s="102"/>
      <c r="G86" s="102"/>
      <c r="H86" s="102"/>
      <c r="I86" s="153"/>
      <c r="J86" s="103"/>
      <c r="K86" s="153"/>
      <c r="L86" s="103"/>
      <c r="M86" s="155"/>
      <c r="N86" s="100"/>
      <c r="O86" s="139"/>
      <c r="P86" s="37"/>
      <c r="Q86" s="37"/>
      <c r="R86" s="12"/>
      <c r="S86" s="38"/>
      <c r="T86" s="37"/>
      <c r="U86" s="37"/>
    </row>
    <row r="87" spans="1:21" x14ac:dyDescent="0.4">
      <c r="A87" s="37"/>
      <c r="B87" s="134"/>
      <c r="C87" s="37"/>
      <c r="D87" s="133"/>
      <c r="E87" s="12"/>
      <c r="F87" s="102"/>
      <c r="G87" s="102"/>
      <c r="H87" s="102"/>
      <c r="I87" s="153"/>
      <c r="J87" s="103"/>
      <c r="K87" s="153"/>
      <c r="L87" s="103"/>
      <c r="M87" s="155"/>
      <c r="N87" s="100"/>
      <c r="O87" s="139"/>
      <c r="P87" s="37"/>
      <c r="Q87" s="37"/>
      <c r="R87" s="12"/>
      <c r="S87" s="38"/>
      <c r="T87" s="37"/>
      <c r="U87" s="37"/>
    </row>
    <row r="88" spans="1:21" x14ac:dyDescent="0.4">
      <c r="A88" s="37"/>
      <c r="B88" s="134"/>
      <c r="C88" s="37"/>
      <c r="D88" s="133"/>
      <c r="E88" s="12"/>
      <c r="F88" s="102"/>
      <c r="G88" s="102"/>
      <c r="H88" s="102"/>
      <c r="I88" s="153"/>
      <c r="J88" s="103"/>
      <c r="K88" s="153"/>
      <c r="L88" s="103"/>
      <c r="M88" s="155"/>
      <c r="N88" s="100"/>
      <c r="O88" s="139"/>
      <c r="P88" s="37"/>
      <c r="Q88" s="37"/>
      <c r="R88" s="12"/>
      <c r="S88" s="38"/>
      <c r="T88" s="37"/>
      <c r="U88" s="37"/>
    </row>
    <row r="89" spans="1:21" x14ac:dyDescent="0.4">
      <c r="A89" s="37"/>
      <c r="B89" s="134"/>
      <c r="C89" s="37"/>
      <c r="D89" s="133"/>
      <c r="E89" s="12"/>
      <c r="F89" s="102"/>
      <c r="G89" s="102"/>
      <c r="H89" s="102"/>
      <c r="I89" s="153"/>
      <c r="J89" s="103"/>
      <c r="K89" s="153"/>
      <c r="L89" s="103"/>
      <c r="M89" s="155"/>
      <c r="N89" s="100"/>
      <c r="O89" s="139"/>
      <c r="P89" s="37"/>
      <c r="Q89" s="37"/>
      <c r="R89" s="12"/>
      <c r="S89" s="38"/>
      <c r="T89" s="37"/>
      <c r="U89" s="37"/>
    </row>
    <row r="90" spans="1:21" x14ac:dyDescent="0.4">
      <c r="A90" s="37"/>
      <c r="B90" s="134"/>
      <c r="C90" s="37"/>
      <c r="D90" s="133"/>
      <c r="E90" s="12"/>
      <c r="F90" s="102"/>
      <c r="G90" s="102"/>
      <c r="H90" s="102"/>
      <c r="I90" s="153"/>
      <c r="J90" s="103"/>
      <c r="K90" s="153"/>
      <c r="L90" s="103"/>
      <c r="M90" s="155"/>
      <c r="N90" s="100"/>
      <c r="O90" s="139"/>
      <c r="P90" s="37"/>
      <c r="Q90" s="37"/>
      <c r="R90" s="12"/>
      <c r="S90" s="38"/>
      <c r="T90" s="37"/>
      <c r="U90" s="37"/>
    </row>
    <row r="91" spans="1:21" x14ac:dyDescent="0.4">
      <c r="A91" s="37"/>
      <c r="B91" s="134"/>
      <c r="C91" s="37"/>
      <c r="D91" s="133"/>
      <c r="E91" s="12"/>
      <c r="F91" s="102"/>
      <c r="G91" s="102"/>
      <c r="H91" s="102"/>
      <c r="I91" s="153"/>
      <c r="J91" s="103"/>
      <c r="K91" s="153"/>
      <c r="L91" s="103"/>
      <c r="M91" s="155"/>
      <c r="N91" s="100"/>
      <c r="O91" s="139"/>
      <c r="P91" s="37"/>
      <c r="Q91" s="37"/>
      <c r="R91" s="12"/>
      <c r="S91" s="38"/>
      <c r="T91" s="37"/>
      <c r="U91" s="37"/>
    </row>
    <row r="92" spans="1:21" x14ac:dyDescent="0.4">
      <c r="A92" s="37"/>
      <c r="B92" s="134"/>
      <c r="C92" s="37"/>
      <c r="D92" s="133"/>
      <c r="E92" s="12"/>
      <c r="F92" s="102"/>
      <c r="G92" s="102"/>
      <c r="H92" s="102"/>
      <c r="I92" s="153"/>
      <c r="J92" s="103"/>
      <c r="K92" s="153"/>
      <c r="L92" s="103"/>
      <c r="M92" s="155"/>
      <c r="N92" s="100"/>
      <c r="O92" s="139"/>
      <c r="P92" s="37"/>
      <c r="Q92" s="37"/>
      <c r="R92" s="12"/>
      <c r="S92" s="38"/>
      <c r="T92" s="37"/>
      <c r="U92" s="37"/>
    </row>
    <row r="93" spans="1:21" x14ac:dyDescent="0.4">
      <c r="A93" s="37"/>
      <c r="B93" s="134"/>
      <c r="C93" s="37"/>
      <c r="D93" s="133"/>
      <c r="E93" s="12"/>
      <c r="F93" s="102"/>
      <c r="G93" s="102"/>
      <c r="H93" s="102"/>
      <c r="I93" s="153"/>
      <c r="J93" s="103"/>
      <c r="K93" s="153"/>
      <c r="L93" s="103"/>
      <c r="M93" s="155"/>
      <c r="N93" s="100"/>
      <c r="O93" s="139"/>
      <c r="P93" s="37"/>
      <c r="Q93" s="37"/>
      <c r="R93" s="12"/>
      <c r="S93" s="38"/>
      <c r="T93" s="37"/>
      <c r="U93" s="37"/>
    </row>
    <row r="94" spans="1:21" x14ac:dyDescent="0.4">
      <c r="A94" s="37"/>
      <c r="B94" s="134"/>
      <c r="C94" s="37"/>
      <c r="D94" s="133"/>
      <c r="E94" s="12"/>
      <c r="F94" s="102"/>
      <c r="G94" s="102"/>
      <c r="H94" s="102"/>
      <c r="I94" s="153"/>
      <c r="J94" s="103"/>
      <c r="K94" s="153"/>
      <c r="L94" s="103"/>
      <c r="M94" s="155"/>
      <c r="N94" s="100"/>
      <c r="O94" s="139"/>
      <c r="P94" s="37"/>
      <c r="Q94" s="37"/>
      <c r="R94" s="12"/>
      <c r="S94" s="38"/>
      <c r="T94" s="37"/>
      <c r="U94" s="37"/>
    </row>
    <row r="95" spans="1:21" x14ac:dyDescent="0.4">
      <c r="A95" s="37"/>
      <c r="B95" s="134"/>
      <c r="C95" s="37"/>
      <c r="D95" s="133"/>
      <c r="E95" s="12"/>
      <c r="F95" s="102"/>
      <c r="G95" s="102"/>
      <c r="H95" s="102"/>
      <c r="I95" s="153"/>
      <c r="J95" s="103"/>
      <c r="K95" s="153"/>
      <c r="L95" s="103"/>
      <c r="M95" s="155"/>
      <c r="N95" s="100"/>
      <c r="O95" s="139"/>
      <c r="P95" s="37"/>
      <c r="Q95" s="37"/>
      <c r="R95" s="12"/>
      <c r="S95" s="38"/>
      <c r="T95" s="37"/>
      <c r="U95" s="37"/>
    </row>
    <row r="96" spans="1:21" x14ac:dyDescent="0.4">
      <c r="A96" s="37"/>
      <c r="B96" s="134"/>
      <c r="C96" s="37"/>
      <c r="D96" s="133"/>
      <c r="E96" s="12"/>
      <c r="F96" s="102"/>
      <c r="G96" s="102"/>
      <c r="H96" s="102"/>
      <c r="I96" s="153"/>
      <c r="J96" s="103"/>
      <c r="K96" s="153"/>
      <c r="L96" s="103"/>
      <c r="M96" s="155"/>
      <c r="N96" s="100"/>
      <c r="O96" s="139"/>
      <c r="P96" s="37"/>
      <c r="Q96" s="37"/>
      <c r="R96" s="12"/>
      <c r="S96" s="38"/>
      <c r="T96" s="37"/>
      <c r="U96" s="37"/>
    </row>
    <row r="97" spans="1:21" x14ac:dyDescent="0.4">
      <c r="A97" s="37"/>
      <c r="B97" s="134"/>
      <c r="C97" s="37"/>
      <c r="D97" s="133"/>
      <c r="E97" s="12"/>
      <c r="F97" s="102"/>
      <c r="G97" s="102"/>
      <c r="H97" s="102"/>
      <c r="I97" s="153"/>
      <c r="J97" s="103"/>
      <c r="K97" s="153"/>
      <c r="L97" s="103"/>
      <c r="M97" s="155"/>
      <c r="N97" s="100"/>
      <c r="O97" s="139"/>
      <c r="P97" s="37"/>
      <c r="Q97" s="37"/>
      <c r="R97" s="12"/>
      <c r="S97" s="38"/>
      <c r="T97" s="37"/>
      <c r="U97" s="37"/>
    </row>
    <row r="98" spans="1:21" x14ac:dyDescent="0.4">
      <c r="A98" s="37"/>
      <c r="B98" s="134"/>
      <c r="C98" s="37"/>
      <c r="D98" s="133"/>
      <c r="E98" s="12"/>
      <c r="F98" s="102"/>
      <c r="G98" s="102"/>
      <c r="H98" s="102"/>
      <c r="I98" s="153"/>
      <c r="J98" s="103"/>
      <c r="K98" s="153"/>
      <c r="L98" s="103"/>
      <c r="M98" s="155"/>
      <c r="N98" s="100"/>
      <c r="O98" s="139"/>
      <c r="P98" s="37"/>
      <c r="Q98" s="37"/>
      <c r="R98" s="12"/>
      <c r="S98" s="38"/>
      <c r="T98" s="37"/>
      <c r="U98" s="37"/>
    </row>
    <row r="99" spans="1:21" x14ac:dyDescent="0.4">
      <c r="A99" s="37"/>
      <c r="B99" s="134"/>
      <c r="C99" s="37"/>
      <c r="D99" s="133"/>
      <c r="E99" s="12"/>
      <c r="F99" s="102"/>
      <c r="G99" s="102"/>
      <c r="H99" s="102"/>
      <c r="I99" s="153"/>
      <c r="J99" s="103"/>
      <c r="K99" s="153"/>
      <c r="L99" s="103"/>
      <c r="M99" s="155"/>
      <c r="N99" s="100"/>
      <c r="O99" s="139"/>
      <c r="P99" s="37"/>
      <c r="Q99" s="37"/>
      <c r="R99" s="12"/>
      <c r="S99" s="38"/>
      <c r="T99" s="37"/>
      <c r="U99" s="37"/>
    </row>
    <row r="100" spans="1:21" x14ac:dyDescent="0.4">
      <c r="A100" s="37"/>
      <c r="B100" s="134"/>
      <c r="C100" s="37"/>
      <c r="D100" s="133"/>
      <c r="E100" s="12"/>
      <c r="F100" s="102"/>
      <c r="G100" s="102"/>
      <c r="H100" s="102"/>
      <c r="I100" s="153"/>
      <c r="J100" s="103"/>
      <c r="K100" s="153"/>
      <c r="L100" s="103"/>
      <c r="M100" s="155"/>
      <c r="N100" s="100"/>
      <c r="O100" s="139"/>
      <c r="P100" s="37"/>
      <c r="Q100" s="37"/>
      <c r="R100" s="12"/>
      <c r="S100" s="38"/>
      <c r="T100" s="37"/>
      <c r="U100" s="37"/>
    </row>
    <row r="101" spans="1:21" x14ac:dyDescent="0.4">
      <c r="A101" s="37"/>
      <c r="B101" s="134"/>
      <c r="C101" s="37"/>
      <c r="D101" s="133"/>
      <c r="E101" s="12"/>
      <c r="F101" s="102"/>
      <c r="G101" s="102"/>
      <c r="H101" s="102"/>
      <c r="I101" s="153"/>
      <c r="J101" s="103"/>
      <c r="K101" s="153"/>
      <c r="L101" s="103"/>
      <c r="M101" s="155"/>
      <c r="N101" s="100"/>
      <c r="O101" s="139"/>
      <c r="P101" s="37"/>
      <c r="Q101" s="37"/>
      <c r="R101" s="12"/>
      <c r="S101" s="38"/>
      <c r="T101" s="37"/>
      <c r="U101" s="37"/>
    </row>
    <row r="102" spans="1:21" x14ac:dyDescent="0.4">
      <c r="A102" s="37"/>
      <c r="B102" s="134"/>
      <c r="C102" s="37"/>
      <c r="D102" s="133"/>
      <c r="E102" s="12"/>
      <c r="F102" s="102"/>
      <c r="G102" s="102"/>
      <c r="H102" s="102"/>
      <c r="I102" s="153"/>
      <c r="J102" s="103"/>
      <c r="K102" s="153"/>
      <c r="L102" s="103"/>
      <c r="M102" s="155"/>
      <c r="N102" s="100"/>
      <c r="O102" s="139"/>
      <c r="P102" s="37"/>
      <c r="Q102" s="37"/>
      <c r="R102" s="12"/>
      <c r="S102" s="38"/>
      <c r="T102" s="37"/>
      <c r="U102" s="37"/>
    </row>
    <row r="103" spans="1:21" x14ac:dyDescent="0.4">
      <c r="A103" s="37"/>
      <c r="B103" s="134"/>
      <c r="C103" s="37"/>
      <c r="D103" s="133"/>
      <c r="E103" s="12"/>
      <c r="F103" s="102"/>
      <c r="G103" s="102"/>
      <c r="H103" s="102"/>
      <c r="I103" s="153"/>
      <c r="J103" s="103"/>
      <c r="K103" s="153"/>
      <c r="L103" s="103"/>
      <c r="M103" s="155"/>
      <c r="N103" s="100"/>
      <c r="O103" s="139"/>
      <c r="P103" s="37"/>
      <c r="Q103" s="37"/>
      <c r="R103" s="12"/>
      <c r="S103" s="38"/>
      <c r="T103" s="37"/>
      <c r="U103" s="37"/>
    </row>
    <row r="104" spans="1:21" x14ac:dyDescent="0.4">
      <c r="A104" s="37"/>
      <c r="B104" s="134"/>
      <c r="C104" s="37"/>
      <c r="D104" s="133"/>
      <c r="E104" s="9"/>
      <c r="F104" s="102"/>
      <c r="G104" s="102"/>
      <c r="H104" s="102"/>
      <c r="I104" s="153"/>
      <c r="J104" s="103"/>
      <c r="K104" s="153"/>
      <c r="L104" s="103"/>
      <c r="M104" s="155"/>
      <c r="N104" s="100"/>
      <c r="O104" s="139"/>
      <c r="P104" s="37"/>
      <c r="Q104" s="37"/>
      <c r="R104" s="12"/>
      <c r="S104" s="38"/>
      <c r="T104" s="37"/>
      <c r="U104" s="37"/>
    </row>
    <row r="105" spans="1:21" x14ac:dyDescent="0.4">
      <c r="A105" s="37"/>
      <c r="B105" s="134"/>
      <c r="C105" s="37"/>
      <c r="D105" s="133"/>
      <c r="E105" s="12"/>
      <c r="F105" s="102"/>
      <c r="G105" s="102"/>
      <c r="H105" s="102"/>
      <c r="I105" s="153"/>
      <c r="J105" s="103"/>
      <c r="K105" s="153"/>
      <c r="L105" s="103"/>
      <c r="M105" s="155"/>
      <c r="N105" s="100"/>
      <c r="O105" s="139"/>
      <c r="P105" s="37"/>
      <c r="Q105" s="37"/>
      <c r="R105" s="12"/>
      <c r="S105" s="38"/>
      <c r="T105" s="37"/>
      <c r="U105" s="37"/>
    </row>
    <row r="106" spans="1:21" x14ac:dyDescent="0.4">
      <c r="A106" s="37"/>
      <c r="B106" s="134"/>
      <c r="C106" s="37"/>
      <c r="D106" s="133"/>
      <c r="E106" s="12"/>
      <c r="F106" s="102"/>
      <c r="G106" s="102"/>
      <c r="H106" s="102"/>
      <c r="I106" s="153"/>
      <c r="J106" s="103"/>
      <c r="K106" s="153"/>
      <c r="L106" s="103"/>
      <c r="M106" s="155"/>
      <c r="N106" s="100"/>
      <c r="O106" s="139"/>
      <c r="P106" s="37"/>
      <c r="Q106" s="37"/>
      <c r="R106" s="12"/>
      <c r="S106" s="38"/>
      <c r="T106" s="37"/>
      <c r="U106" s="37"/>
    </row>
    <row r="107" spans="1:21" x14ac:dyDescent="0.4">
      <c r="A107" s="37"/>
      <c r="B107" s="134"/>
      <c r="C107" s="37"/>
      <c r="D107" s="133"/>
      <c r="E107" s="12"/>
      <c r="F107" s="102"/>
      <c r="G107" s="102"/>
      <c r="H107" s="102"/>
      <c r="I107" s="153"/>
      <c r="J107" s="103"/>
      <c r="K107" s="153"/>
      <c r="L107" s="103"/>
      <c r="M107" s="155"/>
      <c r="N107" s="100"/>
      <c r="O107" s="139"/>
      <c r="P107" s="37"/>
      <c r="Q107" s="37"/>
      <c r="R107" s="12"/>
      <c r="S107" s="38"/>
      <c r="T107" s="37"/>
      <c r="U107" s="37"/>
    </row>
    <row r="108" spans="1:21" x14ac:dyDescent="0.4">
      <c r="A108" s="37"/>
      <c r="B108" s="134"/>
      <c r="C108" s="37"/>
      <c r="D108" s="133"/>
      <c r="E108" s="12"/>
      <c r="F108" s="102"/>
      <c r="G108" s="102"/>
      <c r="H108" s="102"/>
      <c r="I108" s="153"/>
      <c r="J108" s="103"/>
      <c r="K108" s="153"/>
      <c r="L108" s="103"/>
      <c r="M108" s="155"/>
      <c r="N108" s="100"/>
      <c r="O108" s="139"/>
      <c r="P108" s="37"/>
      <c r="Q108" s="37"/>
      <c r="R108" s="12"/>
      <c r="S108" s="38"/>
      <c r="T108" s="37"/>
      <c r="U108" s="37"/>
    </row>
    <row r="109" spans="1:21" x14ac:dyDescent="0.4">
      <c r="A109" s="37"/>
      <c r="B109" s="134"/>
      <c r="C109" s="37"/>
      <c r="D109" s="133"/>
      <c r="E109" s="12"/>
      <c r="F109" s="102"/>
      <c r="G109" s="102"/>
      <c r="H109" s="102"/>
      <c r="I109" s="153"/>
      <c r="J109" s="103"/>
      <c r="K109" s="153"/>
      <c r="L109" s="103"/>
      <c r="M109" s="155"/>
      <c r="N109" s="100"/>
      <c r="O109" s="139"/>
      <c r="P109" s="37"/>
      <c r="Q109" s="37"/>
      <c r="R109" s="12"/>
      <c r="S109" s="38"/>
      <c r="T109" s="37"/>
      <c r="U109" s="37"/>
    </row>
    <row r="110" spans="1:21" x14ac:dyDescent="0.4">
      <c r="A110" s="37"/>
      <c r="B110" s="134"/>
      <c r="C110" s="37"/>
      <c r="D110" s="133"/>
      <c r="E110" s="12"/>
      <c r="F110" s="102"/>
      <c r="G110" s="102"/>
      <c r="H110" s="102"/>
      <c r="I110" s="153"/>
      <c r="J110" s="103"/>
      <c r="K110" s="153"/>
      <c r="L110" s="103"/>
      <c r="M110" s="155"/>
      <c r="N110" s="100"/>
      <c r="O110" s="139"/>
      <c r="P110" s="37"/>
      <c r="Q110" s="37"/>
      <c r="R110" s="12"/>
      <c r="S110" s="38"/>
      <c r="T110" s="37"/>
      <c r="U110" s="37"/>
    </row>
    <row r="111" spans="1:21" x14ac:dyDescent="0.4">
      <c r="A111" s="37"/>
      <c r="B111" s="134"/>
      <c r="C111" s="37"/>
      <c r="D111" s="133"/>
      <c r="E111" s="12"/>
      <c r="F111" s="102"/>
      <c r="G111" s="102"/>
      <c r="H111" s="102"/>
      <c r="I111" s="153"/>
      <c r="J111" s="103"/>
      <c r="K111" s="153"/>
      <c r="L111" s="103"/>
      <c r="M111" s="155"/>
      <c r="N111" s="100"/>
      <c r="O111" s="139"/>
      <c r="P111" s="37"/>
      <c r="Q111" s="37"/>
      <c r="R111" s="12"/>
      <c r="S111" s="38"/>
      <c r="T111" s="37"/>
      <c r="U111" s="37"/>
    </row>
    <row r="112" spans="1:21" x14ac:dyDescent="0.4">
      <c r="A112" s="37"/>
      <c r="B112" s="134"/>
      <c r="C112" s="37"/>
      <c r="D112" s="133"/>
      <c r="E112" s="12"/>
      <c r="F112" s="102"/>
      <c r="G112" s="102"/>
      <c r="H112" s="102"/>
      <c r="I112" s="153"/>
      <c r="J112" s="103"/>
      <c r="K112" s="153"/>
      <c r="L112" s="103"/>
      <c r="M112" s="155"/>
      <c r="N112" s="100"/>
      <c r="O112" s="139"/>
      <c r="P112" s="37"/>
      <c r="Q112" s="37"/>
      <c r="R112" s="12"/>
      <c r="S112" s="38"/>
      <c r="T112" s="37"/>
      <c r="U112" s="37"/>
    </row>
    <row r="113" spans="1:21" x14ac:dyDescent="0.4">
      <c r="A113" s="37"/>
      <c r="B113" s="134"/>
      <c r="C113" s="37"/>
      <c r="D113" s="133"/>
      <c r="E113" s="12"/>
      <c r="F113" s="102"/>
      <c r="G113" s="102"/>
      <c r="H113" s="102"/>
      <c r="I113" s="153"/>
      <c r="J113" s="103"/>
      <c r="K113" s="153"/>
      <c r="L113" s="103"/>
      <c r="M113" s="155"/>
      <c r="N113" s="100"/>
      <c r="O113" s="139"/>
      <c r="P113" s="37"/>
      <c r="Q113" s="37"/>
      <c r="R113" s="12"/>
      <c r="S113" s="38"/>
      <c r="T113" s="37"/>
      <c r="U113" s="37"/>
    </row>
    <row r="114" spans="1:21" x14ac:dyDescent="0.4">
      <c r="A114" s="37"/>
      <c r="B114" s="134"/>
      <c r="C114" s="37"/>
      <c r="D114" s="133"/>
      <c r="E114" s="12"/>
      <c r="F114" s="102"/>
      <c r="G114" s="102"/>
      <c r="H114" s="102"/>
      <c r="I114" s="153"/>
      <c r="J114" s="103"/>
      <c r="K114" s="153"/>
      <c r="L114" s="103"/>
      <c r="M114" s="155"/>
      <c r="N114" s="100"/>
      <c r="O114" s="139"/>
      <c r="P114" s="37"/>
      <c r="Q114" s="37"/>
      <c r="R114" s="12"/>
      <c r="S114" s="38"/>
      <c r="T114" s="37"/>
      <c r="U114" s="37"/>
    </row>
    <row r="115" spans="1:21" x14ac:dyDescent="0.4">
      <c r="A115" s="37"/>
      <c r="B115" s="134"/>
      <c r="C115" s="37"/>
      <c r="D115" s="133"/>
      <c r="E115" s="12"/>
      <c r="F115" s="102"/>
      <c r="G115" s="102"/>
      <c r="H115" s="102"/>
      <c r="I115" s="153"/>
      <c r="J115" s="103"/>
      <c r="K115" s="153"/>
      <c r="L115" s="103"/>
      <c r="M115" s="155"/>
      <c r="N115" s="100"/>
      <c r="O115" s="139"/>
      <c r="P115" s="37"/>
      <c r="Q115" s="37"/>
      <c r="R115" s="12"/>
      <c r="S115" s="38"/>
      <c r="T115" s="37"/>
      <c r="U115" s="37"/>
    </row>
    <row r="116" spans="1:21" x14ac:dyDescent="0.4">
      <c r="A116" s="37"/>
      <c r="B116" s="134"/>
      <c r="C116" s="37"/>
      <c r="D116" s="133"/>
      <c r="E116" s="12"/>
      <c r="F116" s="102"/>
      <c r="G116" s="102"/>
      <c r="H116" s="102"/>
      <c r="I116" s="153"/>
      <c r="J116" s="103"/>
      <c r="K116" s="153"/>
      <c r="L116" s="103"/>
      <c r="M116" s="155"/>
      <c r="N116" s="100"/>
      <c r="O116" s="139"/>
      <c r="P116" s="37"/>
      <c r="Q116" s="37"/>
      <c r="R116" s="12"/>
      <c r="S116" s="38"/>
      <c r="T116" s="37"/>
      <c r="U116" s="37"/>
    </row>
    <row r="117" spans="1:21" x14ac:dyDescent="0.4">
      <c r="A117" s="37"/>
      <c r="B117" s="134"/>
      <c r="C117" s="37"/>
      <c r="D117" s="133"/>
      <c r="E117" s="12"/>
      <c r="F117" s="102"/>
      <c r="G117" s="102"/>
      <c r="H117" s="102"/>
      <c r="I117" s="153"/>
      <c r="J117" s="103"/>
      <c r="K117" s="153"/>
      <c r="L117" s="103"/>
      <c r="M117" s="155"/>
      <c r="N117" s="100"/>
      <c r="O117" s="139"/>
      <c r="P117" s="37"/>
      <c r="Q117" s="37"/>
      <c r="R117" s="12"/>
      <c r="S117" s="38"/>
      <c r="T117" s="37"/>
      <c r="U117" s="37"/>
    </row>
    <row r="118" spans="1:21" x14ac:dyDescent="0.4">
      <c r="A118" s="37"/>
      <c r="B118" s="134"/>
      <c r="C118" s="37"/>
      <c r="D118" s="133"/>
      <c r="E118" s="12"/>
      <c r="F118" s="102"/>
      <c r="G118" s="102"/>
      <c r="H118" s="102"/>
      <c r="I118" s="153"/>
      <c r="J118" s="103"/>
      <c r="K118" s="153"/>
      <c r="L118" s="103"/>
      <c r="M118" s="155"/>
      <c r="N118" s="100"/>
      <c r="O118" s="139"/>
      <c r="P118" s="37"/>
      <c r="Q118" s="37"/>
      <c r="R118" s="12"/>
      <c r="S118" s="38"/>
      <c r="T118" s="37"/>
      <c r="U118" s="37"/>
    </row>
    <row r="119" spans="1:21" x14ac:dyDescent="0.4">
      <c r="A119" s="37"/>
      <c r="B119" s="134"/>
      <c r="C119" s="37"/>
      <c r="D119" s="133"/>
      <c r="E119" s="12"/>
      <c r="F119" s="102"/>
      <c r="G119" s="102"/>
      <c r="H119" s="102"/>
      <c r="I119" s="153"/>
      <c r="J119" s="103"/>
      <c r="K119" s="153"/>
      <c r="L119" s="103"/>
      <c r="M119" s="155"/>
      <c r="N119" s="100"/>
      <c r="O119" s="139"/>
      <c r="P119" s="37"/>
      <c r="Q119" s="37"/>
      <c r="R119" s="12"/>
      <c r="S119" s="38"/>
      <c r="T119" s="37"/>
      <c r="U119" s="37"/>
    </row>
    <row r="120" spans="1:21" x14ac:dyDescent="0.4">
      <c r="A120" s="37"/>
      <c r="B120" s="134"/>
      <c r="C120" s="37"/>
      <c r="D120" s="133"/>
      <c r="E120" s="12"/>
      <c r="F120" s="102"/>
      <c r="G120" s="102"/>
      <c r="H120" s="102"/>
      <c r="I120" s="153"/>
      <c r="J120" s="103"/>
      <c r="K120" s="153"/>
      <c r="L120" s="103"/>
      <c r="M120" s="155"/>
      <c r="N120" s="100"/>
      <c r="O120" s="139"/>
      <c r="P120" s="37"/>
      <c r="Q120" s="37"/>
      <c r="R120" s="12"/>
      <c r="S120" s="38"/>
      <c r="T120" s="37"/>
      <c r="U120" s="37"/>
    </row>
    <row r="121" spans="1:21" x14ac:dyDescent="0.4">
      <c r="A121" s="37"/>
      <c r="B121" s="134"/>
      <c r="C121" s="37"/>
      <c r="D121" s="133"/>
      <c r="E121" s="9"/>
      <c r="F121" s="102"/>
      <c r="G121" s="102"/>
      <c r="H121" s="102"/>
      <c r="I121" s="153"/>
      <c r="J121" s="103"/>
      <c r="K121" s="153"/>
      <c r="L121" s="103"/>
      <c r="M121" s="155"/>
      <c r="N121" s="100"/>
      <c r="O121" s="139"/>
      <c r="P121" s="37"/>
      <c r="Q121" s="37"/>
      <c r="R121" s="12"/>
      <c r="S121" s="38"/>
      <c r="T121" s="37"/>
      <c r="U121" s="37"/>
    </row>
    <row r="122" spans="1:21" x14ac:dyDescent="0.4">
      <c r="A122" s="37"/>
      <c r="B122" s="134"/>
      <c r="C122" s="37"/>
      <c r="D122" s="133"/>
      <c r="E122" s="12"/>
      <c r="F122" s="102"/>
      <c r="G122" s="102"/>
      <c r="H122" s="102"/>
      <c r="I122" s="153"/>
      <c r="J122" s="103"/>
      <c r="K122" s="153"/>
      <c r="L122" s="103"/>
      <c r="M122" s="155"/>
      <c r="N122" s="100"/>
      <c r="O122" s="139"/>
      <c r="P122" s="37"/>
      <c r="Q122" s="37"/>
      <c r="R122" s="12"/>
      <c r="S122" s="38"/>
      <c r="T122" s="37"/>
      <c r="U122" s="37"/>
    </row>
    <row r="123" spans="1:21" x14ac:dyDescent="0.4">
      <c r="A123" s="37"/>
      <c r="B123" s="134"/>
      <c r="C123" s="37"/>
      <c r="D123" s="133"/>
      <c r="E123" s="12"/>
      <c r="F123" s="102"/>
      <c r="G123" s="102"/>
      <c r="H123" s="102"/>
      <c r="I123" s="153"/>
      <c r="J123" s="103"/>
      <c r="K123" s="153"/>
      <c r="L123" s="103"/>
      <c r="M123" s="155"/>
      <c r="N123" s="100"/>
      <c r="O123" s="139"/>
      <c r="P123" s="37"/>
      <c r="Q123" s="37"/>
      <c r="R123" s="12"/>
      <c r="S123" s="38"/>
      <c r="T123" s="37"/>
      <c r="U123" s="37"/>
    </row>
    <row r="124" spans="1:21" x14ac:dyDescent="0.4">
      <c r="A124" s="37"/>
      <c r="B124" s="134"/>
      <c r="C124" s="37"/>
      <c r="D124" s="133"/>
      <c r="E124" s="12"/>
      <c r="F124" s="102"/>
      <c r="G124" s="102"/>
      <c r="H124" s="102"/>
      <c r="I124" s="153"/>
      <c r="J124" s="103"/>
      <c r="K124" s="153"/>
      <c r="L124" s="103"/>
      <c r="M124" s="155"/>
      <c r="N124" s="100"/>
      <c r="O124" s="139"/>
      <c r="P124" s="37"/>
      <c r="Q124" s="37"/>
      <c r="R124" s="12"/>
      <c r="S124" s="38"/>
      <c r="T124" s="37"/>
      <c r="U124" s="37"/>
    </row>
    <row r="125" spans="1:21" x14ac:dyDescent="0.4">
      <c r="A125" s="37"/>
      <c r="B125" s="134"/>
      <c r="C125" s="37"/>
      <c r="D125" s="133"/>
      <c r="E125" s="12"/>
      <c r="F125" s="102"/>
      <c r="G125" s="102"/>
      <c r="H125" s="102"/>
      <c r="I125" s="153"/>
      <c r="J125" s="103"/>
      <c r="K125" s="153"/>
      <c r="L125" s="103"/>
      <c r="M125" s="155"/>
      <c r="N125" s="100"/>
      <c r="O125" s="139"/>
      <c r="P125" s="37"/>
      <c r="Q125" s="37"/>
      <c r="R125" s="12"/>
      <c r="S125" s="38"/>
      <c r="T125" s="37"/>
      <c r="U125" s="37"/>
    </row>
    <row r="126" spans="1:21" x14ac:dyDescent="0.4">
      <c r="A126" s="37"/>
      <c r="B126" s="134"/>
      <c r="C126" s="37"/>
      <c r="D126" s="133"/>
      <c r="E126" s="12"/>
      <c r="F126" s="102"/>
      <c r="G126" s="102"/>
      <c r="H126" s="102"/>
      <c r="I126" s="153"/>
      <c r="J126" s="103"/>
      <c r="K126" s="153"/>
      <c r="L126" s="103"/>
      <c r="M126" s="155"/>
      <c r="N126" s="100"/>
      <c r="O126" s="139"/>
      <c r="P126" s="37"/>
      <c r="Q126" s="37"/>
      <c r="R126" s="12"/>
      <c r="S126" s="38"/>
      <c r="T126" s="37"/>
      <c r="U126" s="37"/>
    </row>
    <row r="127" spans="1:21" x14ac:dyDescent="0.4">
      <c r="A127" s="37"/>
      <c r="B127" s="134"/>
      <c r="C127" s="37"/>
      <c r="D127" s="133"/>
      <c r="E127" s="12"/>
      <c r="F127" s="102"/>
      <c r="G127" s="102"/>
      <c r="H127" s="102"/>
      <c r="I127" s="153"/>
      <c r="J127" s="103"/>
      <c r="K127" s="153"/>
      <c r="L127" s="103"/>
      <c r="M127" s="155"/>
      <c r="N127" s="100"/>
      <c r="O127" s="139"/>
      <c r="P127" s="37"/>
      <c r="Q127" s="37"/>
      <c r="R127" s="12"/>
      <c r="S127" s="38"/>
      <c r="T127" s="37"/>
      <c r="U127" s="37"/>
    </row>
    <row r="128" spans="1:21" x14ac:dyDescent="0.4">
      <c r="A128" s="37"/>
      <c r="B128" s="134"/>
      <c r="C128" s="37"/>
      <c r="D128" s="133"/>
      <c r="E128" s="12"/>
      <c r="F128" s="102"/>
      <c r="G128" s="102"/>
      <c r="H128" s="102"/>
      <c r="I128" s="153"/>
      <c r="J128" s="103"/>
      <c r="K128" s="153"/>
      <c r="L128" s="103"/>
      <c r="M128" s="155"/>
      <c r="N128" s="100"/>
      <c r="O128" s="139"/>
      <c r="P128" s="37"/>
      <c r="Q128" s="37"/>
      <c r="R128" s="12"/>
      <c r="S128" s="38"/>
      <c r="T128" s="37"/>
      <c r="U128" s="37"/>
    </row>
    <row r="129" spans="1:21" x14ac:dyDescent="0.4">
      <c r="A129" s="37"/>
      <c r="B129" s="134"/>
      <c r="C129" s="37"/>
      <c r="D129" s="133"/>
      <c r="E129" s="12"/>
      <c r="F129" s="102"/>
      <c r="G129" s="102"/>
      <c r="H129" s="102"/>
      <c r="I129" s="153"/>
      <c r="J129" s="103"/>
      <c r="K129" s="153"/>
      <c r="L129" s="103"/>
      <c r="M129" s="155"/>
      <c r="N129" s="100"/>
      <c r="O129" s="139"/>
      <c r="P129" s="37"/>
      <c r="Q129" s="37"/>
      <c r="R129" s="12"/>
      <c r="S129" s="38"/>
      <c r="T129" s="37"/>
      <c r="U129" s="37"/>
    </row>
    <row r="130" spans="1:21" x14ac:dyDescent="0.4">
      <c r="A130" s="37"/>
      <c r="B130" s="134"/>
      <c r="C130" s="37"/>
      <c r="D130" s="133"/>
      <c r="E130" s="12"/>
      <c r="F130" s="102"/>
      <c r="G130" s="102"/>
      <c r="H130" s="102"/>
      <c r="I130" s="153"/>
      <c r="J130" s="103"/>
      <c r="K130" s="153"/>
      <c r="L130" s="103"/>
      <c r="M130" s="155"/>
      <c r="N130" s="100"/>
      <c r="O130" s="139"/>
      <c r="P130" s="37"/>
      <c r="Q130" s="37"/>
      <c r="R130" s="12"/>
      <c r="S130" s="38"/>
      <c r="T130" s="37"/>
      <c r="U130" s="37"/>
    </row>
    <row r="131" spans="1:21" x14ac:dyDescent="0.4">
      <c r="A131" s="37"/>
      <c r="B131" s="134"/>
      <c r="C131" s="37"/>
      <c r="D131" s="133"/>
      <c r="E131" s="12"/>
      <c r="F131" s="102"/>
      <c r="G131" s="102"/>
      <c r="H131" s="102"/>
      <c r="I131" s="153"/>
      <c r="J131" s="103"/>
      <c r="K131" s="153"/>
      <c r="L131" s="103"/>
      <c r="M131" s="155"/>
      <c r="N131" s="100"/>
      <c r="O131" s="139"/>
      <c r="P131" s="37"/>
      <c r="Q131" s="37"/>
      <c r="R131" s="12"/>
      <c r="S131" s="38"/>
      <c r="T131" s="37"/>
      <c r="U131" s="37"/>
    </row>
    <row r="132" spans="1:21" x14ac:dyDescent="0.4">
      <c r="A132" s="37"/>
      <c r="B132" s="134"/>
      <c r="C132" s="37"/>
      <c r="D132" s="133"/>
      <c r="E132" s="12"/>
      <c r="F132" s="102"/>
      <c r="G132" s="102"/>
      <c r="H132" s="102"/>
      <c r="I132" s="153"/>
      <c r="J132" s="103"/>
      <c r="K132" s="153"/>
      <c r="L132" s="103"/>
      <c r="M132" s="155"/>
      <c r="N132" s="100"/>
      <c r="O132" s="139"/>
      <c r="P132" s="37"/>
      <c r="Q132" s="37"/>
      <c r="R132" s="12"/>
      <c r="S132" s="38"/>
      <c r="T132" s="37"/>
      <c r="U132" s="37"/>
    </row>
    <row r="133" spans="1:21" x14ac:dyDescent="0.4">
      <c r="A133" s="37"/>
      <c r="B133" s="134"/>
      <c r="C133" s="37"/>
      <c r="D133" s="133"/>
      <c r="E133" s="12"/>
      <c r="F133" s="102"/>
      <c r="G133" s="102"/>
      <c r="H133" s="102"/>
      <c r="I133" s="153"/>
      <c r="J133" s="103"/>
      <c r="K133" s="153"/>
      <c r="L133" s="103"/>
      <c r="M133" s="155"/>
      <c r="N133" s="100"/>
      <c r="O133" s="139"/>
      <c r="P133" s="37"/>
      <c r="Q133" s="37"/>
      <c r="R133" s="12"/>
      <c r="S133" s="189"/>
      <c r="T133" s="37"/>
      <c r="U133" s="37"/>
    </row>
    <row r="134" spans="1:21" x14ac:dyDescent="0.4">
      <c r="A134" s="37"/>
      <c r="B134" s="134"/>
      <c r="C134" s="37"/>
      <c r="D134" s="133"/>
      <c r="E134" s="12"/>
      <c r="F134" s="102"/>
      <c r="G134" s="102"/>
      <c r="H134" s="102"/>
      <c r="I134" s="153"/>
      <c r="J134" s="103"/>
      <c r="K134" s="153"/>
      <c r="L134" s="103"/>
      <c r="M134" s="155"/>
      <c r="N134" s="100"/>
      <c r="O134" s="139"/>
      <c r="P134" s="37"/>
      <c r="Q134" s="37"/>
      <c r="R134" s="12"/>
      <c r="S134" s="38"/>
      <c r="T134" s="37"/>
      <c r="U134" s="37"/>
    </row>
    <row r="135" spans="1:21" x14ac:dyDescent="0.4">
      <c r="A135" s="37"/>
      <c r="B135" s="134"/>
      <c r="C135" s="37"/>
      <c r="D135" s="133"/>
      <c r="E135" s="12"/>
      <c r="F135" s="102"/>
      <c r="G135" s="102"/>
      <c r="H135" s="102"/>
      <c r="I135" s="153"/>
      <c r="J135" s="103"/>
      <c r="K135" s="153"/>
      <c r="L135" s="103"/>
      <c r="M135" s="155"/>
      <c r="N135" s="100"/>
      <c r="O135" s="139"/>
      <c r="P135" s="37"/>
      <c r="Q135" s="37"/>
      <c r="R135" s="12"/>
      <c r="S135" s="38"/>
      <c r="T135" s="37"/>
      <c r="U135" s="37"/>
    </row>
    <row r="136" spans="1:21" x14ac:dyDescent="0.4">
      <c r="A136" s="37"/>
      <c r="B136" s="134"/>
      <c r="C136" s="37"/>
      <c r="D136" s="133"/>
      <c r="E136" s="12"/>
      <c r="F136" s="102"/>
      <c r="G136" s="102"/>
      <c r="H136" s="102"/>
      <c r="I136" s="153"/>
      <c r="J136" s="103"/>
      <c r="K136" s="153"/>
      <c r="L136" s="103"/>
      <c r="M136" s="155"/>
      <c r="N136" s="100"/>
      <c r="O136" s="139"/>
      <c r="P136" s="37"/>
      <c r="Q136" s="37"/>
      <c r="R136" s="12"/>
      <c r="S136" s="38"/>
      <c r="T136" s="37"/>
      <c r="U136" s="37"/>
    </row>
    <row r="137" spans="1:21" x14ac:dyDescent="0.4">
      <c r="A137" s="37"/>
      <c r="B137" s="134"/>
      <c r="C137" s="37"/>
      <c r="D137" s="133"/>
      <c r="E137" s="12"/>
      <c r="F137" s="102"/>
      <c r="G137" s="102"/>
      <c r="H137" s="102"/>
      <c r="I137" s="153"/>
      <c r="J137" s="103"/>
      <c r="K137" s="153"/>
      <c r="L137" s="103"/>
      <c r="M137" s="155"/>
      <c r="N137" s="100"/>
      <c r="O137" s="139"/>
      <c r="P137" s="37"/>
      <c r="Q137" s="37"/>
      <c r="R137" s="12"/>
      <c r="S137" s="38"/>
      <c r="T137" s="37"/>
      <c r="U137" s="37"/>
    </row>
    <row r="138" spans="1:21" x14ac:dyDescent="0.4">
      <c r="A138" s="37"/>
      <c r="B138" s="134"/>
      <c r="C138" s="37"/>
      <c r="D138" s="133"/>
      <c r="E138" s="12"/>
      <c r="F138" s="102"/>
      <c r="G138" s="102"/>
      <c r="H138" s="102"/>
      <c r="I138" s="153"/>
      <c r="J138" s="103"/>
      <c r="K138" s="153"/>
      <c r="L138" s="103"/>
      <c r="M138" s="155"/>
      <c r="N138" s="100"/>
      <c r="O138" s="139"/>
      <c r="P138" s="37"/>
      <c r="Q138" s="37"/>
      <c r="R138" s="12"/>
      <c r="S138" s="38"/>
      <c r="T138" s="37"/>
      <c r="U138" s="37"/>
    </row>
    <row r="139" spans="1:21" x14ac:dyDescent="0.4">
      <c r="A139" s="37"/>
      <c r="B139" s="134"/>
      <c r="C139" s="37"/>
      <c r="D139" s="133"/>
      <c r="E139" s="12"/>
      <c r="F139" s="102"/>
      <c r="G139" s="102"/>
      <c r="H139" s="102"/>
      <c r="I139" s="153"/>
      <c r="J139" s="103"/>
      <c r="K139" s="153"/>
      <c r="L139" s="103"/>
      <c r="M139" s="155"/>
      <c r="N139" s="100"/>
      <c r="O139" s="139"/>
      <c r="P139" s="37"/>
      <c r="Q139" s="37"/>
      <c r="R139" s="12"/>
      <c r="S139" s="38"/>
      <c r="T139" s="37"/>
      <c r="U139" s="37"/>
    </row>
    <row r="140" spans="1:21" x14ac:dyDescent="0.4">
      <c r="A140" s="37"/>
      <c r="B140" s="134"/>
      <c r="C140" s="37"/>
      <c r="D140" s="133"/>
      <c r="E140" s="12"/>
      <c r="F140" s="102"/>
      <c r="G140" s="102"/>
      <c r="H140" s="102"/>
      <c r="I140" s="153"/>
      <c r="J140" s="103"/>
      <c r="K140" s="153"/>
      <c r="L140" s="103"/>
      <c r="M140" s="155"/>
      <c r="N140" s="100"/>
      <c r="O140" s="139"/>
      <c r="P140" s="37"/>
      <c r="Q140" s="37"/>
      <c r="R140" s="12"/>
      <c r="S140" s="38"/>
      <c r="T140" s="37"/>
      <c r="U140" s="37"/>
    </row>
    <row r="141" spans="1:21" x14ac:dyDescent="0.4">
      <c r="A141" s="37"/>
      <c r="B141" s="134"/>
      <c r="C141" s="37"/>
      <c r="D141" s="133"/>
      <c r="E141" s="12"/>
      <c r="F141" s="102"/>
      <c r="G141" s="102"/>
      <c r="H141" s="102"/>
      <c r="I141" s="153"/>
      <c r="J141" s="103"/>
      <c r="K141" s="153"/>
      <c r="L141" s="103"/>
      <c r="M141" s="155"/>
      <c r="N141" s="100"/>
      <c r="O141" s="139"/>
      <c r="P141" s="37"/>
      <c r="Q141" s="37"/>
      <c r="R141" s="12"/>
      <c r="S141" s="38"/>
      <c r="T141" s="37"/>
      <c r="U141" s="37"/>
    </row>
    <row r="142" spans="1:21" x14ac:dyDescent="0.4">
      <c r="A142" s="37"/>
      <c r="B142" s="134"/>
      <c r="C142" s="37"/>
      <c r="D142" s="133"/>
      <c r="E142" s="12"/>
      <c r="F142" s="102"/>
      <c r="G142" s="102"/>
      <c r="H142" s="102"/>
      <c r="I142" s="153"/>
      <c r="J142" s="103"/>
      <c r="K142" s="153"/>
      <c r="L142" s="103"/>
      <c r="M142" s="155"/>
      <c r="N142" s="100"/>
      <c r="O142" s="139"/>
      <c r="P142" s="37"/>
      <c r="Q142" s="37"/>
      <c r="R142" s="12"/>
      <c r="S142" s="38"/>
      <c r="T142" s="37"/>
      <c r="U142" s="37"/>
    </row>
    <row r="143" spans="1:21" x14ac:dyDescent="0.4">
      <c r="A143" s="37"/>
      <c r="B143" s="134"/>
      <c r="C143" s="37"/>
      <c r="D143" s="133"/>
      <c r="E143" s="9"/>
      <c r="F143" s="102"/>
      <c r="G143" s="102"/>
      <c r="H143" s="102"/>
      <c r="I143" s="153"/>
      <c r="J143" s="103"/>
      <c r="K143" s="153"/>
      <c r="L143" s="103"/>
      <c r="M143" s="155"/>
      <c r="N143" s="100"/>
      <c r="O143" s="139"/>
      <c r="P143" s="37"/>
      <c r="Q143" s="37"/>
      <c r="R143" s="12"/>
      <c r="S143" s="38"/>
      <c r="T143" s="37"/>
      <c r="U143" s="37"/>
    </row>
    <row r="144" spans="1:21" s="73" customFormat="1" x14ac:dyDescent="0.4">
      <c r="A144" s="128"/>
      <c r="B144" s="128"/>
      <c r="C144" s="128"/>
      <c r="D144" s="128"/>
      <c r="N144"/>
      <c r="O144" s="99"/>
      <c r="P144" s="173"/>
      <c r="T144" s="113"/>
    </row>
    <row r="145" spans="1:20" s="73" customFormat="1" x14ac:dyDescent="0.4">
      <c r="A145" s="128"/>
      <c r="B145" s="128"/>
      <c r="C145" s="128"/>
      <c r="D145" s="128"/>
      <c r="I145" s="177"/>
      <c r="N145"/>
      <c r="P145" s="173"/>
      <c r="T145" s="113"/>
    </row>
    <row r="146" spans="1:20" s="73" customFormat="1" x14ac:dyDescent="0.4">
      <c r="A146" s="128"/>
      <c r="B146" s="128"/>
      <c r="C146" s="128"/>
      <c r="D146" s="128"/>
      <c r="N146"/>
      <c r="P146" s="173"/>
      <c r="T146" s="113"/>
    </row>
    <row r="147" spans="1:20" s="73" customFormat="1" x14ac:dyDescent="0.4">
      <c r="A147" s="128"/>
      <c r="B147" s="128"/>
      <c r="C147" s="128"/>
      <c r="D147" s="128"/>
      <c r="P147" s="173"/>
      <c r="T147" s="113"/>
    </row>
    <row r="148" spans="1:20" s="73" customFormat="1" x14ac:dyDescent="0.4">
      <c r="A148" s="128"/>
      <c r="B148" s="73" t="s">
        <v>2</v>
      </c>
      <c r="C148" s="73" t="s">
        <v>777</v>
      </c>
      <c r="D148" s="73">
        <v>240</v>
      </c>
      <c r="F148"/>
      <c r="G148"/>
      <c r="H148"/>
      <c r="I148"/>
      <c r="J148"/>
      <c r="K148"/>
      <c r="L148"/>
      <c r="M148"/>
      <c r="N148"/>
      <c r="O148"/>
      <c r="P148" s="120"/>
      <c r="Q148"/>
      <c r="R148"/>
      <c r="S148"/>
    </row>
    <row r="149" spans="1:20" s="73" customFormat="1" x14ac:dyDescent="0.4">
      <c r="A149" s="128"/>
      <c r="B149" s="73" t="s">
        <v>14</v>
      </c>
      <c r="C149" s="73" t="s">
        <v>2629</v>
      </c>
      <c r="D149" s="73">
        <v>480</v>
      </c>
      <c r="F149"/>
      <c r="G149"/>
      <c r="H149"/>
      <c r="I149"/>
      <c r="J149"/>
      <c r="K149"/>
      <c r="L149"/>
      <c r="M149"/>
      <c r="N149"/>
      <c r="O149"/>
      <c r="P149" s="120"/>
      <c r="Q149"/>
      <c r="R149"/>
      <c r="S149"/>
    </row>
    <row r="150" spans="1:20" s="73" customFormat="1" x14ac:dyDescent="0.4">
      <c r="A150" s="128"/>
      <c r="B150" s="73" t="s">
        <v>158</v>
      </c>
      <c r="C150" s="73" t="s">
        <v>778</v>
      </c>
      <c r="D150" s="73">
        <v>2880</v>
      </c>
      <c r="F150"/>
      <c r="G150"/>
      <c r="H150"/>
      <c r="I150"/>
      <c r="J150"/>
      <c r="K150"/>
      <c r="L150"/>
      <c r="M150"/>
      <c r="N150"/>
      <c r="O150"/>
      <c r="P150" s="120"/>
      <c r="Q150"/>
      <c r="R150"/>
      <c r="S150"/>
    </row>
    <row r="151" spans="1:20" x14ac:dyDescent="0.4">
      <c r="A151" s="73"/>
      <c r="E151" s="73"/>
    </row>
    <row r="152" spans="1:20" x14ac:dyDescent="0.4">
      <c r="B152" s="128"/>
      <c r="C152" s="128"/>
      <c r="D152" s="128"/>
    </row>
    <row r="153" spans="1:20" x14ac:dyDescent="0.4">
      <c r="B153" s="128"/>
      <c r="C153" s="128"/>
      <c r="D153" s="128"/>
    </row>
  </sheetData>
  <conditionalFormatting sqref="B2:B143 F2:L143 P3:P143">
    <cfRule type="cellIs" dxfId="8" priority="2" operator="equal">
      <formula>"NOK"</formula>
    </cfRule>
  </conditionalFormatting>
  <pageMargins left="0.7" right="0.7" top="0.75" bottom="0.75" header="0.3" footer="0.3"/>
  <pageSetup paperSize="9" orientation="portrait" horizontalDpi="4294967295" verticalDpi="4294967295"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9"/>
  <dimension ref="A1:U140"/>
  <sheetViews>
    <sheetView workbookViewId="0">
      <selection activeCell="A2" sqref="A2:XFD140"/>
    </sheetView>
  </sheetViews>
  <sheetFormatPr baseColWidth="10" defaultColWidth="11.4609375" defaultRowHeight="14.6" x14ac:dyDescent="0.4"/>
  <cols>
    <col min="1" max="1" width="5.765625" customWidth="1"/>
    <col min="2" max="2" width="9.765625" bestFit="1" customWidth="1"/>
    <col min="3" max="3" width="6.765625" bestFit="1" customWidth="1"/>
    <col min="4" max="4" width="9.23046875" bestFit="1" customWidth="1"/>
    <col min="5" max="5" width="38.23046875" style="181" bestFit="1" customWidth="1"/>
    <col min="6" max="6" width="13" customWidth="1"/>
    <col min="7" max="7" width="16.4609375" customWidth="1"/>
    <col min="8" max="8" width="13" customWidth="1"/>
    <col min="9" max="9" width="14.53515625" customWidth="1"/>
    <col min="10" max="12" width="10.23046875" customWidth="1"/>
    <col min="13" max="13" width="57.23046875" customWidth="1"/>
    <col min="14" max="14" width="56.765625" customWidth="1"/>
    <col min="15" max="15" width="58.765625" customWidth="1"/>
    <col min="16" max="16" width="9.4609375" bestFit="1" customWidth="1"/>
    <col min="17" max="17" width="7.23046875" bestFit="1" customWidth="1"/>
    <col min="18" max="18" width="15" bestFit="1" customWidth="1"/>
    <col min="19" max="19" width="5.23046875" bestFit="1" customWidth="1"/>
    <col min="20" max="20" width="8.23046875" bestFit="1" customWidth="1"/>
    <col min="21" max="21" width="9.765625" bestFit="1" customWidth="1"/>
  </cols>
  <sheetData>
    <row r="1" spans="1:21" x14ac:dyDescent="0.4">
      <c r="A1" s="7" t="s">
        <v>0</v>
      </c>
      <c r="B1" s="6" t="s">
        <v>679</v>
      </c>
      <c r="C1" s="6" t="s">
        <v>680</v>
      </c>
      <c r="D1" s="7" t="s">
        <v>700</v>
      </c>
      <c r="E1" s="183" t="s">
        <v>1883</v>
      </c>
      <c r="F1" s="6" t="s">
        <v>2621</v>
      </c>
      <c r="G1" s="6" t="s">
        <v>2620</v>
      </c>
      <c r="H1" s="6" t="s">
        <v>2622</v>
      </c>
      <c r="I1" s="6" t="s">
        <v>2623</v>
      </c>
      <c r="J1" s="6" t="s">
        <v>2624</v>
      </c>
      <c r="K1" s="6" t="s">
        <v>2625</v>
      </c>
      <c r="L1" s="6" t="s">
        <v>2626</v>
      </c>
      <c r="M1" s="7" t="s">
        <v>395</v>
      </c>
      <c r="N1" s="6" t="s">
        <v>682</v>
      </c>
      <c r="O1" s="6" t="s">
        <v>683</v>
      </c>
      <c r="P1" s="7" t="s">
        <v>699</v>
      </c>
      <c r="Q1" s="6" t="s">
        <v>684</v>
      </c>
      <c r="R1" s="7" t="s">
        <v>659</v>
      </c>
      <c r="S1" s="6" t="s">
        <v>888</v>
      </c>
      <c r="T1" s="156" t="s">
        <v>2627</v>
      </c>
      <c r="U1" s="156" t="s">
        <v>2630</v>
      </c>
    </row>
    <row r="2" spans="1:21" x14ac:dyDescent="0.4">
      <c r="A2" s="37"/>
      <c r="B2" s="134"/>
      <c r="C2" s="133"/>
      <c r="D2" s="133"/>
      <c r="E2" s="9"/>
      <c r="F2" s="102"/>
      <c r="G2" s="102"/>
      <c r="H2" s="102"/>
      <c r="I2" s="153"/>
      <c r="J2" s="103"/>
      <c r="K2" s="153"/>
      <c r="L2" s="103"/>
      <c r="M2" s="155"/>
      <c r="N2" s="100"/>
      <c r="O2" s="100"/>
      <c r="P2" s="83"/>
      <c r="Q2" s="37"/>
      <c r="R2" s="12"/>
      <c r="S2" s="38"/>
      <c r="T2" s="37"/>
      <c r="U2" s="37"/>
    </row>
    <row r="3" spans="1:21" x14ac:dyDescent="0.4">
      <c r="A3" s="37"/>
      <c r="B3" s="134"/>
      <c r="C3" s="133"/>
      <c r="D3" s="133"/>
      <c r="E3" s="9"/>
      <c r="F3" s="102"/>
      <c r="G3" s="102"/>
      <c r="H3" s="102"/>
      <c r="I3" s="153"/>
      <c r="J3" s="103"/>
      <c r="K3" s="153"/>
      <c r="L3" s="103"/>
      <c r="M3" s="155"/>
      <c r="N3" s="100"/>
      <c r="O3" s="100"/>
      <c r="P3" s="83"/>
      <c r="Q3" s="37"/>
      <c r="R3" s="12"/>
      <c r="S3" s="38"/>
      <c r="T3" s="37"/>
      <c r="U3" s="37"/>
    </row>
    <row r="4" spans="1:21" x14ac:dyDescent="0.4">
      <c r="A4" s="37"/>
      <c r="B4" s="134"/>
      <c r="C4" s="133"/>
      <c r="D4" s="133"/>
      <c r="E4" s="9"/>
      <c r="F4" s="102"/>
      <c r="G4" s="102"/>
      <c r="H4" s="102"/>
      <c r="I4" s="153"/>
      <c r="J4" s="103"/>
      <c r="K4" s="153"/>
      <c r="L4" s="103"/>
      <c r="M4" s="155"/>
      <c r="N4" s="100"/>
      <c r="O4" s="100"/>
      <c r="P4" s="83"/>
      <c r="Q4" s="37"/>
      <c r="R4" s="12"/>
      <c r="S4" s="38"/>
      <c r="T4" s="37"/>
      <c r="U4" s="37"/>
    </row>
    <row r="5" spans="1:21" x14ac:dyDescent="0.4">
      <c r="A5" s="37"/>
      <c r="B5" s="134"/>
      <c r="C5" s="133"/>
      <c r="D5" s="133"/>
      <c r="E5" s="9"/>
      <c r="F5" s="102"/>
      <c r="G5" s="102"/>
      <c r="H5" s="102"/>
      <c r="I5" s="153"/>
      <c r="J5" s="103"/>
      <c r="K5" s="153"/>
      <c r="L5" s="103"/>
      <c r="M5" s="155"/>
      <c r="N5" s="100"/>
      <c r="O5" s="100"/>
      <c r="P5" s="83"/>
      <c r="Q5" s="37"/>
      <c r="R5" s="12"/>
      <c r="S5" s="38"/>
      <c r="T5" s="37"/>
      <c r="U5" s="37"/>
    </row>
    <row r="6" spans="1:21" x14ac:dyDescent="0.4">
      <c r="A6" s="37"/>
      <c r="B6" s="134"/>
      <c r="C6" s="133"/>
      <c r="D6" s="133"/>
      <c r="E6" s="9"/>
      <c r="F6" s="102"/>
      <c r="G6" s="102"/>
      <c r="H6" s="102"/>
      <c r="I6" s="153"/>
      <c r="J6" s="103"/>
      <c r="K6" s="153"/>
      <c r="L6" s="103"/>
      <c r="M6" s="155"/>
      <c r="N6" s="100"/>
      <c r="O6" s="100"/>
      <c r="P6" s="83"/>
      <c r="Q6" s="37"/>
      <c r="R6" s="12"/>
      <c r="S6" s="38"/>
      <c r="T6" s="37"/>
      <c r="U6" s="37"/>
    </row>
    <row r="7" spans="1:21" x14ac:dyDescent="0.4">
      <c r="A7" s="37"/>
      <c r="B7" s="37"/>
      <c r="C7" s="133"/>
      <c r="D7" s="133"/>
      <c r="E7" s="9"/>
      <c r="F7" s="102"/>
      <c r="G7" s="102"/>
      <c r="H7" s="102"/>
      <c r="I7" s="153"/>
      <c r="J7" s="103"/>
      <c r="K7" s="153"/>
      <c r="L7" s="103"/>
      <c r="M7" s="100"/>
      <c r="N7" s="100"/>
      <c r="O7" s="100"/>
      <c r="P7" s="83"/>
      <c r="Q7" s="37"/>
      <c r="R7" s="12"/>
      <c r="S7" s="38"/>
      <c r="T7" s="37"/>
      <c r="U7" s="37"/>
    </row>
    <row r="8" spans="1:21" x14ac:dyDescent="0.4">
      <c r="A8" s="37"/>
      <c r="B8" s="134"/>
      <c r="C8" s="133"/>
      <c r="D8" s="133"/>
      <c r="E8" s="9"/>
      <c r="F8" s="102"/>
      <c r="G8" s="102"/>
      <c r="H8" s="102"/>
      <c r="I8" s="153"/>
      <c r="J8" s="103"/>
      <c r="K8" s="153"/>
      <c r="L8" s="103"/>
      <c r="M8" s="155"/>
      <c r="N8" s="100"/>
      <c r="O8" s="100"/>
      <c r="P8" s="83"/>
      <c r="Q8" s="37"/>
      <c r="R8" s="12"/>
      <c r="S8" s="38"/>
      <c r="T8" s="37"/>
      <c r="U8" s="37"/>
    </row>
    <row r="9" spans="1:21" x14ac:dyDescent="0.4">
      <c r="A9" s="37"/>
      <c r="B9" s="134"/>
      <c r="C9" s="133"/>
      <c r="D9" s="133"/>
      <c r="E9" s="9"/>
      <c r="F9" s="102"/>
      <c r="G9" s="102"/>
      <c r="H9" s="102"/>
      <c r="I9" s="153"/>
      <c r="J9" s="103"/>
      <c r="K9" s="153"/>
      <c r="L9" s="103"/>
      <c r="M9" s="155"/>
      <c r="N9" s="100"/>
      <c r="O9" s="100"/>
      <c r="P9" s="83"/>
      <c r="Q9" s="37"/>
      <c r="R9" s="12"/>
      <c r="S9" s="38"/>
      <c r="T9" s="37"/>
      <c r="U9" s="37"/>
    </row>
    <row r="10" spans="1:21" x14ac:dyDescent="0.4">
      <c r="A10" s="37"/>
      <c r="B10" s="37"/>
      <c r="C10" s="133"/>
      <c r="D10" s="133"/>
      <c r="E10" s="9"/>
      <c r="F10" s="102"/>
      <c r="G10" s="102"/>
      <c r="H10" s="102"/>
      <c r="I10" s="153"/>
      <c r="J10" s="103"/>
      <c r="K10" s="153"/>
      <c r="L10" s="103"/>
      <c r="M10" s="100"/>
      <c r="N10" s="100"/>
      <c r="O10" s="100"/>
      <c r="P10" s="83"/>
      <c r="Q10" s="37"/>
      <c r="R10" s="12"/>
      <c r="S10" s="38"/>
      <c r="T10" s="37"/>
      <c r="U10" s="37"/>
    </row>
    <row r="11" spans="1:21" x14ac:dyDescent="0.4">
      <c r="A11" s="37"/>
      <c r="B11" s="134"/>
      <c r="C11" s="133"/>
      <c r="D11" s="133"/>
      <c r="E11" s="9"/>
      <c r="F11" s="102"/>
      <c r="G11" s="102"/>
      <c r="H11" s="102"/>
      <c r="I11" s="153"/>
      <c r="J11" s="103"/>
      <c r="K11" s="153"/>
      <c r="L11" s="103"/>
      <c r="M11" s="155"/>
      <c r="N11" s="100"/>
      <c r="O11" s="100"/>
      <c r="P11" s="83"/>
      <c r="Q11" s="37"/>
      <c r="R11" s="12"/>
      <c r="S11" s="38"/>
      <c r="T11" s="37"/>
      <c r="U11" s="37"/>
    </row>
    <row r="12" spans="1:21" x14ac:dyDescent="0.4">
      <c r="A12" s="37"/>
      <c r="B12" s="12"/>
      <c r="C12" s="133"/>
      <c r="D12" s="37"/>
      <c r="E12" s="9"/>
      <c r="F12" s="102"/>
      <c r="G12" s="102"/>
      <c r="H12" s="102"/>
      <c r="I12" s="153"/>
      <c r="J12" s="103"/>
      <c r="K12" s="153"/>
      <c r="L12" s="103"/>
      <c r="M12" s="155"/>
      <c r="N12" s="100"/>
      <c r="O12" s="100"/>
      <c r="P12" s="83"/>
      <c r="Q12" s="37"/>
      <c r="R12" s="12"/>
      <c r="S12" s="38"/>
      <c r="T12" s="37"/>
      <c r="U12" s="37"/>
    </row>
    <row r="13" spans="1:21" x14ac:dyDescent="0.4">
      <c r="A13" s="37"/>
      <c r="B13" s="37"/>
      <c r="C13" s="133"/>
      <c r="D13" s="37"/>
      <c r="E13" s="9"/>
      <c r="F13" s="102"/>
      <c r="G13" s="102"/>
      <c r="H13" s="102"/>
      <c r="I13" s="153"/>
      <c r="J13" s="103"/>
      <c r="K13" s="153"/>
      <c r="L13" s="103"/>
      <c r="M13" s="155"/>
      <c r="N13" s="100"/>
      <c r="O13" s="100"/>
      <c r="P13" s="83"/>
      <c r="Q13" s="37"/>
      <c r="R13" s="12"/>
      <c r="S13" s="38"/>
      <c r="T13" s="37"/>
      <c r="U13" s="37"/>
    </row>
    <row r="14" spans="1:21" x14ac:dyDescent="0.4">
      <c r="A14" s="37"/>
      <c r="B14" s="37"/>
      <c r="C14" s="133"/>
      <c r="D14" s="133"/>
      <c r="E14" s="9"/>
      <c r="F14" s="102"/>
      <c r="G14" s="102"/>
      <c r="H14" s="102"/>
      <c r="I14" s="153"/>
      <c r="J14" s="103"/>
      <c r="K14" s="153"/>
      <c r="L14" s="103"/>
      <c r="M14" s="100"/>
      <c r="N14" s="100"/>
      <c r="O14" s="100"/>
      <c r="P14" s="83"/>
      <c r="Q14" s="37"/>
      <c r="R14" s="12"/>
      <c r="S14" s="38"/>
      <c r="T14" s="37"/>
      <c r="U14" s="37"/>
    </row>
    <row r="15" spans="1:21" x14ac:dyDescent="0.4">
      <c r="A15" s="37"/>
      <c r="B15" s="101"/>
      <c r="C15" s="133"/>
      <c r="D15" s="133"/>
      <c r="E15" s="9"/>
      <c r="F15" s="102"/>
      <c r="G15" s="102"/>
      <c r="H15" s="102"/>
      <c r="I15" s="153"/>
      <c r="J15" s="103"/>
      <c r="K15" s="153"/>
      <c r="L15" s="103"/>
      <c r="M15" s="100"/>
      <c r="N15" s="100"/>
      <c r="O15" s="100"/>
      <c r="P15" s="83"/>
      <c r="Q15" s="37"/>
      <c r="R15" s="12"/>
      <c r="S15" s="38"/>
      <c r="T15" s="37"/>
      <c r="U15" s="37"/>
    </row>
    <row r="16" spans="1:21" x14ac:dyDescent="0.4">
      <c r="A16" s="37"/>
      <c r="B16" s="37"/>
      <c r="C16" s="133"/>
      <c r="D16" s="133"/>
      <c r="E16" s="12"/>
      <c r="F16" s="102"/>
      <c r="G16" s="102"/>
      <c r="H16" s="102"/>
      <c r="I16" s="153"/>
      <c r="J16" s="103"/>
      <c r="K16" s="153"/>
      <c r="L16" s="103"/>
      <c r="M16" s="100"/>
      <c r="N16" s="100"/>
      <c r="O16" s="100"/>
      <c r="P16" s="83"/>
      <c r="Q16" s="37"/>
      <c r="R16" s="12"/>
      <c r="S16" s="38"/>
      <c r="T16" s="37"/>
      <c r="U16" s="130"/>
    </row>
    <row r="17" spans="1:21" x14ac:dyDescent="0.4">
      <c r="A17" s="37"/>
      <c r="B17" s="37"/>
      <c r="C17" s="133"/>
      <c r="D17" s="133"/>
      <c r="E17" s="9"/>
      <c r="F17" s="102"/>
      <c r="G17" s="102"/>
      <c r="H17" s="102"/>
      <c r="I17" s="153"/>
      <c r="J17" s="103"/>
      <c r="K17" s="153"/>
      <c r="L17" s="103"/>
      <c r="M17" s="100"/>
      <c r="N17" s="100"/>
      <c r="O17" s="100"/>
      <c r="P17" s="83"/>
      <c r="Q17" s="37"/>
      <c r="R17" s="12"/>
      <c r="S17" s="38"/>
      <c r="T17" s="37"/>
      <c r="U17" s="37"/>
    </row>
    <row r="18" spans="1:21" x14ac:dyDescent="0.4">
      <c r="A18" s="37"/>
      <c r="B18" s="37"/>
      <c r="C18" s="133"/>
      <c r="D18" s="133"/>
      <c r="E18" s="12"/>
      <c r="F18" s="102"/>
      <c r="G18" s="102"/>
      <c r="H18" s="102"/>
      <c r="I18" s="153"/>
      <c r="J18" s="103"/>
      <c r="K18" s="153"/>
      <c r="L18" s="103"/>
      <c r="M18" s="100"/>
      <c r="N18" s="100"/>
      <c r="O18" s="100"/>
      <c r="P18" s="83"/>
      <c r="Q18" s="37"/>
      <c r="R18" s="12"/>
      <c r="S18" s="38"/>
      <c r="T18" s="37"/>
      <c r="U18" s="130"/>
    </row>
    <row r="19" spans="1:21" x14ac:dyDescent="0.4">
      <c r="A19" s="37"/>
      <c r="B19" s="37"/>
      <c r="C19" s="133"/>
      <c r="D19" s="133"/>
      <c r="E19" s="9"/>
      <c r="F19" s="102"/>
      <c r="G19" s="102"/>
      <c r="H19" s="102"/>
      <c r="I19" s="153"/>
      <c r="J19" s="103"/>
      <c r="K19" s="153"/>
      <c r="L19" s="103"/>
      <c r="M19" s="100"/>
      <c r="N19" s="100"/>
      <c r="O19" s="100"/>
      <c r="P19" s="83"/>
      <c r="Q19" s="37"/>
      <c r="R19" s="12"/>
      <c r="S19" s="38"/>
      <c r="T19" s="37"/>
      <c r="U19" s="37"/>
    </row>
    <row r="20" spans="1:21" x14ac:dyDescent="0.4">
      <c r="A20" s="37"/>
      <c r="B20" s="37"/>
      <c r="C20" s="133"/>
      <c r="D20" s="133"/>
      <c r="E20" s="9"/>
      <c r="F20" s="102"/>
      <c r="G20" s="102"/>
      <c r="H20" s="102"/>
      <c r="I20" s="153"/>
      <c r="J20" s="103"/>
      <c r="K20" s="153"/>
      <c r="L20" s="103"/>
      <c r="M20" s="100"/>
      <c r="N20" s="100"/>
      <c r="O20" s="100"/>
      <c r="P20" s="83"/>
      <c r="Q20" s="37"/>
      <c r="R20" s="12"/>
      <c r="S20" s="38"/>
      <c r="T20" s="37"/>
      <c r="U20" s="37"/>
    </row>
    <row r="21" spans="1:21" x14ac:dyDescent="0.4">
      <c r="A21" s="37"/>
      <c r="B21" s="134"/>
      <c r="C21" s="133"/>
      <c r="D21" s="133"/>
      <c r="E21" s="9"/>
      <c r="F21" s="102"/>
      <c r="G21" s="102"/>
      <c r="H21" s="102"/>
      <c r="I21" s="153"/>
      <c r="J21" s="103"/>
      <c r="K21" s="153"/>
      <c r="L21" s="103"/>
      <c r="M21" s="155"/>
      <c r="N21" s="100"/>
      <c r="O21" s="100"/>
      <c r="P21" s="83"/>
      <c r="Q21" s="37"/>
      <c r="R21" s="12"/>
      <c r="S21" s="38"/>
      <c r="T21" s="37"/>
      <c r="U21" s="37"/>
    </row>
    <row r="22" spans="1:21" x14ac:dyDescent="0.4">
      <c r="A22" s="37"/>
      <c r="B22" s="37"/>
      <c r="C22" s="133"/>
      <c r="D22" s="133"/>
      <c r="E22" s="9"/>
      <c r="F22" s="102"/>
      <c r="G22" s="102"/>
      <c r="H22" s="102"/>
      <c r="I22" s="153"/>
      <c r="J22" s="103"/>
      <c r="K22" s="153"/>
      <c r="L22" s="103"/>
      <c r="M22" s="100"/>
      <c r="N22" s="100"/>
      <c r="O22" s="100"/>
      <c r="P22" s="83"/>
      <c r="Q22" s="37"/>
      <c r="R22" s="12"/>
      <c r="S22" s="38"/>
      <c r="T22" s="37"/>
      <c r="U22" s="37"/>
    </row>
    <row r="23" spans="1:21" x14ac:dyDescent="0.4">
      <c r="A23" s="37"/>
      <c r="B23" s="37"/>
      <c r="C23" s="133"/>
      <c r="D23" s="133"/>
      <c r="E23" s="9"/>
      <c r="F23" s="102"/>
      <c r="G23" s="102"/>
      <c r="H23" s="102"/>
      <c r="I23" s="153"/>
      <c r="J23" s="103"/>
      <c r="K23" s="153"/>
      <c r="L23" s="103"/>
      <c r="M23" s="100"/>
      <c r="N23" s="100"/>
      <c r="O23" s="100"/>
      <c r="P23" s="83"/>
      <c r="Q23" s="37"/>
      <c r="R23" s="12"/>
      <c r="S23" s="38"/>
      <c r="T23" s="37"/>
      <c r="U23" s="130"/>
    </row>
    <row r="24" spans="1:21" x14ac:dyDescent="0.4">
      <c r="A24" s="37"/>
      <c r="B24" s="37"/>
      <c r="C24" s="133"/>
      <c r="D24" s="133"/>
      <c r="E24" s="9"/>
      <c r="F24" s="102"/>
      <c r="G24" s="102"/>
      <c r="H24" s="102"/>
      <c r="I24" s="153"/>
      <c r="J24" s="103"/>
      <c r="K24" s="153"/>
      <c r="L24" s="103"/>
      <c r="M24" s="100"/>
      <c r="N24" s="100"/>
      <c r="O24" s="100"/>
      <c r="P24" s="83"/>
      <c r="Q24" s="37"/>
      <c r="R24" s="12"/>
      <c r="S24" s="38"/>
      <c r="T24" s="37"/>
      <c r="U24" s="37"/>
    </row>
    <row r="25" spans="1:21" x14ac:dyDescent="0.4">
      <c r="A25" s="37"/>
      <c r="B25" s="37"/>
      <c r="C25" s="133"/>
      <c r="D25" s="133"/>
      <c r="E25" s="9"/>
      <c r="F25" s="102"/>
      <c r="G25" s="102"/>
      <c r="H25" s="102"/>
      <c r="I25" s="153"/>
      <c r="J25" s="103"/>
      <c r="K25" s="153"/>
      <c r="L25" s="103"/>
      <c r="M25" s="100"/>
      <c r="N25" s="100"/>
      <c r="O25" s="100"/>
      <c r="P25" s="83"/>
      <c r="Q25" s="37"/>
      <c r="R25" s="12"/>
      <c r="S25" s="38"/>
      <c r="T25" s="37"/>
      <c r="U25" s="37"/>
    </row>
    <row r="26" spans="1:21" x14ac:dyDescent="0.4">
      <c r="A26" s="37"/>
      <c r="B26" s="101"/>
      <c r="C26" s="133"/>
      <c r="D26" s="133"/>
      <c r="E26" s="9"/>
      <c r="F26" s="102"/>
      <c r="G26" s="102"/>
      <c r="H26" s="102"/>
      <c r="I26" s="153"/>
      <c r="J26" s="103"/>
      <c r="K26" s="153"/>
      <c r="L26" s="103"/>
      <c r="M26" s="100"/>
      <c r="N26" s="100"/>
      <c r="O26" s="100"/>
      <c r="P26" s="83"/>
      <c r="Q26" s="37"/>
      <c r="R26" s="12"/>
      <c r="S26" s="38"/>
      <c r="T26" s="37"/>
      <c r="U26" s="37"/>
    </row>
    <row r="27" spans="1:21" x14ac:dyDescent="0.4">
      <c r="A27" s="37"/>
      <c r="B27" s="37"/>
      <c r="C27" s="133"/>
      <c r="D27" s="133"/>
      <c r="E27" s="9"/>
      <c r="F27" s="102"/>
      <c r="G27" s="102"/>
      <c r="H27" s="102"/>
      <c r="I27" s="153"/>
      <c r="J27" s="103"/>
      <c r="K27" s="153"/>
      <c r="L27" s="103"/>
      <c r="M27" s="100"/>
      <c r="N27" s="100"/>
      <c r="O27" s="100"/>
      <c r="P27" s="83"/>
      <c r="Q27" s="37"/>
      <c r="R27" s="12"/>
      <c r="S27" s="38"/>
      <c r="T27" s="37"/>
      <c r="U27" s="37"/>
    </row>
    <row r="28" spans="1:21" x14ac:dyDescent="0.4">
      <c r="A28" s="37"/>
      <c r="B28" s="37"/>
      <c r="C28" s="133"/>
      <c r="D28" s="133"/>
      <c r="E28" s="9"/>
      <c r="F28" s="102"/>
      <c r="G28" s="102"/>
      <c r="H28" s="102"/>
      <c r="I28" s="153"/>
      <c r="J28" s="103"/>
      <c r="K28" s="153"/>
      <c r="L28" s="103"/>
      <c r="M28" s="100"/>
      <c r="N28" s="100"/>
      <c r="O28" s="100"/>
      <c r="P28" s="83"/>
      <c r="Q28" s="37"/>
      <c r="R28" s="12"/>
      <c r="S28" s="38"/>
      <c r="T28" s="37"/>
      <c r="U28" s="37"/>
    </row>
    <row r="29" spans="1:21" x14ac:dyDescent="0.4">
      <c r="A29" s="37"/>
      <c r="B29" s="37"/>
      <c r="C29" s="133"/>
      <c r="D29" s="133"/>
      <c r="E29" s="9"/>
      <c r="F29" s="102"/>
      <c r="G29" s="102"/>
      <c r="H29" s="102"/>
      <c r="I29" s="153"/>
      <c r="J29" s="103"/>
      <c r="K29" s="153"/>
      <c r="L29" s="103"/>
      <c r="M29" s="100"/>
      <c r="N29" s="100"/>
      <c r="O29" s="100"/>
      <c r="P29" s="83"/>
      <c r="Q29" s="37"/>
      <c r="R29" s="12"/>
      <c r="S29" s="38"/>
      <c r="T29" s="37"/>
      <c r="U29" s="37"/>
    </row>
    <row r="30" spans="1:21" x14ac:dyDescent="0.4">
      <c r="A30" s="37"/>
      <c r="B30" s="37"/>
      <c r="C30" s="133"/>
      <c r="D30" s="133"/>
      <c r="E30" s="9"/>
      <c r="F30" s="102"/>
      <c r="G30" s="102"/>
      <c r="H30" s="102"/>
      <c r="I30" s="153"/>
      <c r="J30" s="103"/>
      <c r="K30" s="153"/>
      <c r="L30" s="103"/>
      <c r="M30" s="100"/>
      <c r="N30" s="100"/>
      <c r="O30" s="100"/>
      <c r="P30" s="83"/>
      <c r="Q30" s="37"/>
      <c r="R30" s="12"/>
      <c r="S30" s="38"/>
      <c r="T30" s="37"/>
      <c r="U30" s="37"/>
    </row>
    <row r="31" spans="1:21" x14ac:dyDescent="0.4">
      <c r="A31" s="37"/>
      <c r="B31" s="37"/>
      <c r="C31" s="133"/>
      <c r="D31" s="133"/>
      <c r="E31" s="9"/>
      <c r="F31" s="102"/>
      <c r="G31" s="102"/>
      <c r="H31" s="102"/>
      <c r="I31" s="153"/>
      <c r="J31" s="103"/>
      <c r="K31" s="153"/>
      <c r="L31" s="103"/>
      <c r="M31" s="100"/>
      <c r="N31" s="100"/>
      <c r="O31" s="100"/>
      <c r="P31" s="83"/>
      <c r="Q31" s="37"/>
      <c r="R31" s="12"/>
      <c r="S31" s="38"/>
      <c r="T31" s="37"/>
      <c r="U31" s="37"/>
    </row>
    <row r="32" spans="1:21" x14ac:dyDescent="0.4">
      <c r="A32" s="37"/>
      <c r="B32" s="37"/>
      <c r="C32" s="133"/>
      <c r="D32" s="133"/>
      <c r="E32" s="9"/>
      <c r="F32" s="102"/>
      <c r="G32" s="102"/>
      <c r="H32" s="102"/>
      <c r="I32" s="153"/>
      <c r="J32" s="103"/>
      <c r="K32" s="153"/>
      <c r="L32" s="103"/>
      <c r="M32" s="100"/>
      <c r="N32" s="100"/>
      <c r="O32" s="100"/>
      <c r="P32" s="83"/>
      <c r="Q32" s="37"/>
      <c r="R32" s="12"/>
      <c r="S32" s="38"/>
      <c r="T32" s="37"/>
      <c r="U32" s="37"/>
    </row>
    <row r="33" spans="1:21" x14ac:dyDescent="0.4">
      <c r="A33" s="37"/>
      <c r="B33" s="37"/>
      <c r="C33" s="133"/>
      <c r="D33" s="133"/>
      <c r="E33" s="9"/>
      <c r="F33" s="102"/>
      <c r="G33" s="102"/>
      <c r="H33" s="102"/>
      <c r="I33" s="153"/>
      <c r="J33" s="103"/>
      <c r="K33" s="153"/>
      <c r="L33" s="103"/>
      <c r="M33" s="100"/>
      <c r="N33" s="100"/>
      <c r="O33" s="100"/>
      <c r="P33" s="83"/>
      <c r="Q33" s="37"/>
      <c r="R33" s="12"/>
      <c r="S33" s="38"/>
      <c r="T33" s="37"/>
      <c r="U33" s="37"/>
    </row>
    <row r="34" spans="1:21" x14ac:dyDescent="0.4">
      <c r="A34" s="37"/>
      <c r="B34" s="37"/>
      <c r="C34" s="133"/>
      <c r="D34" s="133"/>
      <c r="E34" s="9"/>
      <c r="F34" s="102"/>
      <c r="G34" s="102"/>
      <c r="H34" s="102"/>
      <c r="I34" s="153"/>
      <c r="J34" s="103"/>
      <c r="K34" s="153"/>
      <c r="L34" s="103"/>
      <c r="M34" s="100"/>
      <c r="N34" s="100"/>
      <c r="O34" s="100"/>
      <c r="P34" s="83"/>
      <c r="Q34" s="37"/>
      <c r="R34" s="12"/>
      <c r="S34" s="38"/>
      <c r="T34" s="37"/>
      <c r="U34" s="37"/>
    </row>
    <row r="35" spans="1:21" x14ac:dyDescent="0.4">
      <c r="A35" s="37"/>
      <c r="B35" s="37"/>
      <c r="C35" s="133"/>
      <c r="D35" s="133"/>
      <c r="E35" s="12"/>
      <c r="F35" s="102"/>
      <c r="G35" s="102"/>
      <c r="H35" s="102"/>
      <c r="I35" s="153"/>
      <c r="J35" s="103"/>
      <c r="K35" s="153"/>
      <c r="L35" s="103"/>
      <c r="M35" s="100"/>
      <c r="N35" s="100"/>
      <c r="O35" s="100"/>
      <c r="P35" s="83"/>
      <c r="Q35" s="37"/>
      <c r="R35" s="12"/>
      <c r="S35" s="38"/>
      <c r="T35" s="37"/>
      <c r="U35" s="130"/>
    </row>
    <row r="36" spans="1:21" x14ac:dyDescent="0.4">
      <c r="A36" s="37"/>
      <c r="B36" s="37"/>
      <c r="C36" s="133"/>
      <c r="D36" s="133"/>
      <c r="E36" s="9"/>
      <c r="F36" s="102"/>
      <c r="G36" s="102"/>
      <c r="H36" s="102"/>
      <c r="I36" s="153"/>
      <c r="J36" s="103"/>
      <c r="K36" s="153"/>
      <c r="L36" s="103"/>
      <c r="M36" s="100"/>
      <c r="N36" s="100"/>
      <c r="O36" s="100"/>
      <c r="P36" s="83"/>
      <c r="Q36" s="37"/>
      <c r="R36" s="12"/>
      <c r="S36" s="38"/>
      <c r="T36" s="37"/>
      <c r="U36" s="37"/>
    </row>
    <row r="37" spans="1:21" x14ac:dyDescent="0.4">
      <c r="A37" s="37"/>
      <c r="B37" s="37"/>
      <c r="C37" s="133"/>
      <c r="D37" s="133"/>
      <c r="E37" s="9"/>
      <c r="F37" s="102"/>
      <c r="G37" s="102"/>
      <c r="H37" s="102"/>
      <c r="I37" s="153"/>
      <c r="J37" s="103"/>
      <c r="K37" s="153"/>
      <c r="L37" s="103"/>
      <c r="M37" s="100"/>
      <c r="N37" s="100"/>
      <c r="O37" s="100"/>
      <c r="P37" s="83"/>
      <c r="Q37" s="37"/>
      <c r="R37" s="12"/>
      <c r="S37" s="38"/>
      <c r="T37" s="37"/>
      <c r="U37" s="37"/>
    </row>
    <row r="38" spans="1:21" x14ac:dyDescent="0.4">
      <c r="A38" s="37"/>
      <c r="B38" s="37"/>
      <c r="C38" s="133"/>
      <c r="D38" s="133"/>
      <c r="E38" s="9"/>
      <c r="F38" s="102"/>
      <c r="G38" s="102"/>
      <c r="H38" s="102"/>
      <c r="I38" s="153"/>
      <c r="J38" s="103"/>
      <c r="K38" s="153"/>
      <c r="L38" s="103"/>
      <c r="M38" s="100"/>
      <c r="N38" s="100"/>
      <c r="O38" s="100"/>
      <c r="P38" s="83"/>
      <c r="Q38" s="37"/>
      <c r="R38" s="12"/>
      <c r="S38" s="38"/>
      <c r="T38" s="37"/>
      <c r="U38" s="37"/>
    </row>
    <row r="39" spans="1:21" x14ac:dyDescent="0.4">
      <c r="A39" s="37"/>
      <c r="B39" s="37"/>
      <c r="C39" s="133"/>
      <c r="D39" s="133"/>
      <c r="E39" s="9"/>
      <c r="F39" s="102"/>
      <c r="G39" s="102"/>
      <c r="H39" s="102"/>
      <c r="I39" s="153"/>
      <c r="J39" s="103"/>
      <c r="K39" s="153"/>
      <c r="L39" s="103"/>
      <c r="M39" s="100"/>
      <c r="N39" s="100"/>
      <c r="O39" s="100"/>
      <c r="P39" s="83"/>
      <c r="Q39" s="37"/>
      <c r="R39" s="12"/>
      <c r="S39" s="38"/>
      <c r="T39" s="37"/>
      <c r="U39" s="37"/>
    </row>
    <row r="40" spans="1:21" x14ac:dyDescent="0.4">
      <c r="A40" s="37"/>
      <c r="B40" s="37"/>
      <c r="C40" s="133"/>
      <c r="D40" s="133"/>
      <c r="E40" s="9"/>
      <c r="F40" s="102"/>
      <c r="G40" s="102"/>
      <c r="H40" s="102"/>
      <c r="I40" s="153"/>
      <c r="J40" s="103"/>
      <c r="K40" s="153"/>
      <c r="L40" s="103"/>
      <c r="M40" s="100"/>
      <c r="N40" s="100"/>
      <c r="O40" s="100"/>
      <c r="P40" s="83"/>
      <c r="Q40" s="37"/>
      <c r="R40" s="12"/>
      <c r="S40" s="38"/>
      <c r="T40" s="37"/>
      <c r="U40" s="37"/>
    </row>
    <row r="41" spans="1:21" x14ac:dyDescent="0.4">
      <c r="A41" s="37"/>
      <c r="B41" s="37"/>
      <c r="C41" s="133"/>
      <c r="D41" s="133"/>
      <c r="E41" s="9"/>
      <c r="F41" s="102"/>
      <c r="G41" s="102"/>
      <c r="H41" s="102"/>
      <c r="I41" s="153"/>
      <c r="J41" s="103"/>
      <c r="K41" s="153"/>
      <c r="L41" s="103"/>
      <c r="M41" s="100"/>
      <c r="N41" s="100"/>
      <c r="O41" s="100"/>
      <c r="P41" s="83"/>
      <c r="Q41" s="37"/>
      <c r="R41" s="12"/>
      <c r="S41" s="38"/>
      <c r="T41" s="37"/>
      <c r="U41" s="37"/>
    </row>
    <row r="42" spans="1:21" x14ac:dyDescent="0.4">
      <c r="A42" s="37"/>
      <c r="B42" s="37"/>
      <c r="C42" s="133"/>
      <c r="D42" s="133"/>
      <c r="E42" s="12"/>
      <c r="F42" s="102"/>
      <c r="G42" s="102"/>
      <c r="H42" s="102"/>
      <c r="I42" s="153"/>
      <c r="J42" s="103"/>
      <c r="K42" s="153"/>
      <c r="L42" s="103"/>
      <c r="M42" s="100"/>
      <c r="N42" s="100"/>
      <c r="O42" s="100"/>
      <c r="P42" s="83"/>
      <c r="Q42" s="37"/>
      <c r="R42" s="12"/>
      <c r="S42" s="38"/>
      <c r="T42" s="37"/>
      <c r="U42" s="130"/>
    </row>
    <row r="43" spans="1:21" x14ac:dyDescent="0.4">
      <c r="A43" s="37"/>
      <c r="B43" s="37"/>
      <c r="C43" s="133"/>
      <c r="D43" s="133"/>
      <c r="E43" s="9"/>
      <c r="F43" s="102"/>
      <c r="G43" s="102"/>
      <c r="H43" s="102"/>
      <c r="I43" s="153"/>
      <c r="J43" s="103"/>
      <c r="K43" s="153"/>
      <c r="L43" s="103"/>
      <c r="M43" s="100"/>
      <c r="N43" s="100"/>
      <c r="O43" s="100"/>
      <c r="P43" s="83"/>
      <c r="Q43" s="37"/>
      <c r="R43" s="12"/>
      <c r="S43" s="38"/>
      <c r="T43" s="37"/>
      <c r="U43" s="37"/>
    </row>
    <row r="44" spans="1:21" x14ac:dyDescent="0.4">
      <c r="A44" s="37"/>
      <c r="B44" s="37"/>
      <c r="C44" s="133"/>
      <c r="D44" s="133"/>
      <c r="E44" s="9"/>
      <c r="F44" s="102"/>
      <c r="G44" s="102"/>
      <c r="H44" s="102"/>
      <c r="I44" s="153"/>
      <c r="J44" s="103"/>
      <c r="K44" s="153"/>
      <c r="L44" s="103"/>
      <c r="M44" s="100"/>
      <c r="N44" s="100"/>
      <c r="O44" s="100"/>
      <c r="P44" s="83"/>
      <c r="Q44" s="37"/>
      <c r="R44" s="12"/>
      <c r="S44" s="38"/>
      <c r="T44" s="37"/>
      <c r="U44" s="37"/>
    </row>
    <row r="45" spans="1:21" x14ac:dyDescent="0.4">
      <c r="A45" s="37"/>
      <c r="B45" s="37"/>
      <c r="C45" s="133"/>
      <c r="D45" s="133"/>
      <c r="E45" s="12"/>
      <c r="F45" s="102"/>
      <c r="G45" s="102"/>
      <c r="H45" s="102"/>
      <c r="I45" s="153"/>
      <c r="J45" s="103"/>
      <c r="K45" s="153"/>
      <c r="L45" s="103"/>
      <c r="M45" s="100"/>
      <c r="N45" s="100"/>
      <c r="O45" s="100"/>
      <c r="P45" s="83"/>
      <c r="Q45" s="37"/>
      <c r="R45" s="12"/>
      <c r="S45" s="38"/>
      <c r="T45" s="37"/>
      <c r="U45" s="130"/>
    </row>
    <row r="46" spans="1:21" x14ac:dyDescent="0.4">
      <c r="A46" s="37"/>
      <c r="B46" s="37"/>
      <c r="C46" s="133"/>
      <c r="D46" s="133"/>
      <c r="E46" s="12"/>
      <c r="F46" s="102"/>
      <c r="G46" s="102"/>
      <c r="H46" s="102"/>
      <c r="I46" s="153"/>
      <c r="J46" s="103"/>
      <c r="K46" s="153"/>
      <c r="L46" s="103"/>
      <c r="M46" s="100"/>
      <c r="N46" s="100"/>
      <c r="O46" s="100"/>
      <c r="P46" s="83"/>
      <c r="Q46" s="37"/>
      <c r="R46" s="12"/>
      <c r="S46" s="38"/>
      <c r="T46" s="37"/>
      <c r="U46" s="130"/>
    </row>
    <row r="47" spans="1:21" x14ac:dyDescent="0.4">
      <c r="A47" s="37"/>
      <c r="B47" s="134"/>
      <c r="C47" s="133"/>
      <c r="D47" s="133"/>
      <c r="E47" s="9"/>
      <c r="F47" s="102"/>
      <c r="G47" s="102"/>
      <c r="H47" s="102"/>
      <c r="I47" s="153"/>
      <c r="J47" s="103"/>
      <c r="K47" s="153"/>
      <c r="L47" s="103"/>
      <c r="M47" s="155"/>
      <c r="N47" s="100"/>
      <c r="O47" s="100"/>
      <c r="P47" s="83"/>
      <c r="Q47" s="37"/>
      <c r="R47" s="12"/>
      <c r="S47" s="38"/>
      <c r="T47" s="37"/>
      <c r="U47" s="37"/>
    </row>
    <row r="48" spans="1:21" x14ac:dyDescent="0.4">
      <c r="A48" s="37"/>
      <c r="B48" s="37"/>
      <c r="C48" s="133"/>
      <c r="D48" s="133"/>
      <c r="E48" s="9"/>
      <c r="F48" s="102"/>
      <c r="G48" s="102"/>
      <c r="H48" s="102"/>
      <c r="I48" s="153"/>
      <c r="J48" s="103"/>
      <c r="K48" s="153"/>
      <c r="L48" s="103"/>
      <c r="M48" s="100"/>
      <c r="N48" s="100"/>
      <c r="O48" s="100"/>
      <c r="P48" s="83"/>
      <c r="Q48" s="37"/>
      <c r="R48" s="12"/>
      <c r="S48" s="38"/>
      <c r="T48" s="37"/>
      <c r="U48" s="37"/>
    </row>
    <row r="49" spans="1:21" x14ac:dyDescent="0.4">
      <c r="A49" s="37"/>
      <c r="B49" s="37"/>
      <c r="C49" s="133"/>
      <c r="D49" s="133"/>
      <c r="E49" s="9"/>
      <c r="F49" s="102"/>
      <c r="G49" s="102"/>
      <c r="H49" s="102"/>
      <c r="I49" s="153"/>
      <c r="J49" s="103"/>
      <c r="K49" s="153"/>
      <c r="L49" s="103"/>
      <c r="M49" s="100"/>
      <c r="N49" s="100"/>
      <c r="O49" s="100"/>
      <c r="P49" s="83"/>
      <c r="Q49" s="37"/>
      <c r="R49" s="12"/>
      <c r="S49" s="38"/>
      <c r="T49" s="37"/>
      <c r="U49" s="37"/>
    </row>
    <row r="50" spans="1:21" x14ac:dyDescent="0.4">
      <c r="A50" s="37"/>
      <c r="B50" s="37"/>
      <c r="C50" s="133"/>
      <c r="D50" s="133"/>
      <c r="E50" s="9"/>
      <c r="F50" s="102"/>
      <c r="G50" s="102"/>
      <c r="H50" s="102"/>
      <c r="I50" s="153"/>
      <c r="J50" s="103"/>
      <c r="K50" s="153"/>
      <c r="L50" s="103"/>
      <c r="M50" s="100"/>
      <c r="N50" s="100"/>
      <c r="O50" s="100"/>
      <c r="P50" s="83"/>
      <c r="Q50" s="37"/>
      <c r="R50" s="12"/>
      <c r="S50" s="38"/>
      <c r="T50" s="37"/>
      <c r="U50" s="37"/>
    </row>
    <row r="51" spans="1:21" x14ac:dyDescent="0.4">
      <c r="A51" s="37"/>
      <c r="B51" s="37"/>
      <c r="C51" s="133"/>
      <c r="D51" s="133"/>
      <c r="E51" s="9"/>
      <c r="F51" s="102"/>
      <c r="G51" s="102"/>
      <c r="H51" s="102"/>
      <c r="I51" s="153"/>
      <c r="J51" s="103"/>
      <c r="K51" s="153"/>
      <c r="L51" s="103"/>
      <c r="M51" s="100"/>
      <c r="N51" s="100"/>
      <c r="O51" s="100"/>
      <c r="P51" s="83"/>
      <c r="Q51" s="37"/>
      <c r="R51" s="12"/>
      <c r="S51" s="38"/>
      <c r="T51" s="37"/>
      <c r="U51" s="37"/>
    </row>
    <row r="52" spans="1:21" x14ac:dyDescent="0.4">
      <c r="A52" s="37"/>
      <c r="B52" s="37"/>
      <c r="C52" s="133"/>
      <c r="D52" s="133"/>
      <c r="E52" s="9"/>
      <c r="F52" s="102"/>
      <c r="G52" s="102"/>
      <c r="H52" s="102"/>
      <c r="I52" s="153"/>
      <c r="J52" s="103"/>
      <c r="K52" s="153"/>
      <c r="L52" s="103"/>
      <c r="M52" s="100"/>
      <c r="N52" s="100"/>
      <c r="O52" s="100"/>
      <c r="P52" s="83"/>
      <c r="Q52" s="37"/>
      <c r="R52" s="12"/>
      <c r="S52" s="38"/>
      <c r="T52" s="37"/>
      <c r="U52" s="37"/>
    </row>
    <row r="53" spans="1:21" x14ac:dyDescent="0.4">
      <c r="A53" s="37"/>
      <c r="B53" s="37"/>
      <c r="C53" s="133"/>
      <c r="D53" s="133"/>
      <c r="E53" s="9"/>
      <c r="F53" s="102"/>
      <c r="G53" s="102"/>
      <c r="H53" s="102"/>
      <c r="I53" s="153"/>
      <c r="J53" s="103"/>
      <c r="K53" s="153"/>
      <c r="L53" s="103"/>
      <c r="M53" s="100"/>
      <c r="N53" s="100"/>
      <c r="O53" s="100"/>
      <c r="P53" s="83"/>
      <c r="Q53" s="37"/>
      <c r="R53" s="12"/>
      <c r="S53" s="38"/>
      <c r="T53" s="37"/>
      <c r="U53" s="37"/>
    </row>
    <row r="54" spans="1:21" x14ac:dyDescent="0.4">
      <c r="A54" s="37"/>
      <c r="B54" s="37"/>
      <c r="C54" s="133"/>
      <c r="D54" s="133"/>
      <c r="E54" s="9"/>
      <c r="F54" s="102"/>
      <c r="G54" s="102"/>
      <c r="H54" s="102"/>
      <c r="I54" s="153"/>
      <c r="J54" s="103"/>
      <c r="K54" s="153"/>
      <c r="L54" s="103"/>
      <c r="M54" s="100"/>
      <c r="N54" s="100"/>
      <c r="O54" s="100"/>
      <c r="P54" s="83"/>
      <c r="Q54" s="37"/>
      <c r="R54" s="12"/>
      <c r="S54" s="38"/>
      <c r="T54" s="37"/>
      <c r="U54" s="37"/>
    </row>
    <row r="55" spans="1:21" x14ac:dyDescent="0.4">
      <c r="A55" s="37"/>
      <c r="B55" s="37"/>
      <c r="C55" s="133"/>
      <c r="D55" s="133"/>
      <c r="E55" s="9"/>
      <c r="F55" s="102"/>
      <c r="G55" s="102"/>
      <c r="H55" s="102"/>
      <c r="I55" s="153"/>
      <c r="J55" s="103"/>
      <c r="K55" s="153"/>
      <c r="L55" s="103"/>
      <c r="M55" s="100"/>
      <c r="N55" s="100"/>
      <c r="O55" s="100"/>
      <c r="P55" s="83"/>
      <c r="Q55" s="37"/>
      <c r="R55" s="12"/>
      <c r="S55" s="38"/>
      <c r="T55" s="37"/>
      <c r="U55" s="37"/>
    </row>
    <row r="56" spans="1:21" x14ac:dyDescent="0.4">
      <c r="A56" s="37"/>
      <c r="B56" s="37"/>
      <c r="C56" s="133"/>
      <c r="D56" s="133"/>
      <c r="E56" s="9"/>
      <c r="F56" s="102"/>
      <c r="G56" s="102"/>
      <c r="H56" s="102"/>
      <c r="I56" s="153"/>
      <c r="J56" s="103"/>
      <c r="K56" s="153"/>
      <c r="L56" s="103"/>
      <c r="M56" s="100"/>
      <c r="N56" s="100"/>
      <c r="O56" s="100"/>
      <c r="P56" s="83"/>
      <c r="Q56" s="37"/>
      <c r="R56" s="12"/>
      <c r="S56" s="38"/>
      <c r="T56" s="37"/>
      <c r="U56" s="37"/>
    </row>
    <row r="57" spans="1:21" x14ac:dyDescent="0.4">
      <c r="A57" s="37"/>
      <c r="B57" s="37"/>
      <c r="C57" s="133"/>
      <c r="D57" s="133"/>
      <c r="E57" s="9"/>
      <c r="F57" s="102"/>
      <c r="G57" s="102"/>
      <c r="H57" s="102"/>
      <c r="I57" s="153"/>
      <c r="J57" s="103"/>
      <c r="K57" s="153"/>
      <c r="L57" s="103"/>
      <c r="M57" s="100"/>
      <c r="N57" s="100"/>
      <c r="O57" s="100"/>
      <c r="P57" s="83"/>
      <c r="Q57" s="37"/>
      <c r="R57" s="12"/>
      <c r="S57" s="38"/>
      <c r="T57" s="37"/>
      <c r="U57" s="37"/>
    </row>
    <row r="58" spans="1:21" x14ac:dyDescent="0.4">
      <c r="A58" s="37"/>
      <c r="B58" s="37"/>
      <c r="C58" s="133"/>
      <c r="D58" s="133"/>
      <c r="E58" s="9"/>
      <c r="F58" s="102"/>
      <c r="G58" s="102"/>
      <c r="H58" s="102"/>
      <c r="I58" s="153"/>
      <c r="J58" s="103"/>
      <c r="K58" s="153"/>
      <c r="L58" s="103"/>
      <c r="M58" s="100"/>
      <c r="N58" s="100"/>
      <c r="O58" s="100"/>
      <c r="P58" s="83"/>
      <c r="Q58" s="37"/>
      <c r="R58" s="12"/>
      <c r="S58" s="38"/>
      <c r="T58" s="37"/>
      <c r="U58" s="37"/>
    </row>
    <row r="59" spans="1:21" x14ac:dyDescent="0.4">
      <c r="A59" s="37"/>
      <c r="B59" s="37"/>
      <c r="C59" s="133"/>
      <c r="D59" s="133"/>
      <c r="E59" s="9"/>
      <c r="F59" s="102"/>
      <c r="G59" s="102"/>
      <c r="H59" s="102"/>
      <c r="I59" s="153"/>
      <c r="J59" s="103"/>
      <c r="K59" s="153"/>
      <c r="L59" s="103"/>
      <c r="M59" s="100"/>
      <c r="N59" s="100"/>
      <c r="O59" s="100"/>
      <c r="P59" s="83"/>
      <c r="Q59" s="37"/>
      <c r="R59" s="12"/>
      <c r="S59" s="38"/>
      <c r="T59" s="37"/>
      <c r="U59" s="37"/>
    </row>
    <row r="60" spans="1:21" x14ac:dyDescent="0.4">
      <c r="A60" s="37"/>
      <c r="B60" s="37"/>
      <c r="C60" s="133"/>
      <c r="D60" s="133"/>
      <c r="E60" s="9"/>
      <c r="F60" s="102"/>
      <c r="G60" s="102"/>
      <c r="H60" s="102"/>
      <c r="I60" s="153"/>
      <c r="J60" s="103"/>
      <c r="K60" s="153"/>
      <c r="L60" s="103"/>
      <c r="M60" s="100"/>
      <c r="N60" s="100"/>
      <c r="O60" s="100"/>
      <c r="P60" s="83"/>
      <c r="Q60" s="37"/>
      <c r="R60" s="12"/>
      <c r="S60" s="38"/>
      <c r="T60" s="37"/>
      <c r="U60" s="130"/>
    </row>
    <row r="61" spans="1:21" x14ac:dyDescent="0.4">
      <c r="A61" s="37"/>
      <c r="B61" s="37"/>
      <c r="C61" s="133"/>
      <c r="D61" s="133"/>
      <c r="E61" s="9"/>
      <c r="F61" s="102"/>
      <c r="G61" s="102"/>
      <c r="H61" s="102"/>
      <c r="I61" s="153"/>
      <c r="J61" s="103"/>
      <c r="K61" s="153"/>
      <c r="L61" s="103"/>
      <c r="M61" s="100"/>
      <c r="N61" s="100"/>
      <c r="O61" s="100"/>
      <c r="P61" s="83"/>
      <c r="Q61" s="37"/>
      <c r="R61" s="12"/>
      <c r="S61" s="38"/>
      <c r="T61" s="37"/>
      <c r="U61" s="37"/>
    </row>
    <row r="62" spans="1:21" x14ac:dyDescent="0.4">
      <c r="A62" s="37"/>
      <c r="B62" s="37"/>
      <c r="C62" s="133"/>
      <c r="D62" s="133"/>
      <c r="E62" s="9"/>
      <c r="F62" s="102"/>
      <c r="G62" s="102"/>
      <c r="H62" s="102"/>
      <c r="I62" s="153"/>
      <c r="J62" s="103"/>
      <c r="K62" s="153"/>
      <c r="L62" s="103"/>
      <c r="M62" s="100"/>
      <c r="N62" s="100"/>
      <c r="O62" s="100"/>
      <c r="P62" s="37"/>
      <c r="Q62" s="37"/>
      <c r="R62" s="12"/>
      <c r="S62" s="38"/>
      <c r="T62" s="37"/>
      <c r="U62" s="37"/>
    </row>
    <row r="63" spans="1:21" x14ac:dyDescent="0.4">
      <c r="A63" s="37"/>
      <c r="B63" s="37"/>
      <c r="C63" s="133"/>
      <c r="D63" s="133"/>
      <c r="E63" s="9"/>
      <c r="F63" s="102"/>
      <c r="G63" s="102"/>
      <c r="H63" s="102"/>
      <c r="I63" s="153"/>
      <c r="J63" s="103"/>
      <c r="K63" s="153"/>
      <c r="L63" s="103"/>
      <c r="M63" s="100"/>
      <c r="N63" s="100"/>
      <c r="O63" s="100"/>
      <c r="P63" s="83"/>
      <c r="Q63" s="37"/>
      <c r="R63" s="12"/>
      <c r="S63" s="38"/>
      <c r="T63" s="37"/>
      <c r="U63" s="37"/>
    </row>
    <row r="64" spans="1:21" x14ac:dyDescent="0.4">
      <c r="A64" s="37"/>
      <c r="B64" s="37"/>
      <c r="C64" s="133"/>
      <c r="D64" s="133"/>
      <c r="E64" s="9"/>
      <c r="F64" s="102"/>
      <c r="G64" s="102"/>
      <c r="H64" s="102"/>
      <c r="I64" s="153"/>
      <c r="J64" s="103"/>
      <c r="K64" s="153"/>
      <c r="L64" s="103"/>
      <c r="M64" s="100"/>
      <c r="N64" s="100"/>
      <c r="O64" s="100"/>
      <c r="P64" s="83"/>
      <c r="Q64" s="37"/>
      <c r="R64" s="12"/>
      <c r="S64" s="38"/>
      <c r="T64" s="37"/>
      <c r="U64" s="37"/>
    </row>
    <row r="65" spans="1:21" x14ac:dyDescent="0.4">
      <c r="A65" s="37"/>
      <c r="B65" s="37"/>
      <c r="C65" s="133"/>
      <c r="D65" s="133"/>
      <c r="E65" s="9"/>
      <c r="F65" s="102"/>
      <c r="G65" s="102"/>
      <c r="H65" s="102"/>
      <c r="I65" s="153"/>
      <c r="J65" s="103"/>
      <c r="K65" s="153"/>
      <c r="L65" s="103"/>
      <c r="M65" s="100"/>
      <c r="N65" s="100"/>
      <c r="O65" s="100"/>
      <c r="P65" s="83"/>
      <c r="Q65" s="37"/>
      <c r="R65" s="12"/>
      <c r="S65" s="38"/>
      <c r="T65" s="37"/>
      <c r="U65" s="37"/>
    </row>
    <row r="66" spans="1:21" x14ac:dyDescent="0.4">
      <c r="A66" s="37"/>
      <c r="B66" s="37"/>
      <c r="C66" s="133"/>
      <c r="D66" s="133"/>
      <c r="E66" s="12"/>
      <c r="F66" s="102"/>
      <c r="G66" s="102"/>
      <c r="H66" s="102"/>
      <c r="I66" s="153"/>
      <c r="J66" s="103"/>
      <c r="K66" s="153"/>
      <c r="L66" s="103"/>
      <c r="M66" s="100"/>
      <c r="N66" s="100"/>
      <c r="O66" s="100"/>
      <c r="P66" s="83"/>
      <c r="Q66" s="37"/>
      <c r="R66" s="12"/>
      <c r="S66" s="38"/>
      <c r="T66" s="37"/>
      <c r="U66" s="130"/>
    </row>
    <row r="67" spans="1:21" x14ac:dyDescent="0.4">
      <c r="A67" s="37"/>
      <c r="B67" s="37"/>
      <c r="C67" s="133"/>
      <c r="D67" s="133"/>
      <c r="E67" s="9"/>
      <c r="F67" s="102"/>
      <c r="G67" s="102"/>
      <c r="H67" s="102"/>
      <c r="I67" s="153"/>
      <c r="J67" s="103"/>
      <c r="K67" s="153"/>
      <c r="L67" s="103"/>
      <c r="M67" s="100"/>
      <c r="N67" s="100"/>
      <c r="O67" s="100"/>
      <c r="P67" s="83"/>
      <c r="Q67" s="37"/>
      <c r="R67" s="12"/>
      <c r="S67" s="38"/>
      <c r="T67" s="37"/>
      <c r="U67" s="37"/>
    </row>
    <row r="68" spans="1:21" x14ac:dyDescent="0.4">
      <c r="A68" s="37"/>
      <c r="B68" s="37"/>
      <c r="C68" s="133"/>
      <c r="D68" s="133"/>
      <c r="E68" s="9"/>
      <c r="F68" s="102"/>
      <c r="G68" s="102"/>
      <c r="H68" s="102"/>
      <c r="I68" s="153"/>
      <c r="J68" s="103"/>
      <c r="K68" s="153"/>
      <c r="L68" s="103"/>
      <c r="M68" s="100"/>
      <c r="N68" s="100"/>
      <c r="O68" s="100"/>
      <c r="P68" s="83"/>
      <c r="Q68" s="37"/>
      <c r="R68" s="12"/>
      <c r="S68" s="38"/>
      <c r="T68" s="37"/>
      <c r="U68" s="37"/>
    </row>
    <row r="69" spans="1:21" x14ac:dyDescent="0.4">
      <c r="A69" s="37"/>
      <c r="B69" s="37"/>
      <c r="C69" s="133"/>
      <c r="D69" s="133"/>
      <c r="E69" s="9"/>
      <c r="F69" s="102"/>
      <c r="G69" s="102"/>
      <c r="H69" s="102"/>
      <c r="I69" s="153"/>
      <c r="J69" s="103"/>
      <c r="K69" s="153"/>
      <c r="L69" s="103"/>
      <c r="M69" s="100"/>
      <c r="N69" s="100"/>
      <c r="O69" s="100"/>
      <c r="P69" s="83"/>
      <c r="Q69" s="37"/>
      <c r="R69" s="12"/>
      <c r="S69" s="38"/>
      <c r="T69" s="37"/>
      <c r="U69" s="37"/>
    </row>
    <row r="70" spans="1:21" x14ac:dyDescent="0.4">
      <c r="A70" s="37"/>
      <c r="B70" s="37"/>
      <c r="C70" s="133"/>
      <c r="D70" s="133"/>
      <c r="E70" s="9"/>
      <c r="F70" s="102"/>
      <c r="G70" s="102"/>
      <c r="H70" s="102"/>
      <c r="I70" s="153"/>
      <c r="J70" s="103"/>
      <c r="K70" s="153"/>
      <c r="L70" s="103"/>
      <c r="M70" s="100"/>
      <c r="N70" s="100"/>
      <c r="O70" s="100"/>
      <c r="P70" s="83"/>
      <c r="Q70" s="37"/>
      <c r="R70" s="12"/>
      <c r="S70" s="38"/>
      <c r="T70" s="37"/>
      <c r="U70" s="37"/>
    </row>
    <row r="71" spans="1:21" x14ac:dyDescent="0.4">
      <c r="A71" s="37"/>
      <c r="B71" s="37"/>
      <c r="C71" s="133"/>
      <c r="D71" s="133"/>
      <c r="E71" s="9"/>
      <c r="F71" s="102"/>
      <c r="G71" s="102"/>
      <c r="H71" s="102"/>
      <c r="I71" s="153"/>
      <c r="J71" s="103"/>
      <c r="K71" s="153"/>
      <c r="L71" s="103"/>
      <c r="M71" s="100"/>
      <c r="N71" s="100"/>
      <c r="O71" s="100"/>
      <c r="P71" s="83"/>
      <c r="Q71" s="37"/>
      <c r="R71" s="12"/>
      <c r="S71" s="38"/>
      <c r="T71" s="37"/>
      <c r="U71" s="37"/>
    </row>
    <row r="72" spans="1:21" x14ac:dyDescent="0.4">
      <c r="A72" s="37"/>
      <c r="B72" s="37"/>
      <c r="C72" s="133"/>
      <c r="D72" s="133"/>
      <c r="E72" s="9"/>
      <c r="F72" s="102"/>
      <c r="G72" s="102"/>
      <c r="H72" s="102"/>
      <c r="I72" s="153"/>
      <c r="J72" s="103"/>
      <c r="K72" s="153"/>
      <c r="L72" s="103"/>
      <c r="M72" s="100"/>
      <c r="N72" s="100"/>
      <c r="O72" s="100"/>
      <c r="P72" s="83"/>
      <c r="Q72" s="37"/>
      <c r="R72" s="12"/>
      <c r="S72" s="38"/>
      <c r="T72" s="37"/>
      <c r="U72" s="37"/>
    </row>
    <row r="73" spans="1:21" x14ac:dyDescent="0.4">
      <c r="A73" s="37"/>
      <c r="B73" s="37"/>
      <c r="C73" s="133"/>
      <c r="D73" s="133"/>
      <c r="E73" s="9"/>
      <c r="F73" s="102"/>
      <c r="G73" s="102"/>
      <c r="H73" s="102"/>
      <c r="I73" s="153"/>
      <c r="J73" s="103"/>
      <c r="K73" s="153"/>
      <c r="L73" s="103"/>
      <c r="M73" s="100"/>
      <c r="N73" s="100"/>
      <c r="O73" s="100"/>
      <c r="P73" s="83"/>
      <c r="Q73" s="37"/>
      <c r="R73" s="12"/>
      <c r="S73" s="38"/>
      <c r="T73" s="37"/>
      <c r="U73" s="37"/>
    </row>
    <row r="74" spans="1:21" x14ac:dyDescent="0.4">
      <c r="A74" s="37"/>
      <c r="B74" s="37"/>
      <c r="C74" s="133"/>
      <c r="D74" s="133"/>
      <c r="E74" s="9"/>
      <c r="F74" s="102"/>
      <c r="G74" s="102"/>
      <c r="H74" s="102"/>
      <c r="I74" s="153"/>
      <c r="J74" s="103"/>
      <c r="K74" s="153"/>
      <c r="L74" s="103"/>
      <c r="M74" s="100"/>
      <c r="N74" s="100"/>
      <c r="O74" s="100"/>
      <c r="P74" s="83"/>
      <c r="Q74" s="37"/>
      <c r="R74" s="12"/>
      <c r="S74" s="38"/>
      <c r="T74" s="37"/>
      <c r="U74" s="37"/>
    </row>
    <row r="75" spans="1:21" x14ac:dyDescent="0.4">
      <c r="A75" s="37"/>
      <c r="B75" s="37"/>
      <c r="C75" s="133"/>
      <c r="D75" s="133"/>
      <c r="E75" s="9"/>
      <c r="F75" s="102"/>
      <c r="G75" s="102"/>
      <c r="H75" s="102"/>
      <c r="I75" s="153"/>
      <c r="J75" s="103"/>
      <c r="K75" s="153"/>
      <c r="L75" s="103"/>
      <c r="M75" s="100"/>
      <c r="N75" s="100"/>
      <c r="O75" s="100"/>
      <c r="P75" s="83"/>
      <c r="Q75" s="37"/>
      <c r="R75" s="12"/>
      <c r="S75" s="38"/>
      <c r="T75" s="37"/>
      <c r="U75" s="37"/>
    </row>
    <row r="76" spans="1:21" x14ac:dyDescent="0.4">
      <c r="A76" s="37"/>
      <c r="B76" s="37"/>
      <c r="C76" s="133"/>
      <c r="D76" s="133"/>
      <c r="E76" s="9"/>
      <c r="F76" s="102"/>
      <c r="G76" s="102"/>
      <c r="H76" s="102"/>
      <c r="I76" s="153"/>
      <c r="J76" s="103"/>
      <c r="K76" s="153"/>
      <c r="L76" s="103"/>
      <c r="M76" s="100"/>
      <c r="N76" s="100"/>
      <c r="O76" s="100"/>
      <c r="P76" s="83"/>
      <c r="Q76" s="37"/>
      <c r="R76" s="12"/>
      <c r="S76" s="38"/>
      <c r="T76" s="37"/>
      <c r="U76" s="37"/>
    </row>
    <row r="77" spans="1:21" x14ac:dyDescent="0.4">
      <c r="A77" s="37"/>
      <c r="B77" s="37"/>
      <c r="C77" s="133"/>
      <c r="D77" s="133"/>
      <c r="E77" s="9"/>
      <c r="F77" s="102"/>
      <c r="G77" s="102"/>
      <c r="H77" s="102"/>
      <c r="I77" s="153"/>
      <c r="J77" s="103"/>
      <c r="K77" s="153"/>
      <c r="L77" s="103"/>
      <c r="M77" s="100"/>
      <c r="N77" s="100"/>
      <c r="O77" s="100"/>
      <c r="P77" s="83"/>
      <c r="Q77" s="37"/>
      <c r="R77" s="12"/>
      <c r="S77" s="38"/>
      <c r="T77" s="37"/>
      <c r="U77" s="37"/>
    </row>
    <row r="78" spans="1:21" x14ac:dyDescent="0.4">
      <c r="A78" s="37"/>
      <c r="B78" s="37"/>
      <c r="C78" s="133"/>
      <c r="D78" s="133"/>
      <c r="E78" s="9"/>
      <c r="F78" s="102"/>
      <c r="G78" s="102"/>
      <c r="H78" s="102"/>
      <c r="I78" s="153"/>
      <c r="J78" s="103"/>
      <c r="K78" s="153"/>
      <c r="L78" s="103"/>
      <c r="M78" s="100"/>
      <c r="N78" s="100"/>
      <c r="O78" s="100"/>
      <c r="P78" s="83"/>
      <c r="Q78" s="37"/>
      <c r="R78" s="12"/>
      <c r="S78" s="38"/>
      <c r="T78" s="37"/>
      <c r="U78" s="37"/>
    </row>
    <row r="79" spans="1:21" x14ac:dyDescent="0.4">
      <c r="A79" s="37"/>
      <c r="B79" s="37"/>
      <c r="C79" s="133"/>
      <c r="D79" s="133"/>
      <c r="E79" s="9"/>
      <c r="F79" s="102"/>
      <c r="G79" s="102"/>
      <c r="H79" s="102"/>
      <c r="I79" s="153"/>
      <c r="J79" s="103"/>
      <c r="K79" s="153"/>
      <c r="L79" s="103"/>
      <c r="M79" s="100"/>
      <c r="N79" s="100"/>
      <c r="O79" s="100"/>
      <c r="P79" s="83"/>
      <c r="Q79" s="37"/>
      <c r="R79" s="12"/>
      <c r="S79" s="38"/>
      <c r="T79" s="37"/>
      <c r="U79" s="37"/>
    </row>
    <row r="80" spans="1:21" x14ac:dyDescent="0.4">
      <c r="A80" s="37"/>
      <c r="B80" s="37"/>
      <c r="C80" s="133"/>
      <c r="D80" s="133"/>
      <c r="E80" s="9"/>
      <c r="F80" s="102"/>
      <c r="G80" s="102"/>
      <c r="H80" s="102"/>
      <c r="I80" s="153"/>
      <c r="J80" s="103"/>
      <c r="K80" s="153"/>
      <c r="L80" s="103"/>
      <c r="M80" s="100"/>
      <c r="N80" s="100"/>
      <c r="O80" s="100"/>
      <c r="P80" s="83"/>
      <c r="Q80" s="37"/>
      <c r="R80" s="12"/>
      <c r="S80" s="38"/>
      <c r="T80" s="37"/>
      <c r="U80" s="37"/>
    </row>
    <row r="81" spans="1:21" x14ac:dyDescent="0.4">
      <c r="A81" s="37"/>
      <c r="B81" s="37"/>
      <c r="C81" s="133"/>
      <c r="D81" s="133"/>
      <c r="E81" s="9"/>
      <c r="F81" s="102"/>
      <c r="G81" s="102"/>
      <c r="H81" s="102"/>
      <c r="I81" s="153"/>
      <c r="J81" s="103"/>
      <c r="K81" s="153"/>
      <c r="L81" s="103"/>
      <c r="M81" s="100"/>
      <c r="N81" s="100"/>
      <c r="O81" s="100"/>
      <c r="P81" s="83"/>
      <c r="Q81" s="37"/>
      <c r="R81" s="12"/>
      <c r="S81" s="38"/>
      <c r="T81" s="37"/>
      <c r="U81" s="37"/>
    </row>
    <row r="82" spans="1:21" x14ac:dyDescent="0.4">
      <c r="A82" s="37"/>
      <c r="B82" s="37"/>
      <c r="C82" s="133"/>
      <c r="D82" s="133"/>
      <c r="E82" s="9"/>
      <c r="F82" s="102"/>
      <c r="G82" s="102"/>
      <c r="H82" s="102"/>
      <c r="I82" s="153"/>
      <c r="J82" s="103"/>
      <c r="K82" s="153"/>
      <c r="L82" s="103"/>
      <c r="M82" s="100"/>
      <c r="N82" s="100"/>
      <c r="O82" s="100"/>
      <c r="P82" s="83"/>
      <c r="Q82" s="37"/>
      <c r="R82" s="12"/>
      <c r="S82" s="38"/>
      <c r="T82" s="37"/>
      <c r="U82" s="37"/>
    </row>
    <row r="83" spans="1:21" x14ac:dyDescent="0.4">
      <c r="A83" s="37"/>
      <c r="B83" s="101"/>
      <c r="C83" s="133"/>
      <c r="D83" s="133"/>
      <c r="E83" s="9"/>
      <c r="F83" s="102"/>
      <c r="G83" s="102"/>
      <c r="H83" s="102"/>
      <c r="I83" s="153"/>
      <c r="J83" s="103"/>
      <c r="K83" s="153"/>
      <c r="L83" s="103"/>
      <c r="M83" s="100"/>
      <c r="N83" s="100"/>
      <c r="O83" s="100"/>
      <c r="P83" s="83"/>
      <c r="Q83" s="37"/>
      <c r="R83" s="12"/>
      <c r="S83" s="38"/>
      <c r="T83" s="37"/>
      <c r="U83" s="37"/>
    </row>
    <row r="84" spans="1:21" x14ac:dyDescent="0.4">
      <c r="A84" s="37"/>
      <c r="B84" s="37"/>
      <c r="C84" s="133"/>
      <c r="D84" s="133"/>
      <c r="E84" s="9"/>
      <c r="F84" s="102"/>
      <c r="G84" s="102"/>
      <c r="H84" s="102"/>
      <c r="I84" s="153"/>
      <c r="J84" s="103"/>
      <c r="K84" s="153"/>
      <c r="L84" s="103"/>
      <c r="M84" s="100"/>
      <c r="N84" s="100"/>
      <c r="O84" s="100"/>
      <c r="P84" s="83"/>
      <c r="Q84" s="37"/>
      <c r="R84" s="12"/>
      <c r="S84" s="38"/>
      <c r="T84" s="37"/>
      <c r="U84" s="37"/>
    </row>
    <row r="85" spans="1:21" x14ac:dyDescent="0.4">
      <c r="A85" s="37"/>
      <c r="B85" s="37"/>
      <c r="C85" s="133"/>
      <c r="D85" s="133"/>
      <c r="E85" s="9"/>
      <c r="F85" s="102"/>
      <c r="G85" s="102"/>
      <c r="H85" s="102"/>
      <c r="I85" s="153"/>
      <c r="J85" s="103"/>
      <c r="K85" s="153"/>
      <c r="L85" s="103"/>
      <c r="M85" s="100"/>
      <c r="N85" s="100"/>
      <c r="O85" s="100"/>
      <c r="P85" s="83"/>
      <c r="Q85" s="37"/>
      <c r="R85" s="12"/>
      <c r="S85" s="38"/>
      <c r="T85" s="37"/>
      <c r="U85" s="37"/>
    </row>
    <row r="86" spans="1:21" x14ac:dyDescent="0.4">
      <c r="A86" s="37"/>
      <c r="B86" s="37"/>
      <c r="C86" s="133"/>
      <c r="D86" s="133"/>
      <c r="E86" s="9"/>
      <c r="F86" s="102"/>
      <c r="G86" s="102"/>
      <c r="H86" s="102"/>
      <c r="I86" s="153"/>
      <c r="J86" s="103"/>
      <c r="K86" s="153"/>
      <c r="L86" s="103"/>
      <c r="M86" s="100"/>
      <c r="N86" s="100"/>
      <c r="O86" s="100"/>
      <c r="P86" s="83"/>
      <c r="Q86" s="37"/>
      <c r="R86" s="12"/>
      <c r="S86" s="38"/>
      <c r="T86" s="37"/>
      <c r="U86" s="37"/>
    </row>
    <row r="87" spans="1:21" x14ac:dyDescent="0.4">
      <c r="A87" s="37"/>
      <c r="B87" s="37"/>
      <c r="C87" s="133"/>
      <c r="D87" s="133"/>
      <c r="E87" s="9"/>
      <c r="F87" s="102"/>
      <c r="G87" s="102"/>
      <c r="H87" s="102"/>
      <c r="I87" s="153"/>
      <c r="J87" s="103"/>
      <c r="K87" s="153"/>
      <c r="L87" s="103"/>
      <c r="M87" s="100"/>
      <c r="N87" s="100"/>
      <c r="O87" s="100"/>
      <c r="P87" s="83"/>
      <c r="Q87" s="37"/>
      <c r="R87" s="12"/>
      <c r="S87" s="38"/>
      <c r="T87" s="37"/>
      <c r="U87" s="37"/>
    </row>
    <row r="88" spans="1:21" x14ac:dyDescent="0.4">
      <c r="A88" s="37"/>
      <c r="B88" s="37"/>
      <c r="C88" s="133"/>
      <c r="D88" s="133"/>
      <c r="E88" s="9"/>
      <c r="F88" s="102"/>
      <c r="G88" s="102"/>
      <c r="H88" s="102"/>
      <c r="I88" s="153"/>
      <c r="J88" s="103"/>
      <c r="K88" s="153"/>
      <c r="L88" s="103"/>
      <c r="M88" s="100"/>
      <c r="N88" s="100"/>
      <c r="O88" s="100"/>
      <c r="P88" s="83"/>
      <c r="Q88" s="37"/>
      <c r="R88" s="12"/>
      <c r="S88" s="38"/>
      <c r="T88" s="37"/>
      <c r="U88" s="37"/>
    </row>
    <row r="89" spans="1:21" x14ac:dyDescent="0.4">
      <c r="A89" s="37"/>
      <c r="B89" s="37"/>
      <c r="C89" s="133"/>
      <c r="D89" s="133"/>
      <c r="E89" s="9"/>
      <c r="F89" s="102"/>
      <c r="G89" s="102"/>
      <c r="H89" s="102"/>
      <c r="I89" s="153"/>
      <c r="J89" s="103"/>
      <c r="K89" s="153"/>
      <c r="L89" s="103"/>
      <c r="M89" s="100"/>
      <c r="N89" s="100"/>
      <c r="O89" s="100"/>
      <c r="P89" s="83"/>
      <c r="Q89" s="37"/>
      <c r="R89" s="12"/>
      <c r="S89" s="38"/>
      <c r="T89" s="37"/>
      <c r="U89" s="37"/>
    </row>
    <row r="90" spans="1:21" x14ac:dyDescent="0.4">
      <c r="A90" s="37"/>
      <c r="B90" s="37"/>
      <c r="C90" s="133"/>
      <c r="D90" s="133"/>
      <c r="E90" s="9"/>
      <c r="F90" s="102"/>
      <c r="G90" s="102"/>
      <c r="H90" s="102"/>
      <c r="I90" s="153"/>
      <c r="J90" s="103"/>
      <c r="K90" s="153"/>
      <c r="L90" s="103"/>
      <c r="M90" s="100"/>
      <c r="N90" s="100"/>
      <c r="O90" s="100"/>
      <c r="P90" s="83"/>
      <c r="Q90" s="37"/>
      <c r="R90" s="12"/>
      <c r="S90" s="38"/>
      <c r="T90" s="37"/>
      <c r="U90" s="37"/>
    </row>
    <row r="91" spans="1:21" x14ac:dyDescent="0.4">
      <c r="A91" s="37"/>
      <c r="B91" s="37"/>
      <c r="C91" s="133"/>
      <c r="D91" s="133"/>
      <c r="E91" s="9"/>
      <c r="F91" s="102"/>
      <c r="G91" s="102"/>
      <c r="H91" s="102"/>
      <c r="I91" s="153"/>
      <c r="J91" s="103"/>
      <c r="K91" s="153"/>
      <c r="L91" s="103"/>
      <c r="M91" s="100"/>
      <c r="N91" s="100"/>
      <c r="O91" s="100"/>
      <c r="P91" s="83"/>
      <c r="Q91" s="37"/>
      <c r="R91" s="12"/>
      <c r="S91" s="38"/>
      <c r="T91" s="37"/>
      <c r="U91" s="37"/>
    </row>
    <row r="92" spans="1:21" x14ac:dyDescent="0.4">
      <c r="A92" s="37"/>
      <c r="B92" s="37"/>
      <c r="C92" s="133"/>
      <c r="D92" s="133"/>
      <c r="E92" s="9"/>
      <c r="F92" s="102"/>
      <c r="G92" s="102"/>
      <c r="H92" s="102"/>
      <c r="I92" s="153"/>
      <c r="J92" s="103"/>
      <c r="K92" s="153"/>
      <c r="L92" s="103"/>
      <c r="M92" s="100"/>
      <c r="N92" s="100"/>
      <c r="O92" s="100"/>
      <c r="P92" s="83"/>
      <c r="Q92" s="37"/>
      <c r="R92" s="12"/>
      <c r="S92" s="38"/>
      <c r="T92" s="37"/>
      <c r="U92" s="37"/>
    </row>
    <row r="93" spans="1:21" x14ac:dyDescent="0.4">
      <c r="A93" s="37"/>
      <c r="B93" s="37"/>
      <c r="C93" s="133"/>
      <c r="D93" s="133"/>
      <c r="E93" s="9"/>
      <c r="F93" s="102"/>
      <c r="G93" s="102"/>
      <c r="H93" s="102"/>
      <c r="I93" s="153"/>
      <c r="J93" s="103"/>
      <c r="K93" s="153"/>
      <c r="L93" s="103"/>
      <c r="M93" s="100"/>
      <c r="N93" s="100"/>
      <c r="O93" s="100"/>
      <c r="P93" s="83"/>
      <c r="Q93" s="37"/>
      <c r="R93" s="12"/>
      <c r="S93" s="38"/>
      <c r="T93" s="37"/>
      <c r="U93" s="37"/>
    </row>
    <row r="94" spans="1:21" x14ac:dyDescent="0.4">
      <c r="A94" s="37"/>
      <c r="B94" s="37"/>
      <c r="C94" s="133"/>
      <c r="D94" s="133"/>
      <c r="E94" s="12"/>
      <c r="F94" s="102"/>
      <c r="G94" s="102"/>
      <c r="H94" s="102"/>
      <c r="I94" s="153"/>
      <c r="J94" s="103"/>
      <c r="K94" s="153"/>
      <c r="L94" s="103"/>
      <c r="M94" s="100"/>
      <c r="N94" s="100"/>
      <c r="O94" s="100"/>
      <c r="P94" s="83"/>
      <c r="Q94" s="37"/>
      <c r="R94" s="12"/>
      <c r="S94" s="38"/>
      <c r="T94" s="37"/>
      <c r="U94" s="130"/>
    </row>
    <row r="95" spans="1:21" x14ac:dyDescent="0.4">
      <c r="A95" s="37"/>
      <c r="B95" s="37"/>
      <c r="C95" s="133"/>
      <c r="D95" s="133"/>
      <c r="E95" s="9"/>
      <c r="F95" s="102"/>
      <c r="G95" s="102"/>
      <c r="H95" s="102"/>
      <c r="I95" s="153"/>
      <c r="J95" s="103"/>
      <c r="K95" s="153"/>
      <c r="L95" s="103"/>
      <c r="M95" s="100"/>
      <c r="N95" s="100"/>
      <c r="O95" s="100"/>
      <c r="P95" s="83"/>
      <c r="Q95" s="37"/>
      <c r="R95" s="12"/>
      <c r="S95" s="38"/>
      <c r="T95" s="37"/>
      <c r="U95" s="37"/>
    </row>
    <row r="96" spans="1:21" x14ac:dyDescent="0.4">
      <c r="A96" s="37"/>
      <c r="B96" s="37"/>
      <c r="C96" s="133"/>
      <c r="D96" s="133"/>
      <c r="E96" s="9"/>
      <c r="F96" s="102"/>
      <c r="G96" s="102"/>
      <c r="H96" s="102"/>
      <c r="I96" s="153"/>
      <c r="J96" s="103"/>
      <c r="K96" s="153"/>
      <c r="L96" s="103"/>
      <c r="M96" s="100"/>
      <c r="N96" s="100"/>
      <c r="O96" s="100"/>
      <c r="P96" s="83"/>
      <c r="Q96" s="37"/>
      <c r="R96" s="12"/>
      <c r="S96" s="38"/>
      <c r="T96" s="37"/>
      <c r="U96" s="37"/>
    </row>
    <row r="97" spans="1:21" x14ac:dyDescent="0.4">
      <c r="A97" s="37"/>
      <c r="B97" s="37"/>
      <c r="C97" s="133"/>
      <c r="D97" s="133"/>
      <c r="E97" s="9"/>
      <c r="F97" s="102"/>
      <c r="G97" s="102"/>
      <c r="H97" s="102"/>
      <c r="I97" s="153"/>
      <c r="J97" s="103"/>
      <c r="K97" s="153"/>
      <c r="L97" s="103"/>
      <c r="M97" s="100"/>
      <c r="N97" s="100"/>
      <c r="O97" s="100"/>
      <c r="P97" s="83"/>
      <c r="Q97" s="37"/>
      <c r="R97" s="12"/>
      <c r="S97" s="38"/>
      <c r="T97" s="37"/>
      <c r="U97" s="37"/>
    </row>
    <row r="98" spans="1:21" x14ac:dyDescent="0.4">
      <c r="A98" s="37"/>
      <c r="B98" s="101"/>
      <c r="C98" s="133"/>
      <c r="D98" s="133"/>
      <c r="E98" s="9"/>
      <c r="F98" s="102"/>
      <c r="G98" s="102"/>
      <c r="H98" s="102"/>
      <c r="I98" s="153"/>
      <c r="J98" s="103"/>
      <c r="K98" s="153"/>
      <c r="L98" s="103"/>
      <c r="M98" s="100"/>
      <c r="N98" s="100"/>
      <c r="O98" s="100"/>
      <c r="P98" s="83"/>
      <c r="Q98" s="37"/>
      <c r="R98" s="12"/>
      <c r="S98" s="38"/>
      <c r="T98" s="37"/>
      <c r="U98" s="37"/>
    </row>
    <row r="99" spans="1:21" x14ac:dyDescent="0.4">
      <c r="A99" s="37"/>
      <c r="B99" s="101"/>
      <c r="C99" s="133"/>
      <c r="D99" s="133"/>
      <c r="E99" s="9"/>
      <c r="F99" s="102"/>
      <c r="G99" s="102"/>
      <c r="H99" s="102"/>
      <c r="I99" s="153"/>
      <c r="J99" s="103"/>
      <c r="K99" s="153"/>
      <c r="L99" s="103"/>
      <c r="M99" s="100"/>
      <c r="N99" s="100"/>
      <c r="O99" s="100"/>
      <c r="P99" s="83"/>
      <c r="Q99" s="37"/>
      <c r="R99" s="12"/>
      <c r="S99" s="38"/>
      <c r="T99" s="37"/>
      <c r="U99" s="37"/>
    </row>
    <row r="100" spans="1:21" x14ac:dyDescent="0.4">
      <c r="A100" s="37"/>
      <c r="B100" s="101"/>
      <c r="C100" s="133"/>
      <c r="D100" s="133"/>
      <c r="E100" s="9"/>
      <c r="F100" s="102"/>
      <c r="G100" s="102"/>
      <c r="H100" s="102"/>
      <c r="I100" s="153"/>
      <c r="J100" s="103"/>
      <c r="K100" s="153"/>
      <c r="L100" s="103"/>
      <c r="M100" s="100"/>
      <c r="N100" s="100"/>
      <c r="O100" s="100"/>
      <c r="P100" s="83"/>
      <c r="Q100" s="37"/>
      <c r="R100" s="12"/>
      <c r="S100" s="38"/>
      <c r="T100" s="37"/>
      <c r="U100" s="37"/>
    </row>
    <row r="101" spans="1:21" x14ac:dyDescent="0.4">
      <c r="A101" s="37"/>
      <c r="B101" s="101"/>
      <c r="C101" s="133"/>
      <c r="D101" s="133"/>
      <c r="E101" s="9"/>
      <c r="F101" s="102"/>
      <c r="G101" s="102"/>
      <c r="H101" s="102"/>
      <c r="I101" s="153"/>
      <c r="J101" s="103"/>
      <c r="K101" s="153"/>
      <c r="L101" s="103"/>
      <c r="M101" s="100"/>
      <c r="N101" s="100"/>
      <c r="O101" s="100"/>
      <c r="P101" s="83"/>
      <c r="Q101" s="37"/>
      <c r="R101" s="12"/>
      <c r="S101" s="38"/>
      <c r="T101" s="37"/>
      <c r="U101" s="37"/>
    </row>
    <row r="102" spans="1:21" x14ac:dyDescent="0.4">
      <c r="A102" s="37"/>
      <c r="B102" s="101"/>
      <c r="C102" s="133"/>
      <c r="D102" s="133"/>
      <c r="E102" s="9"/>
      <c r="F102" s="102"/>
      <c r="G102" s="102"/>
      <c r="H102" s="102"/>
      <c r="I102" s="153"/>
      <c r="J102" s="103"/>
      <c r="K102" s="153"/>
      <c r="L102" s="103"/>
      <c r="M102" s="100"/>
      <c r="N102" s="100"/>
      <c r="O102" s="100"/>
      <c r="P102" s="83"/>
      <c r="Q102" s="37"/>
      <c r="R102" s="12"/>
      <c r="S102" s="38"/>
      <c r="T102" s="37"/>
      <c r="U102" s="37"/>
    </row>
    <row r="103" spans="1:21" x14ac:dyDescent="0.4">
      <c r="A103" s="37"/>
      <c r="B103" s="101"/>
      <c r="C103" s="133"/>
      <c r="D103" s="133"/>
      <c r="E103" s="9"/>
      <c r="F103" s="102"/>
      <c r="G103" s="102"/>
      <c r="H103" s="102"/>
      <c r="I103" s="153"/>
      <c r="J103" s="103"/>
      <c r="K103" s="153"/>
      <c r="L103" s="103"/>
      <c r="M103" s="100"/>
      <c r="N103" s="100"/>
      <c r="O103" s="100"/>
      <c r="P103" s="83"/>
      <c r="Q103" s="37"/>
      <c r="R103" s="12"/>
      <c r="S103" s="38"/>
      <c r="T103" s="37"/>
      <c r="U103" s="37"/>
    </row>
    <row r="104" spans="1:21" x14ac:dyDescent="0.4">
      <c r="A104" s="37"/>
      <c r="B104" s="101"/>
      <c r="C104" s="133"/>
      <c r="D104" s="133"/>
      <c r="E104" s="9"/>
      <c r="F104" s="102"/>
      <c r="G104" s="102"/>
      <c r="H104" s="102"/>
      <c r="I104" s="153"/>
      <c r="J104" s="103"/>
      <c r="K104" s="153"/>
      <c r="L104" s="103"/>
      <c r="M104" s="100"/>
      <c r="N104" s="100"/>
      <c r="O104" s="100"/>
      <c r="P104" s="83"/>
      <c r="Q104" s="37"/>
      <c r="R104" s="12"/>
      <c r="S104" s="38"/>
      <c r="T104" s="37"/>
      <c r="U104" s="37"/>
    </row>
    <row r="105" spans="1:21" x14ac:dyDescent="0.4">
      <c r="A105" s="37"/>
      <c r="B105" s="101"/>
      <c r="C105" s="133"/>
      <c r="D105" s="133"/>
      <c r="E105" s="9"/>
      <c r="F105" s="102"/>
      <c r="G105" s="102"/>
      <c r="H105" s="102"/>
      <c r="I105" s="153"/>
      <c r="J105" s="103"/>
      <c r="K105" s="153"/>
      <c r="L105" s="103"/>
      <c r="M105" s="100"/>
      <c r="N105" s="100"/>
      <c r="O105" s="100"/>
      <c r="P105" s="83"/>
      <c r="Q105" s="37"/>
      <c r="R105" s="12"/>
      <c r="S105" s="38"/>
      <c r="T105" s="37"/>
      <c r="U105" s="37"/>
    </row>
    <row r="106" spans="1:21" x14ac:dyDescent="0.4">
      <c r="A106" s="37"/>
      <c r="B106" s="37"/>
      <c r="C106" s="133"/>
      <c r="D106" s="133"/>
      <c r="E106" s="9"/>
      <c r="F106" s="102"/>
      <c r="G106" s="102"/>
      <c r="H106" s="102"/>
      <c r="I106" s="153"/>
      <c r="J106" s="103"/>
      <c r="K106" s="153"/>
      <c r="L106" s="103"/>
      <c r="M106" s="100"/>
      <c r="N106" s="100"/>
      <c r="O106" s="100"/>
      <c r="P106" s="83"/>
      <c r="Q106" s="37"/>
      <c r="R106" s="12"/>
      <c r="S106" s="38"/>
      <c r="T106" s="37"/>
      <c r="U106" s="37"/>
    </row>
    <row r="107" spans="1:21" x14ac:dyDescent="0.4">
      <c r="A107" s="37"/>
      <c r="B107" s="101"/>
      <c r="C107" s="133"/>
      <c r="D107" s="133"/>
      <c r="E107" s="9"/>
      <c r="F107" s="102"/>
      <c r="G107" s="102"/>
      <c r="H107" s="102"/>
      <c r="I107" s="153"/>
      <c r="J107" s="103"/>
      <c r="K107" s="153"/>
      <c r="L107" s="103"/>
      <c r="M107" s="100"/>
      <c r="N107" s="100"/>
      <c r="O107" s="100"/>
      <c r="P107" s="83"/>
      <c r="Q107" s="37"/>
      <c r="R107" s="12"/>
      <c r="S107" s="38"/>
      <c r="T107" s="37"/>
      <c r="U107" s="37"/>
    </row>
    <row r="108" spans="1:21" x14ac:dyDescent="0.4">
      <c r="A108" s="37"/>
      <c r="B108" s="101"/>
      <c r="C108" s="133"/>
      <c r="D108" s="133"/>
      <c r="E108" s="9"/>
      <c r="F108" s="102"/>
      <c r="G108" s="102"/>
      <c r="H108" s="102"/>
      <c r="I108" s="153"/>
      <c r="J108" s="103"/>
      <c r="K108" s="153"/>
      <c r="L108" s="103"/>
      <c r="M108" s="100"/>
      <c r="N108" s="100"/>
      <c r="O108" s="100"/>
      <c r="P108" s="83"/>
      <c r="Q108" s="37"/>
      <c r="R108" s="12"/>
      <c r="S108" s="38"/>
      <c r="T108" s="37"/>
      <c r="U108" s="37"/>
    </row>
    <row r="109" spans="1:21" x14ac:dyDescent="0.4">
      <c r="A109" s="37"/>
      <c r="B109" s="101"/>
      <c r="C109" s="133"/>
      <c r="D109" s="133"/>
      <c r="E109" s="9"/>
      <c r="F109" s="102"/>
      <c r="G109" s="102"/>
      <c r="H109" s="102"/>
      <c r="I109" s="153"/>
      <c r="J109" s="103"/>
      <c r="K109" s="153"/>
      <c r="L109" s="103"/>
      <c r="M109" s="100"/>
      <c r="N109" s="100"/>
      <c r="O109" s="100"/>
      <c r="P109" s="83"/>
      <c r="Q109" s="37"/>
      <c r="R109" s="12"/>
      <c r="S109" s="38"/>
      <c r="T109" s="37"/>
      <c r="U109" s="37"/>
    </row>
    <row r="110" spans="1:21" x14ac:dyDescent="0.4">
      <c r="A110" s="37"/>
      <c r="B110" s="101"/>
      <c r="C110" s="133"/>
      <c r="D110" s="133"/>
      <c r="E110" s="9"/>
      <c r="F110" s="102"/>
      <c r="G110" s="102"/>
      <c r="H110" s="102"/>
      <c r="I110" s="153"/>
      <c r="J110" s="103"/>
      <c r="K110" s="153"/>
      <c r="L110" s="103"/>
      <c r="M110" s="100"/>
      <c r="N110" s="100"/>
      <c r="O110" s="100"/>
      <c r="P110" s="83"/>
      <c r="Q110" s="37"/>
      <c r="R110" s="12"/>
      <c r="S110" s="38"/>
      <c r="T110" s="37"/>
      <c r="U110" s="37"/>
    </row>
    <row r="111" spans="1:21" x14ac:dyDescent="0.4">
      <c r="A111" s="37"/>
      <c r="B111" s="101"/>
      <c r="C111" s="133"/>
      <c r="D111" s="133"/>
      <c r="E111" s="9"/>
      <c r="F111" s="102"/>
      <c r="G111" s="102"/>
      <c r="H111" s="102"/>
      <c r="I111" s="153"/>
      <c r="J111" s="103"/>
      <c r="K111" s="153"/>
      <c r="L111" s="103"/>
      <c r="M111" s="100"/>
      <c r="N111" s="100"/>
      <c r="O111" s="100"/>
      <c r="P111" s="83"/>
      <c r="Q111" s="37"/>
      <c r="R111" s="12"/>
      <c r="S111" s="38"/>
      <c r="T111" s="37"/>
      <c r="U111" s="37"/>
    </row>
    <row r="112" spans="1:21" x14ac:dyDescent="0.4">
      <c r="A112" s="37"/>
      <c r="B112" s="37"/>
      <c r="C112" s="133"/>
      <c r="D112" s="133"/>
      <c r="E112" s="9"/>
      <c r="F112" s="102"/>
      <c r="G112" s="102"/>
      <c r="H112" s="102"/>
      <c r="I112" s="153"/>
      <c r="J112" s="103"/>
      <c r="K112" s="153"/>
      <c r="L112" s="103"/>
      <c r="M112" s="100"/>
      <c r="N112" s="100"/>
      <c r="O112" s="100"/>
      <c r="P112" s="83"/>
      <c r="Q112" s="37"/>
      <c r="R112" s="12"/>
      <c r="S112" s="38"/>
      <c r="T112" s="37"/>
      <c r="U112" s="37"/>
    </row>
    <row r="113" spans="1:21" x14ac:dyDescent="0.4">
      <c r="A113" s="37"/>
      <c r="B113" s="101"/>
      <c r="C113" s="133"/>
      <c r="D113" s="133"/>
      <c r="E113" s="9"/>
      <c r="F113" s="102"/>
      <c r="G113" s="102"/>
      <c r="H113" s="102"/>
      <c r="I113" s="153"/>
      <c r="J113" s="103"/>
      <c r="K113" s="153"/>
      <c r="L113" s="103"/>
      <c r="M113" s="100"/>
      <c r="N113" s="100"/>
      <c r="O113" s="100"/>
      <c r="P113" s="83"/>
      <c r="Q113" s="37"/>
      <c r="R113" s="12"/>
      <c r="S113" s="38"/>
      <c r="T113" s="37"/>
      <c r="U113" s="37"/>
    </row>
    <row r="114" spans="1:21" x14ac:dyDescent="0.4">
      <c r="A114" s="37"/>
      <c r="B114" s="37"/>
      <c r="C114" s="133"/>
      <c r="D114" s="133"/>
      <c r="E114" s="12"/>
      <c r="F114" s="102"/>
      <c r="G114" s="102"/>
      <c r="H114" s="102"/>
      <c r="I114" s="153"/>
      <c r="J114" s="103"/>
      <c r="K114" s="153"/>
      <c r="L114" s="103"/>
      <c r="M114" s="100"/>
      <c r="N114" s="100"/>
      <c r="O114" s="100"/>
      <c r="P114" s="83"/>
      <c r="Q114" s="37"/>
      <c r="R114" s="12"/>
      <c r="S114" s="38"/>
      <c r="T114" s="37"/>
      <c r="U114" s="130"/>
    </row>
    <row r="115" spans="1:21" x14ac:dyDescent="0.4">
      <c r="A115" s="37"/>
      <c r="B115" s="101"/>
      <c r="C115" s="133"/>
      <c r="D115" s="133"/>
      <c r="E115" s="9"/>
      <c r="F115" s="102"/>
      <c r="G115" s="102"/>
      <c r="H115" s="102"/>
      <c r="I115" s="153"/>
      <c r="J115" s="103"/>
      <c r="K115" s="153"/>
      <c r="L115" s="103"/>
      <c r="M115" s="100"/>
      <c r="N115" s="100"/>
      <c r="O115" s="100"/>
      <c r="P115" s="83"/>
      <c r="Q115" s="37"/>
      <c r="R115" s="12"/>
      <c r="S115" s="38"/>
      <c r="T115" s="37"/>
      <c r="U115" s="37"/>
    </row>
    <row r="116" spans="1:21" x14ac:dyDescent="0.4">
      <c r="A116" s="37"/>
      <c r="B116" s="37"/>
      <c r="C116" s="133"/>
      <c r="D116" s="133"/>
      <c r="E116" s="9"/>
      <c r="F116" s="102"/>
      <c r="G116" s="102"/>
      <c r="H116" s="102"/>
      <c r="I116" s="153"/>
      <c r="J116" s="103"/>
      <c r="K116" s="153"/>
      <c r="L116" s="103"/>
      <c r="M116" s="100"/>
      <c r="N116" s="100"/>
      <c r="O116" s="100"/>
      <c r="P116" s="83"/>
      <c r="Q116" s="37"/>
      <c r="R116" s="12"/>
      <c r="S116" s="38"/>
      <c r="T116" s="37"/>
      <c r="U116" s="37"/>
    </row>
    <row r="117" spans="1:21" x14ac:dyDescent="0.4">
      <c r="A117" s="37"/>
      <c r="B117" s="37"/>
      <c r="C117" s="133"/>
      <c r="D117" s="133"/>
      <c r="E117" s="9"/>
      <c r="F117" s="102"/>
      <c r="G117" s="102"/>
      <c r="H117" s="102"/>
      <c r="I117" s="153"/>
      <c r="J117" s="103"/>
      <c r="K117" s="153"/>
      <c r="L117" s="103"/>
      <c r="M117" s="100"/>
      <c r="N117" s="100"/>
      <c r="O117" s="100"/>
      <c r="P117" s="83"/>
      <c r="Q117" s="37"/>
      <c r="R117" s="12"/>
      <c r="S117" s="38"/>
      <c r="T117" s="37"/>
      <c r="U117" s="37"/>
    </row>
    <row r="118" spans="1:21" x14ac:dyDescent="0.4">
      <c r="A118" s="37"/>
      <c r="B118" s="101"/>
      <c r="C118" s="133"/>
      <c r="D118" s="133"/>
      <c r="E118" s="9"/>
      <c r="F118" s="102"/>
      <c r="G118" s="102"/>
      <c r="H118" s="102"/>
      <c r="I118" s="153"/>
      <c r="J118" s="103"/>
      <c r="K118" s="153"/>
      <c r="L118" s="103"/>
      <c r="M118" s="100"/>
      <c r="N118" s="100"/>
      <c r="O118" s="100"/>
      <c r="P118" s="83"/>
      <c r="Q118" s="37"/>
      <c r="R118" s="12"/>
      <c r="S118" s="38"/>
      <c r="T118" s="37"/>
      <c r="U118" s="37"/>
    </row>
    <row r="119" spans="1:21" x14ac:dyDescent="0.4">
      <c r="A119" s="37"/>
      <c r="B119" s="101"/>
      <c r="C119" s="133"/>
      <c r="D119" s="133"/>
      <c r="E119" s="9"/>
      <c r="F119" s="102"/>
      <c r="G119" s="102"/>
      <c r="H119" s="102"/>
      <c r="I119" s="153"/>
      <c r="J119" s="103"/>
      <c r="K119" s="153"/>
      <c r="L119" s="103"/>
      <c r="M119" s="100"/>
      <c r="N119" s="100"/>
      <c r="O119" s="100"/>
      <c r="P119" s="83"/>
      <c r="Q119" s="37"/>
      <c r="R119" s="12"/>
      <c r="S119" s="38"/>
      <c r="T119" s="37"/>
      <c r="U119" s="37"/>
    </row>
    <row r="120" spans="1:21" x14ac:dyDescent="0.4">
      <c r="A120" s="37"/>
      <c r="B120" s="37"/>
      <c r="C120" s="133"/>
      <c r="D120" s="133"/>
      <c r="E120" s="9"/>
      <c r="F120" s="102"/>
      <c r="G120" s="102"/>
      <c r="H120" s="102"/>
      <c r="I120" s="153"/>
      <c r="J120" s="103"/>
      <c r="K120" s="153"/>
      <c r="L120" s="103"/>
      <c r="M120" s="100"/>
      <c r="N120" s="100"/>
      <c r="O120" s="100"/>
      <c r="P120" s="83"/>
      <c r="Q120" s="37"/>
      <c r="R120" s="12"/>
      <c r="S120" s="38"/>
      <c r="T120" s="37"/>
      <c r="U120" s="37"/>
    </row>
    <row r="121" spans="1:21" x14ac:dyDescent="0.4">
      <c r="A121" s="37"/>
      <c r="B121" s="37"/>
      <c r="C121" s="133"/>
      <c r="D121" s="133"/>
      <c r="E121" s="9"/>
      <c r="F121" s="102"/>
      <c r="G121" s="102"/>
      <c r="H121" s="102"/>
      <c r="I121" s="153"/>
      <c r="J121" s="103"/>
      <c r="K121" s="153"/>
      <c r="L121" s="103"/>
      <c r="M121" s="100"/>
      <c r="N121" s="100"/>
      <c r="O121" s="100"/>
      <c r="P121" s="83"/>
      <c r="Q121" s="37"/>
      <c r="R121" s="12"/>
      <c r="S121" s="38"/>
      <c r="T121" s="37"/>
      <c r="U121" s="37"/>
    </row>
    <row r="122" spans="1:21" x14ac:dyDescent="0.4">
      <c r="A122" s="37"/>
      <c r="B122" s="37"/>
      <c r="C122" s="133"/>
      <c r="D122" s="133"/>
      <c r="E122" s="9"/>
      <c r="F122" s="102"/>
      <c r="G122" s="102"/>
      <c r="H122" s="102"/>
      <c r="I122" s="153"/>
      <c r="J122" s="103"/>
      <c r="K122" s="153"/>
      <c r="L122" s="103"/>
      <c r="M122" s="100"/>
      <c r="N122" s="100"/>
      <c r="O122" s="100"/>
      <c r="P122" s="83"/>
      <c r="Q122" s="37"/>
      <c r="R122" s="12"/>
      <c r="S122" s="38"/>
      <c r="T122" s="37"/>
      <c r="U122" s="37"/>
    </row>
    <row r="123" spans="1:21" x14ac:dyDescent="0.4">
      <c r="A123" s="37"/>
      <c r="B123" s="37"/>
      <c r="C123" s="133"/>
      <c r="D123" s="133"/>
      <c r="E123" s="9"/>
      <c r="F123" s="102"/>
      <c r="G123" s="102"/>
      <c r="H123" s="102"/>
      <c r="I123" s="153"/>
      <c r="J123" s="103"/>
      <c r="K123" s="153"/>
      <c r="L123" s="103"/>
      <c r="M123" s="100"/>
      <c r="N123" s="100"/>
      <c r="O123" s="100"/>
      <c r="P123" s="83"/>
      <c r="Q123" s="37"/>
      <c r="R123" s="12"/>
      <c r="S123" s="38"/>
      <c r="T123" s="37"/>
      <c r="U123" s="37"/>
    </row>
    <row r="124" spans="1:21" x14ac:dyDescent="0.4">
      <c r="A124" s="37"/>
      <c r="B124" s="37"/>
      <c r="C124" s="133"/>
      <c r="D124" s="133"/>
      <c r="E124" s="12"/>
      <c r="F124" s="102"/>
      <c r="G124" s="102"/>
      <c r="H124" s="102"/>
      <c r="I124" s="153"/>
      <c r="J124" s="103"/>
      <c r="K124" s="153"/>
      <c r="L124" s="103"/>
      <c r="M124" s="100"/>
      <c r="N124" s="100"/>
      <c r="O124" s="100"/>
      <c r="P124" s="83"/>
      <c r="Q124" s="37"/>
      <c r="R124" s="12"/>
      <c r="S124" s="38"/>
      <c r="T124" s="37"/>
      <c r="U124" s="37"/>
    </row>
    <row r="125" spans="1:21" x14ac:dyDescent="0.4">
      <c r="A125" s="37"/>
      <c r="B125" s="37"/>
      <c r="C125" s="133"/>
      <c r="D125" s="133"/>
      <c r="E125" s="9"/>
      <c r="F125" s="102"/>
      <c r="G125" s="102"/>
      <c r="H125" s="102"/>
      <c r="I125" s="153"/>
      <c r="J125" s="103"/>
      <c r="K125" s="153"/>
      <c r="L125" s="103"/>
      <c r="M125" s="100"/>
      <c r="N125" s="100"/>
      <c r="O125" s="100"/>
      <c r="P125" s="83"/>
      <c r="Q125" s="37"/>
      <c r="R125" s="12"/>
      <c r="S125" s="38"/>
      <c r="T125" s="37"/>
      <c r="U125" s="37"/>
    </row>
    <row r="126" spans="1:21" x14ac:dyDescent="0.4">
      <c r="A126" s="37"/>
      <c r="B126" s="37"/>
      <c r="C126" s="133"/>
      <c r="D126" s="133"/>
      <c r="E126" s="9"/>
      <c r="F126" s="102"/>
      <c r="G126" s="102"/>
      <c r="H126" s="102"/>
      <c r="I126" s="153"/>
      <c r="J126" s="103"/>
      <c r="K126" s="153"/>
      <c r="L126" s="103"/>
      <c r="M126" s="100"/>
      <c r="N126" s="100"/>
      <c r="O126" s="100"/>
      <c r="P126" s="83"/>
      <c r="Q126" s="37"/>
      <c r="R126" s="12"/>
      <c r="S126" s="38"/>
      <c r="T126" s="37"/>
      <c r="U126" s="37"/>
    </row>
    <row r="127" spans="1:21" x14ac:dyDescent="0.4">
      <c r="A127" s="37"/>
      <c r="B127" s="101"/>
      <c r="C127" s="133"/>
      <c r="D127" s="133"/>
      <c r="E127" s="9"/>
      <c r="F127" s="102"/>
      <c r="G127" s="102"/>
      <c r="H127" s="102"/>
      <c r="I127" s="153"/>
      <c r="J127" s="103"/>
      <c r="K127" s="153"/>
      <c r="L127" s="103"/>
      <c r="M127" s="100"/>
      <c r="N127" s="139"/>
      <c r="O127" s="100"/>
      <c r="P127" s="83"/>
      <c r="Q127" s="37"/>
      <c r="R127" s="12"/>
      <c r="S127" s="38"/>
      <c r="T127" s="37"/>
      <c r="U127" s="130"/>
    </row>
    <row r="128" spans="1:21" x14ac:dyDescent="0.4">
      <c r="A128" s="37"/>
      <c r="B128" s="37"/>
      <c r="C128" s="133"/>
      <c r="D128" s="133"/>
      <c r="E128" s="9"/>
      <c r="F128" s="102"/>
      <c r="G128" s="102"/>
      <c r="H128" s="102"/>
      <c r="I128" s="153"/>
      <c r="J128" s="103"/>
      <c r="K128" s="153"/>
      <c r="L128" s="103"/>
      <c r="M128" s="100"/>
      <c r="N128" s="100"/>
      <c r="O128" s="100"/>
      <c r="P128" s="83"/>
      <c r="Q128" s="37"/>
      <c r="R128" s="12"/>
      <c r="S128" s="38"/>
      <c r="T128" s="37"/>
      <c r="U128" s="37"/>
    </row>
    <row r="129" spans="1:21" x14ac:dyDescent="0.4">
      <c r="A129" s="37"/>
      <c r="B129" s="37"/>
      <c r="C129" s="133"/>
      <c r="D129" s="133"/>
      <c r="E129" s="9"/>
      <c r="F129" s="102"/>
      <c r="G129" s="102"/>
      <c r="H129" s="102"/>
      <c r="I129" s="153"/>
      <c r="J129" s="103"/>
      <c r="K129" s="153"/>
      <c r="L129" s="103"/>
      <c r="M129" s="100"/>
      <c r="N129" s="100"/>
      <c r="O129" s="100"/>
      <c r="P129" s="83"/>
      <c r="Q129" s="37"/>
      <c r="R129" s="12"/>
      <c r="S129" s="38"/>
      <c r="T129" s="37"/>
      <c r="U129" s="37"/>
    </row>
    <row r="130" spans="1:21" x14ac:dyDescent="0.4">
      <c r="A130" s="37"/>
      <c r="B130" s="37"/>
      <c r="C130" s="133"/>
      <c r="D130" s="133"/>
      <c r="E130" s="9"/>
      <c r="F130" s="102"/>
      <c r="G130" s="102"/>
      <c r="H130" s="102"/>
      <c r="I130" s="153"/>
      <c r="J130" s="103"/>
      <c r="K130" s="153"/>
      <c r="L130" s="103"/>
      <c r="M130" s="100"/>
      <c r="N130" s="100"/>
      <c r="O130" s="100"/>
      <c r="P130" s="83"/>
      <c r="Q130" s="37"/>
      <c r="R130" s="12"/>
      <c r="S130" s="38"/>
      <c r="T130" s="37"/>
      <c r="U130" s="130"/>
    </row>
    <row r="131" spans="1:21" x14ac:dyDescent="0.4">
      <c r="A131" s="37"/>
      <c r="B131" s="37"/>
      <c r="C131" s="133"/>
      <c r="D131" s="133"/>
      <c r="E131" s="9"/>
      <c r="F131" s="102"/>
      <c r="G131" s="102"/>
      <c r="H131" s="102"/>
      <c r="I131" s="153"/>
      <c r="J131" s="103"/>
      <c r="K131" s="153"/>
      <c r="L131" s="103"/>
      <c r="M131" s="100"/>
      <c r="N131" s="100"/>
      <c r="O131" s="100"/>
      <c r="P131" s="83"/>
      <c r="Q131" s="37"/>
      <c r="R131" s="12"/>
      <c r="S131" s="38"/>
      <c r="T131" s="37"/>
      <c r="U131" s="37"/>
    </row>
    <row r="132" spans="1:21" x14ac:dyDescent="0.4">
      <c r="A132" s="37"/>
      <c r="B132" s="37"/>
      <c r="C132" s="133"/>
      <c r="D132" s="133"/>
      <c r="E132" s="12"/>
      <c r="F132" s="102"/>
      <c r="G132" s="102"/>
      <c r="H132" s="102"/>
      <c r="I132" s="153"/>
      <c r="J132" s="103"/>
      <c r="K132" s="153"/>
      <c r="L132" s="103"/>
      <c r="M132" s="100"/>
      <c r="N132" s="100"/>
      <c r="O132" s="100"/>
      <c r="P132" s="83"/>
      <c r="Q132" s="37"/>
      <c r="R132" s="12"/>
      <c r="S132" s="38"/>
      <c r="T132" s="37"/>
      <c r="U132" s="37"/>
    </row>
    <row r="133" spans="1:21" x14ac:dyDescent="0.4">
      <c r="A133" s="37"/>
      <c r="B133" s="37"/>
      <c r="C133" s="133"/>
      <c r="D133" s="133"/>
      <c r="E133" s="9"/>
      <c r="F133" s="102"/>
      <c r="G133" s="102"/>
      <c r="H133" s="102"/>
      <c r="I133" s="153"/>
      <c r="J133" s="103"/>
      <c r="K133" s="153"/>
      <c r="L133" s="103"/>
      <c r="M133" s="100"/>
      <c r="N133" s="100"/>
      <c r="O133" s="100"/>
      <c r="P133" s="83"/>
      <c r="Q133" s="37"/>
      <c r="R133" s="12"/>
      <c r="S133" s="38"/>
      <c r="T133" s="37"/>
      <c r="U133" s="37"/>
    </row>
    <row r="134" spans="1:21" x14ac:dyDescent="0.4">
      <c r="A134" s="37"/>
      <c r="B134" s="37"/>
      <c r="C134" s="133"/>
      <c r="D134" s="133"/>
      <c r="E134" s="9"/>
      <c r="F134" s="102"/>
      <c r="G134" s="102"/>
      <c r="H134" s="102"/>
      <c r="I134" s="153"/>
      <c r="J134" s="103"/>
      <c r="K134" s="153"/>
      <c r="L134" s="103"/>
      <c r="M134" s="100"/>
      <c r="N134" s="100"/>
      <c r="O134" s="100"/>
      <c r="P134" s="83"/>
      <c r="Q134" s="37"/>
      <c r="R134" s="12"/>
      <c r="S134" s="38"/>
      <c r="T134" s="37"/>
      <c r="U134" s="37"/>
    </row>
    <row r="135" spans="1:21" x14ac:dyDescent="0.4">
      <c r="A135" s="37"/>
      <c r="B135" s="37"/>
      <c r="C135" s="133"/>
      <c r="D135" s="133"/>
      <c r="E135" s="9"/>
      <c r="F135" s="102"/>
      <c r="G135" s="102"/>
      <c r="H135" s="102"/>
      <c r="I135" s="153"/>
      <c r="J135" s="103"/>
      <c r="K135" s="153"/>
      <c r="L135" s="103"/>
      <c r="M135" s="100"/>
      <c r="N135" s="100"/>
      <c r="O135" s="100"/>
      <c r="P135" s="83"/>
      <c r="Q135" s="37"/>
      <c r="R135" s="12"/>
      <c r="S135" s="38"/>
      <c r="T135" s="37"/>
      <c r="U135" s="37"/>
    </row>
    <row r="136" spans="1:21" x14ac:dyDescent="0.4">
      <c r="A136" s="37"/>
      <c r="B136" s="37"/>
      <c r="C136" s="133"/>
      <c r="D136" s="133"/>
      <c r="E136" s="9"/>
      <c r="F136" s="102"/>
      <c r="G136" s="102"/>
      <c r="H136" s="102"/>
      <c r="I136" s="153"/>
      <c r="J136" s="103"/>
      <c r="K136" s="153"/>
      <c r="L136" s="103"/>
      <c r="M136" s="100"/>
      <c r="N136" s="100"/>
      <c r="O136" s="100"/>
      <c r="P136" s="83"/>
      <c r="Q136" s="37"/>
      <c r="R136" s="12"/>
      <c r="S136" s="38"/>
      <c r="T136" s="37"/>
      <c r="U136" s="37"/>
    </row>
    <row r="137" spans="1:21" x14ac:dyDescent="0.4">
      <c r="A137" s="37"/>
      <c r="B137" s="37"/>
      <c r="C137" s="133"/>
      <c r="D137" s="133"/>
      <c r="E137" s="9"/>
      <c r="F137" s="102"/>
      <c r="G137" s="102"/>
      <c r="H137" s="102"/>
      <c r="I137" s="153"/>
      <c r="J137" s="103"/>
      <c r="K137" s="153"/>
      <c r="L137" s="103"/>
      <c r="M137" s="100"/>
      <c r="N137" s="100"/>
      <c r="O137" s="100"/>
      <c r="P137" s="83"/>
      <c r="Q137" s="37"/>
      <c r="R137" s="12"/>
      <c r="S137" s="38"/>
      <c r="T137" s="37"/>
      <c r="U137" s="37"/>
    </row>
    <row r="138" spans="1:21" x14ac:dyDescent="0.4">
      <c r="A138" s="37"/>
      <c r="B138" s="37"/>
      <c r="C138" s="133"/>
      <c r="D138" s="133"/>
      <c r="E138" s="9"/>
      <c r="F138" s="102"/>
      <c r="G138" s="102"/>
      <c r="H138" s="102"/>
      <c r="I138" s="153"/>
      <c r="J138" s="103"/>
      <c r="K138" s="153"/>
      <c r="L138" s="103"/>
      <c r="M138" s="100"/>
      <c r="N138" s="100"/>
      <c r="O138" s="100"/>
      <c r="P138" s="83"/>
      <c r="Q138" s="37"/>
      <c r="R138" s="12"/>
      <c r="S138" s="38"/>
      <c r="T138" s="37"/>
      <c r="U138" s="37"/>
    </row>
    <row r="139" spans="1:21" x14ac:dyDescent="0.4">
      <c r="A139" s="37"/>
      <c r="B139" s="37"/>
      <c r="C139" s="133"/>
      <c r="D139" s="133"/>
      <c r="E139" s="9"/>
      <c r="F139" s="102"/>
      <c r="G139" s="102"/>
      <c r="H139" s="102"/>
      <c r="I139" s="153"/>
      <c r="J139" s="103"/>
      <c r="K139" s="153"/>
      <c r="L139" s="103"/>
      <c r="M139" s="100"/>
      <c r="N139" s="100"/>
      <c r="O139" s="100"/>
      <c r="P139" s="83"/>
      <c r="Q139" s="37"/>
      <c r="R139" s="12"/>
      <c r="S139" s="38"/>
      <c r="T139" s="37"/>
      <c r="U139" s="37"/>
    </row>
    <row r="140" spans="1:21" x14ac:dyDescent="0.4">
      <c r="A140" s="37"/>
      <c r="B140" s="37"/>
      <c r="C140" s="133"/>
      <c r="D140" s="133"/>
      <c r="E140" s="9"/>
      <c r="F140" s="102"/>
      <c r="G140" s="102"/>
      <c r="H140" s="102"/>
      <c r="I140" s="153"/>
      <c r="J140" s="103"/>
      <c r="K140" s="153"/>
      <c r="L140" s="103"/>
      <c r="M140" s="100"/>
      <c r="N140" s="100"/>
      <c r="O140" s="100"/>
      <c r="P140" s="83"/>
      <c r="Q140" s="37"/>
      <c r="R140" s="12"/>
      <c r="S140" s="38"/>
      <c r="T140" s="37"/>
      <c r="U140" s="37"/>
    </row>
  </sheetData>
  <conditionalFormatting sqref="B2:B140">
    <cfRule type="cellIs" dxfId="7" priority="2" operator="equal">
      <formula>"NOK"</formula>
    </cfRule>
  </conditionalFormatting>
  <conditionalFormatting sqref="F2:L140">
    <cfRule type="cellIs" dxfId="6" priority="1" operator="equal">
      <formula>"NOK"</formula>
    </cfRule>
  </conditionalFormatting>
  <conditionalFormatting sqref="P2:P7 P9:P140">
    <cfRule type="cellIs" dxfId="5" priority="3" operator="equal">
      <formula>"NOK"</formula>
    </cfRule>
  </conditionalFormatting>
  <pageMargins left="0.7" right="0.7" top="0.75" bottom="0.75" header="0.3" footer="0.3"/>
  <pageSetup paperSize="9" orientation="portrait" horizontalDpi="4294967295" verticalDpi="4294967295"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9"/>
  <dimension ref="A1:U142"/>
  <sheetViews>
    <sheetView workbookViewId="0">
      <selection activeCell="M2" sqref="A2:XFD142"/>
    </sheetView>
  </sheetViews>
  <sheetFormatPr baseColWidth="10" defaultRowHeight="14.6" x14ac:dyDescent="0.4"/>
  <cols>
    <col min="1" max="1" width="5.84375" customWidth="1"/>
    <col min="2" max="2" width="9.84375" bestFit="1" customWidth="1"/>
    <col min="3" max="3" width="6.84375" bestFit="1" customWidth="1"/>
    <col min="4" max="4" width="9.07421875" bestFit="1" customWidth="1"/>
    <col min="5" max="5" width="39.07421875" customWidth="1"/>
    <col min="6" max="6" width="13" customWidth="1"/>
    <col min="7" max="7" width="16.4609375" customWidth="1"/>
    <col min="8" max="8" width="13" customWidth="1"/>
    <col min="9" max="9" width="14.53515625" customWidth="1"/>
    <col min="10" max="12" width="10.07421875" customWidth="1"/>
    <col min="13" max="13" width="57.3046875" customWidth="1"/>
    <col min="14" max="14" width="53" customWidth="1"/>
    <col min="15" max="15" width="39.69140625" customWidth="1"/>
    <col min="16" max="16" width="13.23046875" bestFit="1" customWidth="1"/>
    <col min="17" max="17" width="7.07421875" bestFit="1" customWidth="1"/>
    <col min="18" max="18" width="10.69140625" bestFit="1" customWidth="1"/>
    <col min="19" max="19" width="5.07421875" bestFit="1" customWidth="1"/>
    <col min="20" max="20" width="8.07421875" bestFit="1" customWidth="1"/>
  </cols>
  <sheetData>
    <row r="1" spans="1:21" x14ac:dyDescent="0.4">
      <c r="A1" s="7" t="s">
        <v>0</v>
      </c>
      <c r="B1" s="6" t="s">
        <v>679</v>
      </c>
      <c r="C1" s="6" t="s">
        <v>680</v>
      </c>
      <c r="D1" s="7" t="s">
        <v>700</v>
      </c>
      <c r="E1" s="7" t="s">
        <v>1883</v>
      </c>
      <c r="F1" s="6" t="s">
        <v>2621</v>
      </c>
      <c r="G1" s="6" t="s">
        <v>2620</v>
      </c>
      <c r="H1" s="6" t="s">
        <v>2622</v>
      </c>
      <c r="I1" s="6" t="s">
        <v>2623</v>
      </c>
      <c r="J1" s="6" t="s">
        <v>2624</v>
      </c>
      <c r="K1" s="6" t="s">
        <v>2625</v>
      </c>
      <c r="L1" s="6" t="s">
        <v>2626</v>
      </c>
      <c r="M1" s="7" t="s">
        <v>395</v>
      </c>
      <c r="N1" s="6" t="s">
        <v>682</v>
      </c>
      <c r="O1" s="6" t="s">
        <v>683</v>
      </c>
      <c r="P1" s="7" t="s">
        <v>699</v>
      </c>
      <c r="Q1" s="6" t="s">
        <v>684</v>
      </c>
      <c r="R1" s="7" t="s">
        <v>659</v>
      </c>
      <c r="S1" s="6" t="s">
        <v>888</v>
      </c>
      <c r="T1" s="156" t="s">
        <v>2627</v>
      </c>
      <c r="U1" s="156" t="s">
        <v>2630</v>
      </c>
    </row>
    <row r="2" spans="1:21" x14ac:dyDescent="0.4">
      <c r="A2" s="37"/>
      <c r="B2" s="37"/>
      <c r="C2" s="37"/>
      <c r="D2" s="37"/>
      <c r="E2" s="9"/>
      <c r="F2" s="102"/>
      <c r="G2" s="102"/>
      <c r="H2" s="102"/>
      <c r="I2" s="153"/>
      <c r="J2" s="103"/>
      <c r="K2" s="153"/>
      <c r="L2" s="103"/>
      <c r="M2" s="155"/>
      <c r="N2" s="9"/>
      <c r="O2" s="9"/>
      <c r="P2" s="37"/>
      <c r="Q2" s="37"/>
      <c r="R2" s="12"/>
      <c r="S2" s="38"/>
      <c r="T2" s="37"/>
      <c r="U2" s="37"/>
    </row>
    <row r="3" spans="1:21" x14ac:dyDescent="0.4">
      <c r="A3" s="37"/>
      <c r="B3" s="37"/>
      <c r="C3" s="37"/>
      <c r="D3" s="37"/>
      <c r="E3" s="12"/>
      <c r="F3" s="102"/>
      <c r="G3" s="102"/>
      <c r="H3" s="102"/>
      <c r="I3" s="153"/>
      <c r="J3" s="103"/>
      <c r="K3" s="153"/>
      <c r="L3" s="103"/>
      <c r="M3" s="155"/>
      <c r="N3" s="9"/>
      <c r="O3" s="9"/>
      <c r="P3" s="37"/>
      <c r="Q3" s="37"/>
      <c r="R3" s="12"/>
      <c r="S3" s="38"/>
      <c r="T3" s="37"/>
      <c r="U3" s="37"/>
    </row>
    <row r="4" spans="1:21" x14ac:dyDescent="0.4">
      <c r="A4" s="37"/>
      <c r="B4" s="37"/>
      <c r="C4" s="37"/>
      <c r="D4" s="37"/>
      <c r="E4" s="12"/>
      <c r="F4" s="102"/>
      <c r="G4" s="102"/>
      <c r="H4" s="102"/>
      <c r="I4" s="153"/>
      <c r="J4" s="103"/>
      <c r="K4" s="153"/>
      <c r="L4" s="103"/>
      <c r="M4" s="155"/>
      <c r="N4" s="9"/>
      <c r="O4" s="9"/>
      <c r="P4" s="37"/>
      <c r="Q4" s="37"/>
      <c r="R4" s="12"/>
      <c r="S4" s="38"/>
      <c r="T4" s="37"/>
      <c r="U4" s="37"/>
    </row>
    <row r="5" spans="1:21" x14ac:dyDescent="0.4">
      <c r="A5" s="37"/>
      <c r="B5" s="37"/>
      <c r="C5" s="37"/>
      <c r="D5" s="37"/>
      <c r="E5" s="12"/>
      <c r="F5" s="102"/>
      <c r="G5" s="102"/>
      <c r="H5" s="102"/>
      <c r="I5" s="153"/>
      <c r="J5" s="103"/>
      <c r="K5" s="153"/>
      <c r="L5" s="103"/>
      <c r="M5" s="100"/>
      <c r="N5" s="9"/>
      <c r="O5" s="9"/>
      <c r="P5" s="37"/>
      <c r="Q5" s="37"/>
      <c r="R5" s="12"/>
      <c r="S5" s="38"/>
      <c r="T5" s="37"/>
      <c r="U5" s="37"/>
    </row>
    <row r="6" spans="1:21" x14ac:dyDescent="0.4">
      <c r="A6" s="37"/>
      <c r="B6" s="37"/>
      <c r="C6" s="37"/>
      <c r="D6" s="37"/>
      <c r="E6" s="12"/>
      <c r="F6" s="102"/>
      <c r="G6" s="102"/>
      <c r="H6" s="102"/>
      <c r="I6" s="153"/>
      <c r="J6" s="103"/>
      <c r="K6" s="153"/>
      <c r="L6" s="103"/>
      <c r="M6" s="100"/>
      <c r="N6" s="9"/>
      <c r="O6" s="9"/>
      <c r="P6" s="37"/>
      <c r="Q6" s="37"/>
      <c r="R6" s="12"/>
      <c r="S6" s="38"/>
      <c r="T6" s="37"/>
      <c r="U6" s="37"/>
    </row>
    <row r="7" spans="1:21" x14ac:dyDescent="0.4">
      <c r="A7" s="37"/>
      <c r="B7" s="37"/>
      <c r="C7" s="37"/>
      <c r="D7" s="37"/>
      <c r="E7" s="12"/>
      <c r="F7" s="102"/>
      <c r="G7" s="102"/>
      <c r="H7" s="102"/>
      <c r="I7" s="153"/>
      <c r="J7" s="103"/>
      <c r="K7" s="153"/>
      <c r="L7" s="103"/>
      <c r="M7" s="100"/>
      <c r="N7" s="9"/>
      <c r="O7" s="9"/>
      <c r="P7" s="83"/>
      <c r="Q7" s="37"/>
      <c r="R7" s="12"/>
      <c r="S7" s="38"/>
      <c r="T7" s="37"/>
      <c r="U7" s="37"/>
    </row>
    <row r="8" spans="1:21" x14ac:dyDescent="0.4">
      <c r="A8" s="37"/>
      <c r="B8" s="37"/>
      <c r="C8" s="37"/>
      <c r="D8" s="37"/>
      <c r="E8" s="12"/>
      <c r="F8" s="102"/>
      <c r="G8" s="102"/>
      <c r="H8" s="102"/>
      <c r="I8" s="153"/>
      <c r="J8" s="103"/>
      <c r="K8" s="153"/>
      <c r="L8" s="103"/>
      <c r="M8" s="100"/>
      <c r="N8" s="9"/>
      <c r="O8" s="9"/>
      <c r="P8" s="83"/>
      <c r="Q8" s="37"/>
      <c r="R8" s="12"/>
      <c r="S8" s="38"/>
      <c r="T8" s="37"/>
      <c r="U8" s="37"/>
    </row>
    <row r="9" spans="1:21" x14ac:dyDescent="0.4">
      <c r="A9" s="37"/>
      <c r="B9" s="37"/>
      <c r="C9" s="37"/>
      <c r="D9" s="37"/>
      <c r="E9" s="12"/>
      <c r="F9" s="102"/>
      <c r="G9" s="102"/>
      <c r="H9" s="102"/>
      <c r="I9" s="153"/>
      <c r="J9" s="103"/>
      <c r="K9" s="153"/>
      <c r="L9" s="103"/>
      <c r="M9" s="100"/>
      <c r="N9" s="9"/>
      <c r="O9" s="9"/>
      <c r="P9" s="83"/>
      <c r="Q9" s="37"/>
      <c r="R9" s="12"/>
      <c r="S9" s="38"/>
      <c r="T9" s="37"/>
      <c r="U9" s="37"/>
    </row>
    <row r="10" spans="1:21" x14ac:dyDescent="0.4">
      <c r="A10" s="37"/>
      <c r="B10" s="37"/>
      <c r="C10" s="37"/>
      <c r="D10" s="37"/>
      <c r="E10" s="12"/>
      <c r="F10" s="102"/>
      <c r="G10" s="102"/>
      <c r="H10" s="102"/>
      <c r="I10" s="153"/>
      <c r="J10" s="103"/>
      <c r="K10" s="153"/>
      <c r="L10" s="103"/>
      <c r="M10" s="100"/>
      <c r="N10" s="9"/>
      <c r="O10" s="9"/>
      <c r="P10" s="83"/>
      <c r="Q10" s="37"/>
      <c r="R10" s="12"/>
      <c r="S10" s="38"/>
      <c r="T10" s="37"/>
      <c r="U10" s="37"/>
    </row>
    <row r="11" spans="1:21" x14ac:dyDescent="0.4">
      <c r="A11" s="37"/>
      <c r="B11" s="37"/>
      <c r="C11" s="37"/>
      <c r="D11" s="37"/>
      <c r="E11" s="12"/>
      <c r="F11" s="102"/>
      <c r="G11" s="102"/>
      <c r="H11" s="102"/>
      <c r="I11" s="153"/>
      <c r="J11" s="103"/>
      <c r="K11" s="153"/>
      <c r="L11" s="103"/>
      <c r="M11" s="100"/>
      <c r="N11" s="9"/>
      <c r="O11" s="9"/>
      <c r="P11" s="83"/>
      <c r="Q11" s="37"/>
      <c r="R11" s="12"/>
      <c r="S11" s="38"/>
      <c r="T11" s="37"/>
      <c r="U11" s="37"/>
    </row>
    <row r="12" spans="1:21" x14ac:dyDescent="0.4">
      <c r="A12" s="37"/>
      <c r="B12" s="37"/>
      <c r="C12" s="37"/>
      <c r="D12" s="37"/>
      <c r="E12" s="12"/>
      <c r="F12" s="102"/>
      <c r="G12" s="102"/>
      <c r="H12" s="102"/>
      <c r="I12" s="153"/>
      <c r="J12" s="103"/>
      <c r="K12" s="153"/>
      <c r="L12" s="103"/>
      <c r="M12" s="100"/>
      <c r="N12" s="9"/>
      <c r="O12" s="9"/>
      <c r="P12" s="83"/>
      <c r="Q12" s="37"/>
      <c r="R12" s="12"/>
      <c r="S12" s="38"/>
      <c r="T12" s="37"/>
      <c r="U12" s="37"/>
    </row>
    <row r="13" spans="1:21" x14ac:dyDescent="0.4">
      <c r="A13" s="37"/>
      <c r="B13" s="37"/>
      <c r="C13" s="37"/>
      <c r="D13" s="37"/>
      <c r="E13" s="12"/>
      <c r="F13" s="102"/>
      <c r="G13" s="102"/>
      <c r="H13" s="102"/>
      <c r="I13" s="153"/>
      <c r="J13" s="103"/>
      <c r="K13" s="153"/>
      <c r="L13" s="103"/>
      <c r="M13" s="100"/>
      <c r="N13" s="9"/>
      <c r="O13" s="9"/>
      <c r="P13" s="83"/>
      <c r="Q13" s="37"/>
      <c r="R13" s="12"/>
      <c r="S13" s="38"/>
      <c r="T13" s="37"/>
      <c r="U13" s="37"/>
    </row>
    <row r="14" spans="1:21" x14ac:dyDescent="0.4">
      <c r="A14" s="37"/>
      <c r="B14" s="37"/>
      <c r="C14" s="37"/>
      <c r="D14" s="37"/>
      <c r="E14" s="12"/>
      <c r="F14" s="102"/>
      <c r="G14" s="102"/>
      <c r="H14" s="102"/>
      <c r="I14" s="153"/>
      <c r="J14" s="103"/>
      <c r="K14" s="153"/>
      <c r="L14" s="103"/>
      <c r="M14" s="100"/>
      <c r="N14" s="9"/>
      <c r="O14" s="9"/>
      <c r="P14" s="83"/>
      <c r="Q14" s="37"/>
      <c r="R14" s="12"/>
      <c r="S14" s="38"/>
      <c r="T14" s="37"/>
      <c r="U14" s="37"/>
    </row>
    <row r="15" spans="1:21" x14ac:dyDescent="0.4">
      <c r="A15" s="37"/>
      <c r="B15" s="37"/>
      <c r="C15" s="37"/>
      <c r="D15" s="37"/>
      <c r="E15" s="12"/>
      <c r="F15" s="102"/>
      <c r="G15" s="102"/>
      <c r="H15" s="102"/>
      <c r="I15" s="153"/>
      <c r="J15" s="103"/>
      <c r="K15" s="153"/>
      <c r="L15" s="103"/>
      <c r="M15" s="100"/>
      <c r="N15" s="9"/>
      <c r="O15" s="9"/>
      <c r="P15" s="83"/>
      <c r="Q15" s="37"/>
      <c r="R15" s="12"/>
      <c r="S15" s="38"/>
      <c r="T15" s="37"/>
      <c r="U15" s="37"/>
    </row>
    <row r="16" spans="1:21" x14ac:dyDescent="0.4">
      <c r="A16" s="37"/>
      <c r="B16" s="37"/>
      <c r="C16" s="37"/>
      <c r="D16" s="37"/>
      <c r="E16" s="12"/>
      <c r="F16" s="102"/>
      <c r="G16" s="102"/>
      <c r="H16" s="102"/>
      <c r="I16" s="153"/>
      <c r="J16" s="103"/>
      <c r="K16" s="153"/>
      <c r="L16" s="103"/>
      <c r="M16" s="100"/>
      <c r="N16" s="9"/>
      <c r="O16" s="9"/>
      <c r="P16" s="83"/>
      <c r="Q16" s="37"/>
      <c r="R16" s="12"/>
      <c r="S16" s="38"/>
      <c r="T16" s="37"/>
      <c r="U16" s="37"/>
    </row>
    <row r="17" spans="1:21" x14ac:dyDescent="0.4">
      <c r="A17" s="37"/>
      <c r="B17" s="37"/>
      <c r="C17" s="37"/>
      <c r="D17" s="37"/>
      <c r="E17" s="12"/>
      <c r="F17" s="102"/>
      <c r="G17" s="102"/>
      <c r="H17" s="102"/>
      <c r="I17" s="153"/>
      <c r="J17" s="103"/>
      <c r="K17" s="153"/>
      <c r="L17" s="103"/>
      <c r="M17" s="100"/>
      <c r="N17" s="9"/>
      <c r="O17" s="9"/>
      <c r="P17" s="83"/>
      <c r="Q17" s="37"/>
      <c r="R17" s="12"/>
      <c r="S17" s="38"/>
      <c r="T17" s="37"/>
      <c r="U17" s="37"/>
    </row>
    <row r="18" spans="1:21" x14ac:dyDescent="0.4">
      <c r="A18" s="37"/>
      <c r="B18" s="37"/>
      <c r="C18" s="37"/>
      <c r="D18" s="37"/>
      <c r="E18" s="12"/>
      <c r="F18" s="102"/>
      <c r="G18" s="102"/>
      <c r="H18" s="102"/>
      <c r="I18" s="153"/>
      <c r="J18" s="103"/>
      <c r="K18" s="153"/>
      <c r="L18" s="103"/>
      <c r="M18" s="100"/>
      <c r="N18" s="9"/>
      <c r="O18" s="9"/>
      <c r="P18" s="83"/>
      <c r="Q18" s="37"/>
      <c r="R18" s="12"/>
      <c r="S18" s="38"/>
      <c r="T18" s="37"/>
      <c r="U18" s="37"/>
    </row>
    <row r="19" spans="1:21" x14ac:dyDescent="0.4">
      <c r="A19" s="37"/>
      <c r="B19" s="37"/>
      <c r="C19" s="37"/>
      <c r="D19" s="37"/>
      <c r="E19" s="12"/>
      <c r="F19" s="102"/>
      <c r="G19" s="102"/>
      <c r="H19" s="102"/>
      <c r="I19" s="153"/>
      <c r="J19" s="103"/>
      <c r="K19" s="153"/>
      <c r="L19" s="103"/>
      <c r="M19" s="100"/>
      <c r="N19" s="9"/>
      <c r="O19" s="9"/>
      <c r="P19" s="83"/>
      <c r="Q19" s="37"/>
      <c r="R19" s="12"/>
      <c r="S19" s="38"/>
      <c r="T19" s="37"/>
      <c r="U19" s="37"/>
    </row>
    <row r="20" spans="1:21" x14ac:dyDescent="0.4">
      <c r="A20" s="37"/>
      <c r="B20" s="37"/>
      <c r="C20" s="37"/>
      <c r="D20" s="37"/>
      <c r="E20" s="12"/>
      <c r="F20" s="102"/>
      <c r="G20" s="102"/>
      <c r="H20" s="102"/>
      <c r="I20" s="153"/>
      <c r="J20" s="103"/>
      <c r="K20" s="153"/>
      <c r="L20" s="103"/>
      <c r="M20" s="100"/>
      <c r="N20" s="9"/>
      <c r="O20" s="9"/>
      <c r="P20" s="83"/>
      <c r="Q20" s="37"/>
      <c r="R20" s="12"/>
      <c r="S20" s="38"/>
      <c r="T20" s="37"/>
      <c r="U20" s="37"/>
    </row>
    <row r="21" spans="1:21" x14ac:dyDescent="0.4">
      <c r="A21" s="37"/>
      <c r="B21" s="37"/>
      <c r="C21" s="37"/>
      <c r="D21" s="37"/>
      <c r="E21" s="12"/>
      <c r="F21" s="102"/>
      <c r="G21" s="102"/>
      <c r="H21" s="102"/>
      <c r="I21" s="153"/>
      <c r="J21" s="103"/>
      <c r="K21" s="153"/>
      <c r="L21" s="103"/>
      <c r="M21" s="100"/>
      <c r="N21" s="9"/>
      <c r="O21" s="9"/>
      <c r="P21" s="83"/>
      <c r="Q21" s="37"/>
      <c r="R21" s="12"/>
      <c r="S21" s="38"/>
      <c r="T21" s="37"/>
      <c r="U21" s="37"/>
    </row>
    <row r="22" spans="1:21" x14ac:dyDescent="0.4">
      <c r="A22" s="37"/>
      <c r="B22" s="37"/>
      <c r="C22" s="37"/>
      <c r="D22" s="37"/>
      <c r="E22" s="12"/>
      <c r="F22" s="102"/>
      <c r="G22" s="102"/>
      <c r="H22" s="102"/>
      <c r="I22" s="153"/>
      <c r="J22" s="103"/>
      <c r="K22" s="153"/>
      <c r="L22" s="103"/>
      <c r="M22" s="100"/>
      <c r="N22" s="9"/>
      <c r="O22" s="9"/>
      <c r="P22" s="37"/>
      <c r="Q22" s="37"/>
      <c r="R22" s="12"/>
      <c r="S22" s="38"/>
      <c r="T22" s="37"/>
      <c r="U22" s="37"/>
    </row>
    <row r="23" spans="1:21" x14ac:dyDescent="0.4">
      <c r="A23" s="37"/>
      <c r="B23" s="37"/>
      <c r="C23" s="37"/>
      <c r="D23" s="37"/>
      <c r="E23" s="12"/>
      <c r="F23" s="102"/>
      <c r="G23" s="102"/>
      <c r="H23" s="102"/>
      <c r="I23" s="153"/>
      <c r="J23" s="103"/>
      <c r="K23" s="153"/>
      <c r="L23" s="103"/>
      <c r="M23" s="100"/>
      <c r="N23" s="9"/>
      <c r="O23" s="9"/>
      <c r="P23" s="83"/>
      <c r="Q23" s="37"/>
      <c r="R23" s="12"/>
      <c r="S23" s="38"/>
      <c r="T23" s="37"/>
      <c r="U23" s="37"/>
    </row>
    <row r="24" spans="1:21" x14ac:dyDescent="0.4">
      <c r="A24" s="37"/>
      <c r="B24" s="37"/>
      <c r="C24" s="37"/>
      <c r="D24" s="37"/>
      <c r="E24" s="12"/>
      <c r="F24" s="102"/>
      <c r="G24" s="102"/>
      <c r="H24" s="102"/>
      <c r="I24" s="153"/>
      <c r="J24" s="103"/>
      <c r="K24" s="153"/>
      <c r="L24" s="103"/>
      <c r="M24" s="100"/>
      <c r="N24" s="9"/>
      <c r="O24" s="9"/>
      <c r="P24" s="83"/>
      <c r="Q24" s="37"/>
      <c r="R24" s="12"/>
      <c r="S24" s="38"/>
      <c r="T24" s="37"/>
      <c r="U24" s="37"/>
    </row>
    <row r="25" spans="1:21" x14ac:dyDescent="0.4">
      <c r="A25" s="37"/>
      <c r="B25" s="37"/>
      <c r="C25" s="37"/>
      <c r="D25" s="37"/>
      <c r="E25" s="12"/>
      <c r="F25" s="102"/>
      <c r="G25" s="102"/>
      <c r="H25" s="102"/>
      <c r="I25" s="153"/>
      <c r="J25" s="103"/>
      <c r="K25" s="153"/>
      <c r="L25" s="103"/>
      <c r="M25" s="100"/>
      <c r="N25" s="9"/>
      <c r="O25" s="9"/>
      <c r="P25" s="83"/>
      <c r="Q25" s="37"/>
      <c r="R25" s="12"/>
      <c r="S25" s="38"/>
      <c r="T25" s="37"/>
      <c r="U25" s="37"/>
    </row>
    <row r="26" spans="1:21" x14ac:dyDescent="0.4">
      <c r="A26" s="37"/>
      <c r="B26" s="37"/>
      <c r="C26" s="37"/>
      <c r="D26" s="37"/>
      <c r="E26" s="12"/>
      <c r="F26" s="102"/>
      <c r="G26" s="102"/>
      <c r="H26" s="102"/>
      <c r="I26" s="153"/>
      <c r="J26" s="103"/>
      <c r="K26" s="153"/>
      <c r="L26" s="103"/>
      <c r="M26" s="100"/>
      <c r="N26" s="9"/>
      <c r="O26" s="9"/>
      <c r="P26" s="83"/>
      <c r="Q26" s="37"/>
      <c r="R26" s="12"/>
      <c r="S26" s="38"/>
      <c r="T26" s="37"/>
      <c r="U26" s="37"/>
    </row>
    <row r="27" spans="1:21" x14ac:dyDescent="0.4">
      <c r="A27" s="37"/>
      <c r="B27" s="37"/>
      <c r="C27" s="37"/>
      <c r="D27" s="37"/>
      <c r="E27" s="12"/>
      <c r="F27" s="102"/>
      <c r="G27" s="102"/>
      <c r="H27" s="102"/>
      <c r="I27" s="153"/>
      <c r="J27" s="103"/>
      <c r="K27" s="153"/>
      <c r="L27" s="103"/>
      <c r="M27" s="100"/>
      <c r="N27" s="9"/>
      <c r="O27" s="9"/>
      <c r="P27" s="83"/>
      <c r="Q27" s="37"/>
      <c r="R27" s="12"/>
      <c r="S27" s="38"/>
      <c r="T27" s="37"/>
      <c r="U27" s="37"/>
    </row>
    <row r="28" spans="1:21" x14ac:dyDescent="0.4">
      <c r="A28" s="37"/>
      <c r="B28" s="37"/>
      <c r="C28" s="37"/>
      <c r="D28" s="37"/>
      <c r="E28" s="12"/>
      <c r="F28" s="102"/>
      <c r="G28" s="102"/>
      <c r="H28" s="102"/>
      <c r="I28" s="153"/>
      <c r="J28" s="103"/>
      <c r="K28" s="153"/>
      <c r="L28" s="103"/>
      <c r="M28" s="100"/>
      <c r="N28" s="9"/>
      <c r="O28" s="9"/>
      <c r="P28" s="83"/>
      <c r="Q28" s="37"/>
      <c r="R28" s="12"/>
      <c r="S28" s="38"/>
      <c r="T28" s="37"/>
      <c r="U28" s="37"/>
    </row>
    <row r="29" spans="1:21" x14ac:dyDescent="0.4">
      <c r="A29" s="37"/>
      <c r="B29" s="37"/>
      <c r="C29" s="37"/>
      <c r="D29" s="37"/>
      <c r="E29" s="9"/>
      <c r="F29" s="102"/>
      <c r="G29" s="102"/>
      <c r="H29" s="102"/>
      <c r="I29" s="153"/>
      <c r="J29" s="103"/>
      <c r="K29" s="153"/>
      <c r="L29" s="103"/>
      <c r="M29" s="100"/>
      <c r="N29" s="9"/>
      <c r="O29" s="9"/>
      <c r="P29" s="83"/>
      <c r="Q29" s="37"/>
      <c r="R29" s="12"/>
      <c r="S29" s="38"/>
      <c r="T29" s="37"/>
      <c r="U29" s="37"/>
    </row>
    <row r="30" spans="1:21" x14ac:dyDescent="0.4">
      <c r="A30" s="37"/>
      <c r="B30" s="37"/>
      <c r="C30" s="37"/>
      <c r="D30" s="37"/>
      <c r="E30" s="12"/>
      <c r="F30" s="102"/>
      <c r="G30" s="102"/>
      <c r="H30" s="102"/>
      <c r="I30" s="153"/>
      <c r="J30" s="103"/>
      <c r="K30" s="153"/>
      <c r="L30" s="103"/>
      <c r="M30" s="100"/>
      <c r="N30" s="9"/>
      <c r="O30" s="9"/>
      <c r="P30" s="83"/>
      <c r="Q30" s="37"/>
      <c r="R30" s="12"/>
      <c r="S30" s="38"/>
      <c r="T30" s="37"/>
      <c r="U30" s="37"/>
    </row>
    <row r="31" spans="1:21" x14ac:dyDescent="0.4">
      <c r="A31" s="37"/>
      <c r="B31" s="37"/>
      <c r="C31" s="37"/>
      <c r="D31" s="37"/>
      <c r="E31" s="12"/>
      <c r="F31" s="102"/>
      <c r="G31" s="102"/>
      <c r="H31" s="102"/>
      <c r="I31" s="153"/>
      <c r="J31" s="103"/>
      <c r="K31" s="153"/>
      <c r="L31" s="103"/>
      <c r="M31" s="100"/>
      <c r="N31" s="9"/>
      <c r="O31" s="9"/>
      <c r="P31" s="83"/>
      <c r="Q31" s="37"/>
      <c r="R31" s="12"/>
      <c r="S31" s="38"/>
      <c r="T31" s="37"/>
      <c r="U31" s="37"/>
    </row>
    <row r="32" spans="1:21" x14ac:dyDescent="0.4">
      <c r="A32" s="37"/>
      <c r="B32" s="37"/>
      <c r="C32" s="37"/>
      <c r="D32" s="37"/>
      <c r="E32" s="12"/>
      <c r="F32" s="102"/>
      <c r="G32" s="102"/>
      <c r="H32" s="102"/>
      <c r="I32" s="153"/>
      <c r="J32" s="103"/>
      <c r="K32" s="153"/>
      <c r="L32" s="103"/>
      <c r="M32" s="100"/>
      <c r="N32" s="9"/>
      <c r="O32" s="9"/>
      <c r="P32" s="83"/>
      <c r="Q32" s="37"/>
      <c r="R32" s="12"/>
      <c r="S32" s="38"/>
      <c r="T32" s="37"/>
      <c r="U32" s="37"/>
    </row>
    <row r="33" spans="1:21" x14ac:dyDescent="0.4">
      <c r="A33" s="37"/>
      <c r="B33" s="37"/>
      <c r="C33" s="37"/>
      <c r="D33" s="37"/>
      <c r="E33" s="12"/>
      <c r="F33" s="102"/>
      <c r="G33" s="102"/>
      <c r="H33" s="102"/>
      <c r="I33" s="153"/>
      <c r="J33" s="103"/>
      <c r="K33" s="153"/>
      <c r="L33" s="103"/>
      <c r="M33" s="100"/>
      <c r="N33" s="9"/>
      <c r="O33" s="9"/>
      <c r="P33" s="83"/>
      <c r="Q33" s="37"/>
      <c r="R33" s="12"/>
      <c r="S33" s="38"/>
      <c r="T33" s="37"/>
      <c r="U33" s="37"/>
    </row>
    <row r="34" spans="1:21" x14ac:dyDescent="0.4">
      <c r="A34" s="37"/>
      <c r="B34" s="37"/>
      <c r="C34" s="37"/>
      <c r="D34" s="37"/>
      <c r="E34" s="12"/>
      <c r="F34" s="102"/>
      <c r="G34" s="102"/>
      <c r="H34" s="102"/>
      <c r="I34" s="153"/>
      <c r="J34" s="103"/>
      <c r="K34" s="153"/>
      <c r="L34" s="103"/>
      <c r="M34" s="100"/>
      <c r="N34" s="9"/>
      <c r="O34" s="9"/>
      <c r="P34" s="83"/>
      <c r="Q34" s="37"/>
      <c r="R34" s="12"/>
      <c r="S34" s="38"/>
      <c r="T34" s="37"/>
      <c r="U34" s="37"/>
    </row>
    <row r="35" spans="1:21" x14ac:dyDescent="0.4">
      <c r="A35" s="37"/>
      <c r="B35" s="37"/>
      <c r="C35" s="37"/>
      <c r="D35" s="37"/>
      <c r="E35" s="12"/>
      <c r="F35" s="102"/>
      <c r="G35" s="102"/>
      <c r="H35" s="102"/>
      <c r="I35" s="153"/>
      <c r="J35" s="103"/>
      <c r="K35" s="153"/>
      <c r="L35" s="103"/>
      <c r="M35" s="100"/>
      <c r="N35" s="9"/>
      <c r="O35" s="9"/>
      <c r="P35" s="37"/>
      <c r="Q35" s="37"/>
      <c r="R35" s="12"/>
      <c r="S35" s="38"/>
      <c r="T35" s="37"/>
      <c r="U35" s="37"/>
    </row>
    <row r="36" spans="1:21" x14ac:dyDescent="0.4">
      <c r="A36" s="37"/>
      <c r="B36" s="37"/>
      <c r="C36" s="37"/>
      <c r="D36" s="37"/>
      <c r="E36" s="12"/>
      <c r="F36" s="102"/>
      <c r="G36" s="102"/>
      <c r="H36" s="102"/>
      <c r="I36" s="153"/>
      <c r="J36" s="103"/>
      <c r="K36" s="153"/>
      <c r="L36" s="103"/>
      <c r="M36" s="100"/>
      <c r="N36" s="9"/>
      <c r="O36" s="9"/>
      <c r="P36" s="83"/>
      <c r="Q36" s="37"/>
      <c r="R36" s="12"/>
      <c r="S36" s="38"/>
      <c r="T36" s="37"/>
      <c r="U36" s="37"/>
    </row>
    <row r="37" spans="1:21" x14ac:dyDescent="0.4">
      <c r="A37" s="37"/>
      <c r="B37" s="37"/>
      <c r="C37" s="37"/>
      <c r="D37" s="37"/>
      <c r="E37" s="12"/>
      <c r="F37" s="102"/>
      <c r="G37" s="102"/>
      <c r="H37" s="102"/>
      <c r="I37" s="153"/>
      <c r="J37" s="103"/>
      <c r="K37" s="153"/>
      <c r="L37" s="103"/>
      <c r="M37" s="100"/>
      <c r="N37" s="9"/>
      <c r="O37" s="9"/>
      <c r="P37" s="83"/>
      <c r="Q37" s="37"/>
      <c r="R37" s="12"/>
      <c r="S37" s="38"/>
      <c r="T37" s="37"/>
      <c r="U37" s="37"/>
    </row>
    <row r="38" spans="1:21" x14ac:dyDescent="0.4">
      <c r="A38" s="37"/>
      <c r="B38" s="37"/>
      <c r="C38" s="37"/>
      <c r="D38" s="37"/>
      <c r="E38" s="12"/>
      <c r="F38" s="102"/>
      <c r="G38" s="102"/>
      <c r="H38" s="102"/>
      <c r="I38" s="153"/>
      <c r="J38" s="103"/>
      <c r="K38" s="153"/>
      <c r="L38" s="103"/>
      <c r="M38" s="100"/>
      <c r="N38" s="9"/>
      <c r="O38" s="9"/>
      <c r="P38" s="83"/>
      <c r="Q38" s="37"/>
      <c r="R38" s="12"/>
      <c r="S38" s="38"/>
      <c r="T38" s="37"/>
      <c r="U38" s="37"/>
    </row>
    <row r="39" spans="1:21" x14ac:dyDescent="0.4">
      <c r="A39" s="37"/>
      <c r="B39" s="37"/>
      <c r="C39" s="37"/>
      <c r="D39" s="37"/>
      <c r="E39" s="12"/>
      <c r="F39" s="102"/>
      <c r="G39" s="102"/>
      <c r="H39" s="102"/>
      <c r="I39" s="153"/>
      <c r="J39" s="103"/>
      <c r="K39" s="153"/>
      <c r="L39" s="103"/>
      <c r="M39" s="100"/>
      <c r="N39" s="9"/>
      <c r="O39" s="9"/>
      <c r="P39" s="83"/>
      <c r="Q39" s="37"/>
      <c r="R39" s="12"/>
      <c r="S39" s="38"/>
      <c r="T39" s="37"/>
      <c r="U39" s="37"/>
    </row>
    <row r="40" spans="1:21" x14ac:dyDescent="0.4">
      <c r="A40" s="37"/>
      <c r="B40" s="37"/>
      <c r="C40" s="37"/>
      <c r="D40" s="37"/>
      <c r="E40" s="12"/>
      <c r="F40" s="102"/>
      <c r="G40" s="102"/>
      <c r="H40" s="102"/>
      <c r="I40" s="153"/>
      <c r="J40" s="103"/>
      <c r="K40" s="153"/>
      <c r="L40" s="103"/>
      <c r="M40" s="100"/>
      <c r="N40" s="9"/>
      <c r="O40" s="9"/>
      <c r="P40" s="83"/>
      <c r="Q40" s="37"/>
      <c r="R40" s="12"/>
      <c r="S40" s="38"/>
      <c r="T40" s="37"/>
      <c r="U40" s="37"/>
    </row>
    <row r="41" spans="1:21" x14ac:dyDescent="0.4">
      <c r="A41" s="37"/>
      <c r="B41" s="37"/>
      <c r="C41" s="37"/>
      <c r="D41" s="37"/>
      <c r="E41" s="12"/>
      <c r="F41" s="102"/>
      <c r="G41" s="102"/>
      <c r="H41" s="102"/>
      <c r="I41" s="153"/>
      <c r="J41" s="103"/>
      <c r="K41" s="153"/>
      <c r="L41" s="103"/>
      <c r="M41" s="100"/>
      <c r="N41" s="9"/>
      <c r="O41" s="9"/>
      <c r="P41" s="83"/>
      <c r="Q41" s="37"/>
      <c r="R41" s="12"/>
      <c r="S41" s="38"/>
      <c r="T41" s="37"/>
      <c r="U41" s="37"/>
    </row>
    <row r="42" spans="1:21" x14ac:dyDescent="0.4">
      <c r="A42" s="37"/>
      <c r="B42" s="37"/>
      <c r="C42" s="37"/>
      <c r="D42" s="37"/>
      <c r="E42" s="12"/>
      <c r="F42" s="102"/>
      <c r="G42" s="102"/>
      <c r="H42" s="102"/>
      <c r="I42" s="153"/>
      <c r="J42" s="103"/>
      <c r="K42" s="153"/>
      <c r="L42" s="103"/>
      <c r="M42" s="100"/>
      <c r="N42" s="9"/>
      <c r="O42" s="9"/>
      <c r="P42" s="37"/>
      <c r="Q42" s="37"/>
      <c r="R42" s="12"/>
      <c r="S42" s="38"/>
      <c r="T42" s="37"/>
      <c r="U42" s="37"/>
    </row>
    <row r="43" spans="1:21" x14ac:dyDescent="0.4">
      <c r="A43" s="37"/>
      <c r="B43" s="37"/>
      <c r="C43" s="37"/>
      <c r="D43" s="37"/>
      <c r="E43" s="12"/>
      <c r="F43" s="102"/>
      <c r="G43" s="102"/>
      <c r="H43" s="102"/>
      <c r="I43" s="153"/>
      <c r="J43" s="103"/>
      <c r="K43" s="153"/>
      <c r="L43" s="103"/>
      <c r="M43" s="100"/>
      <c r="N43" s="9"/>
      <c r="O43" s="9"/>
      <c r="P43" s="83"/>
      <c r="Q43" s="37"/>
      <c r="R43" s="12"/>
      <c r="S43" s="38"/>
      <c r="T43" s="37"/>
      <c r="U43" s="37"/>
    </row>
    <row r="44" spans="1:21" x14ac:dyDescent="0.4">
      <c r="A44" s="37"/>
      <c r="B44" s="37"/>
      <c r="C44" s="37"/>
      <c r="D44" s="37"/>
      <c r="E44" s="12"/>
      <c r="F44" s="102"/>
      <c r="G44" s="102"/>
      <c r="H44" s="102"/>
      <c r="I44" s="153"/>
      <c r="J44" s="103"/>
      <c r="K44" s="153"/>
      <c r="L44" s="103"/>
      <c r="M44" s="100"/>
      <c r="N44" s="9"/>
      <c r="O44" s="9"/>
      <c r="P44" s="83"/>
      <c r="Q44" s="37"/>
      <c r="R44" s="12"/>
      <c r="S44" s="38"/>
      <c r="T44" s="37"/>
      <c r="U44" s="37"/>
    </row>
    <row r="45" spans="1:21" x14ac:dyDescent="0.4">
      <c r="A45" s="37"/>
      <c r="B45" s="37"/>
      <c r="C45" s="37"/>
      <c r="D45" s="37"/>
      <c r="E45" s="12"/>
      <c r="F45" s="102"/>
      <c r="G45" s="102"/>
      <c r="H45" s="102"/>
      <c r="I45" s="153"/>
      <c r="J45" s="103"/>
      <c r="K45" s="153"/>
      <c r="L45" s="103"/>
      <c r="M45" s="100"/>
      <c r="N45" s="9"/>
      <c r="O45" s="9"/>
      <c r="P45" s="83"/>
      <c r="Q45" s="37"/>
      <c r="R45" s="12"/>
      <c r="S45" s="38"/>
      <c r="T45" s="37"/>
      <c r="U45" s="37"/>
    </row>
    <row r="46" spans="1:21" x14ac:dyDescent="0.4">
      <c r="A46" s="37"/>
      <c r="B46" s="37"/>
      <c r="C46" s="37"/>
      <c r="D46" s="37"/>
      <c r="E46" s="12"/>
      <c r="F46" s="102"/>
      <c r="G46" s="102"/>
      <c r="H46" s="102"/>
      <c r="I46" s="153"/>
      <c r="J46" s="103"/>
      <c r="K46" s="153"/>
      <c r="L46" s="103"/>
      <c r="M46" s="100"/>
      <c r="N46" s="9"/>
      <c r="O46" s="9"/>
      <c r="P46" s="83"/>
      <c r="Q46" s="37"/>
      <c r="R46" s="12"/>
      <c r="S46" s="38"/>
      <c r="T46" s="37"/>
      <c r="U46" s="37"/>
    </row>
    <row r="47" spans="1:21" x14ac:dyDescent="0.4">
      <c r="A47" s="37"/>
      <c r="B47" s="37"/>
      <c r="C47" s="37"/>
      <c r="D47" s="37"/>
      <c r="E47" s="12"/>
      <c r="F47" s="102"/>
      <c r="G47" s="102"/>
      <c r="H47" s="102"/>
      <c r="I47" s="153"/>
      <c r="J47" s="103"/>
      <c r="K47" s="153"/>
      <c r="L47" s="103"/>
      <c r="M47" s="100"/>
      <c r="N47" s="9"/>
      <c r="O47" s="9"/>
      <c r="P47" s="83"/>
      <c r="Q47" s="37"/>
      <c r="R47" s="12"/>
      <c r="S47" s="38"/>
      <c r="T47" s="37"/>
      <c r="U47" s="37"/>
    </row>
    <row r="48" spans="1:21" x14ac:dyDescent="0.4">
      <c r="A48" s="37"/>
      <c r="B48" s="37"/>
      <c r="C48" s="37"/>
      <c r="D48" s="37"/>
      <c r="E48" s="12"/>
      <c r="F48" s="102"/>
      <c r="G48" s="102"/>
      <c r="H48" s="102"/>
      <c r="I48" s="153"/>
      <c r="J48" s="103"/>
      <c r="K48" s="153"/>
      <c r="L48" s="103"/>
      <c r="M48" s="100"/>
      <c r="N48" s="9"/>
      <c r="O48" s="9"/>
      <c r="P48" s="83"/>
      <c r="Q48" s="37"/>
      <c r="R48" s="12"/>
      <c r="S48" s="38"/>
      <c r="T48" s="37"/>
      <c r="U48" s="37"/>
    </row>
    <row r="49" spans="1:21" x14ac:dyDescent="0.4">
      <c r="A49" s="37"/>
      <c r="B49" s="37"/>
      <c r="C49" s="37"/>
      <c r="D49" s="37"/>
      <c r="E49" s="12"/>
      <c r="F49" s="102"/>
      <c r="G49" s="102"/>
      <c r="H49" s="102"/>
      <c r="I49" s="153"/>
      <c r="J49" s="103"/>
      <c r="K49" s="153"/>
      <c r="L49" s="103"/>
      <c r="M49" s="100"/>
      <c r="N49" s="9"/>
      <c r="O49" s="9"/>
      <c r="P49" s="83"/>
      <c r="Q49" s="37"/>
      <c r="R49" s="12"/>
      <c r="S49" s="38"/>
      <c r="T49" s="37"/>
      <c r="U49" s="37"/>
    </row>
    <row r="50" spans="1:21" x14ac:dyDescent="0.4">
      <c r="A50" s="37"/>
      <c r="B50" s="37"/>
      <c r="C50" s="37"/>
      <c r="D50" s="37"/>
      <c r="E50" s="12"/>
      <c r="F50" s="102"/>
      <c r="G50" s="102"/>
      <c r="H50" s="102"/>
      <c r="I50" s="153"/>
      <c r="J50" s="103"/>
      <c r="K50" s="153"/>
      <c r="L50" s="103"/>
      <c r="M50" s="100"/>
      <c r="N50" s="9"/>
      <c r="O50" s="9"/>
      <c r="P50" s="83"/>
      <c r="Q50" s="37"/>
      <c r="R50" s="12"/>
      <c r="S50" s="38"/>
      <c r="T50" s="37"/>
      <c r="U50" s="37"/>
    </row>
    <row r="51" spans="1:21" x14ac:dyDescent="0.4">
      <c r="A51" s="37"/>
      <c r="B51" s="37"/>
      <c r="C51" s="37"/>
      <c r="D51" s="37"/>
      <c r="E51" s="12"/>
      <c r="F51" s="102"/>
      <c r="G51" s="102"/>
      <c r="H51" s="102"/>
      <c r="I51" s="153"/>
      <c r="J51" s="103"/>
      <c r="K51" s="153"/>
      <c r="L51" s="103"/>
      <c r="M51" s="100"/>
      <c r="N51" s="9"/>
      <c r="O51" s="9"/>
      <c r="P51" s="83"/>
      <c r="Q51" s="37"/>
      <c r="R51" s="12"/>
      <c r="S51" s="38"/>
      <c r="T51" s="37"/>
      <c r="U51" s="37"/>
    </row>
    <row r="52" spans="1:21" x14ac:dyDescent="0.4">
      <c r="A52" s="37"/>
      <c r="B52" s="37"/>
      <c r="C52" s="37"/>
      <c r="D52" s="37"/>
      <c r="E52" s="12"/>
      <c r="F52" s="102"/>
      <c r="G52" s="102"/>
      <c r="H52" s="102"/>
      <c r="I52" s="153"/>
      <c r="J52" s="103"/>
      <c r="K52" s="153"/>
      <c r="L52" s="103"/>
      <c r="M52" s="100"/>
      <c r="N52" s="9"/>
      <c r="O52" s="9"/>
      <c r="P52" s="83"/>
      <c r="Q52" s="37"/>
      <c r="R52" s="12"/>
      <c r="S52" s="38"/>
      <c r="T52" s="37"/>
      <c r="U52" s="37"/>
    </row>
    <row r="53" spans="1:21" x14ac:dyDescent="0.4">
      <c r="A53" s="37"/>
      <c r="B53" s="37"/>
      <c r="C53" s="37"/>
      <c r="D53" s="37"/>
      <c r="E53" s="12"/>
      <c r="F53" s="102"/>
      <c r="G53" s="102"/>
      <c r="H53" s="102"/>
      <c r="I53" s="153"/>
      <c r="J53" s="103"/>
      <c r="K53" s="153"/>
      <c r="L53" s="103"/>
      <c r="M53" s="100"/>
      <c r="N53" s="9"/>
      <c r="O53" s="9"/>
      <c r="P53" s="83"/>
      <c r="Q53" s="37"/>
      <c r="R53" s="12"/>
      <c r="S53" s="38"/>
      <c r="T53" s="37"/>
      <c r="U53" s="37"/>
    </row>
    <row r="54" spans="1:21" x14ac:dyDescent="0.4">
      <c r="A54" s="37"/>
      <c r="B54" s="37"/>
      <c r="C54" s="37"/>
      <c r="D54" s="37"/>
      <c r="E54" s="12"/>
      <c r="F54" s="102"/>
      <c r="G54" s="102"/>
      <c r="H54" s="102"/>
      <c r="I54" s="153"/>
      <c r="J54" s="103"/>
      <c r="K54" s="153"/>
      <c r="L54" s="103"/>
      <c r="M54" s="100"/>
      <c r="N54" s="9"/>
      <c r="O54" s="9"/>
      <c r="P54" s="83"/>
      <c r="Q54" s="37"/>
      <c r="R54" s="12"/>
      <c r="S54" s="38"/>
      <c r="T54" s="37"/>
      <c r="U54" s="37"/>
    </row>
    <row r="55" spans="1:21" x14ac:dyDescent="0.4">
      <c r="A55" s="37"/>
      <c r="B55" s="37"/>
      <c r="C55" s="37"/>
      <c r="D55" s="37"/>
      <c r="E55" s="12"/>
      <c r="F55" s="102"/>
      <c r="G55" s="102"/>
      <c r="H55" s="102"/>
      <c r="I55" s="153"/>
      <c r="J55" s="103"/>
      <c r="K55" s="153"/>
      <c r="L55" s="103"/>
      <c r="M55" s="100"/>
      <c r="N55" s="9"/>
      <c r="O55" s="9"/>
      <c r="P55" s="83"/>
      <c r="Q55" s="37"/>
      <c r="R55" s="12"/>
      <c r="S55" s="38"/>
      <c r="T55" s="37"/>
      <c r="U55" s="37"/>
    </row>
    <row r="56" spans="1:21" x14ac:dyDescent="0.4">
      <c r="A56" s="37"/>
      <c r="B56" s="37"/>
      <c r="C56" s="37"/>
      <c r="D56" s="37"/>
      <c r="E56" s="12"/>
      <c r="F56" s="102"/>
      <c r="G56" s="102"/>
      <c r="H56" s="102"/>
      <c r="I56" s="153"/>
      <c r="J56" s="103"/>
      <c r="K56" s="153"/>
      <c r="L56" s="103"/>
      <c r="M56" s="100"/>
      <c r="N56" s="9"/>
      <c r="O56" s="9"/>
      <c r="P56" s="83"/>
      <c r="Q56" s="37"/>
      <c r="R56" s="12"/>
      <c r="S56" s="38"/>
      <c r="T56" s="37"/>
      <c r="U56" s="37"/>
    </row>
    <row r="57" spans="1:21" x14ac:dyDescent="0.4">
      <c r="A57" s="37"/>
      <c r="B57" s="37"/>
      <c r="C57" s="37"/>
      <c r="D57" s="37"/>
      <c r="E57" s="12"/>
      <c r="F57" s="102"/>
      <c r="G57" s="102"/>
      <c r="H57" s="102"/>
      <c r="I57" s="153"/>
      <c r="J57" s="103"/>
      <c r="K57" s="153"/>
      <c r="L57" s="103"/>
      <c r="M57" s="100"/>
      <c r="N57" s="9"/>
      <c r="O57" s="9"/>
      <c r="P57" s="83"/>
      <c r="Q57" s="37"/>
      <c r="R57" s="12"/>
      <c r="S57" s="38"/>
      <c r="T57" s="37"/>
      <c r="U57" s="37"/>
    </row>
    <row r="58" spans="1:21" x14ac:dyDescent="0.4">
      <c r="A58" s="37"/>
      <c r="B58" s="37"/>
      <c r="C58" s="37"/>
      <c r="D58" s="37"/>
      <c r="E58" s="12"/>
      <c r="F58" s="102"/>
      <c r="G58" s="102"/>
      <c r="H58" s="102"/>
      <c r="I58" s="153"/>
      <c r="J58" s="103"/>
      <c r="K58" s="153"/>
      <c r="L58" s="103"/>
      <c r="M58" s="100"/>
      <c r="N58" s="9"/>
      <c r="O58" s="9"/>
      <c r="P58" s="83"/>
      <c r="Q58" s="37"/>
      <c r="R58" s="12"/>
      <c r="S58" s="38"/>
      <c r="T58" s="37"/>
      <c r="U58" s="37"/>
    </row>
    <row r="59" spans="1:21" x14ac:dyDescent="0.4">
      <c r="A59" s="37"/>
      <c r="B59" s="37"/>
      <c r="C59" s="37"/>
      <c r="D59" s="37"/>
      <c r="E59" s="12"/>
      <c r="F59" s="102"/>
      <c r="G59" s="102"/>
      <c r="H59" s="102"/>
      <c r="I59" s="153"/>
      <c r="J59" s="103"/>
      <c r="K59" s="153"/>
      <c r="L59" s="103"/>
      <c r="M59" s="100"/>
      <c r="N59" s="9"/>
      <c r="O59" s="9"/>
      <c r="P59" s="83"/>
      <c r="Q59" s="37"/>
      <c r="R59" s="12"/>
      <c r="S59" s="38"/>
      <c r="T59" s="37"/>
      <c r="U59" s="37"/>
    </row>
    <row r="60" spans="1:21" x14ac:dyDescent="0.4">
      <c r="A60" s="37"/>
      <c r="B60" s="37"/>
      <c r="C60" s="37"/>
      <c r="D60" s="37"/>
      <c r="E60" s="12"/>
      <c r="F60" s="102"/>
      <c r="G60" s="102"/>
      <c r="H60" s="102"/>
      <c r="I60" s="153"/>
      <c r="J60" s="103"/>
      <c r="K60" s="153"/>
      <c r="L60" s="103"/>
      <c r="M60" s="100"/>
      <c r="N60" s="9"/>
      <c r="O60" s="9"/>
      <c r="P60" s="83"/>
      <c r="Q60" s="37"/>
      <c r="R60" s="12"/>
      <c r="S60" s="38"/>
      <c r="T60" s="37"/>
      <c r="U60" s="37"/>
    </row>
    <row r="61" spans="1:21" x14ac:dyDescent="0.4">
      <c r="A61" s="37"/>
      <c r="B61" s="37"/>
      <c r="C61" s="37"/>
      <c r="D61" s="37"/>
      <c r="E61" s="12"/>
      <c r="F61" s="102"/>
      <c r="G61" s="102"/>
      <c r="H61" s="102"/>
      <c r="I61" s="153"/>
      <c r="J61" s="103"/>
      <c r="K61" s="153"/>
      <c r="L61" s="103"/>
      <c r="M61" s="100"/>
      <c r="N61" s="9"/>
      <c r="O61" s="9"/>
      <c r="P61" s="83"/>
      <c r="Q61" s="37"/>
      <c r="R61" s="12"/>
      <c r="S61" s="38"/>
      <c r="T61" s="37"/>
      <c r="U61" s="37"/>
    </row>
    <row r="62" spans="1:21" x14ac:dyDescent="0.4">
      <c r="A62" s="37"/>
      <c r="B62" s="37"/>
      <c r="C62" s="37"/>
      <c r="D62" s="37"/>
      <c r="E62" s="12"/>
      <c r="F62" s="102"/>
      <c r="G62" s="102"/>
      <c r="H62" s="102"/>
      <c r="I62" s="153"/>
      <c r="J62" s="103"/>
      <c r="K62" s="153"/>
      <c r="L62" s="103"/>
      <c r="M62" s="100"/>
      <c r="N62" s="9"/>
      <c r="O62" s="9"/>
      <c r="P62" s="83"/>
      <c r="Q62" s="37"/>
      <c r="R62" s="12"/>
      <c r="S62" s="38"/>
      <c r="T62" s="37"/>
      <c r="U62" s="37"/>
    </row>
    <row r="63" spans="1:21" x14ac:dyDescent="0.4">
      <c r="A63" s="37"/>
      <c r="B63" s="37"/>
      <c r="C63" s="37"/>
      <c r="D63" s="37"/>
      <c r="E63" s="12"/>
      <c r="F63" s="102"/>
      <c r="G63" s="102"/>
      <c r="H63" s="102"/>
      <c r="I63" s="153"/>
      <c r="J63" s="103"/>
      <c r="K63" s="153"/>
      <c r="L63" s="103"/>
      <c r="M63" s="100"/>
      <c r="N63" s="9"/>
      <c r="O63" s="9"/>
      <c r="P63" s="83"/>
      <c r="Q63" s="37"/>
      <c r="R63" s="12"/>
      <c r="S63" s="38"/>
      <c r="T63" s="37"/>
      <c r="U63" s="37"/>
    </row>
    <row r="64" spans="1:21" x14ac:dyDescent="0.4">
      <c r="A64" s="37"/>
      <c r="B64" s="37"/>
      <c r="C64" s="37"/>
      <c r="D64" s="37"/>
      <c r="E64" s="12"/>
      <c r="F64" s="102"/>
      <c r="G64" s="102"/>
      <c r="H64" s="102"/>
      <c r="I64" s="153"/>
      <c r="J64" s="103"/>
      <c r="K64" s="153"/>
      <c r="L64" s="103"/>
      <c r="M64" s="100"/>
      <c r="N64" s="9"/>
      <c r="O64" s="9"/>
      <c r="P64" s="83"/>
      <c r="Q64" s="37"/>
      <c r="R64" s="12"/>
      <c r="S64" s="38"/>
      <c r="T64" s="37"/>
      <c r="U64" s="37"/>
    </row>
    <row r="65" spans="1:21" x14ac:dyDescent="0.4">
      <c r="A65" s="37"/>
      <c r="B65" s="37"/>
      <c r="C65" s="37"/>
      <c r="D65" s="37"/>
      <c r="E65" s="12"/>
      <c r="F65" s="102"/>
      <c r="G65" s="102"/>
      <c r="H65" s="102"/>
      <c r="I65" s="153"/>
      <c r="J65" s="103"/>
      <c r="K65" s="153"/>
      <c r="L65" s="103"/>
      <c r="M65" s="100"/>
      <c r="N65" s="9"/>
      <c r="O65" s="9"/>
      <c r="P65" s="83"/>
      <c r="Q65" s="37"/>
      <c r="R65" s="12"/>
      <c r="S65" s="38"/>
      <c r="T65" s="37"/>
      <c r="U65" s="37"/>
    </row>
    <row r="66" spans="1:21" x14ac:dyDescent="0.4">
      <c r="A66" s="37"/>
      <c r="B66" s="37"/>
      <c r="C66" s="37"/>
      <c r="D66" s="37"/>
      <c r="E66" s="12"/>
      <c r="F66" s="102"/>
      <c r="G66" s="102"/>
      <c r="H66" s="102"/>
      <c r="I66" s="153"/>
      <c r="J66" s="103"/>
      <c r="K66" s="153"/>
      <c r="L66" s="103"/>
      <c r="M66" s="100"/>
      <c r="N66" s="9"/>
      <c r="O66" s="9"/>
      <c r="P66" s="83"/>
      <c r="Q66" s="37"/>
      <c r="R66" s="12"/>
      <c r="S66" s="38"/>
      <c r="T66" s="37"/>
      <c r="U66" s="37"/>
    </row>
    <row r="67" spans="1:21" x14ac:dyDescent="0.4">
      <c r="A67" s="37"/>
      <c r="B67" s="37"/>
      <c r="C67" s="37"/>
      <c r="D67" s="37"/>
      <c r="E67" s="12"/>
      <c r="F67" s="102"/>
      <c r="G67" s="102"/>
      <c r="H67" s="102"/>
      <c r="I67" s="153"/>
      <c r="J67" s="103"/>
      <c r="K67" s="153"/>
      <c r="L67" s="103"/>
      <c r="M67" s="100"/>
      <c r="N67" s="9"/>
      <c r="O67" s="9"/>
      <c r="P67" s="83"/>
      <c r="Q67" s="37"/>
      <c r="R67" s="12"/>
      <c r="S67" s="38"/>
      <c r="T67" s="37"/>
      <c r="U67" s="37"/>
    </row>
    <row r="68" spans="1:21" x14ac:dyDescent="0.4">
      <c r="A68" s="37"/>
      <c r="B68" s="37"/>
      <c r="C68" s="37"/>
      <c r="D68" s="37"/>
      <c r="E68" s="12"/>
      <c r="F68" s="102"/>
      <c r="G68" s="102"/>
      <c r="H68" s="102"/>
      <c r="I68" s="153"/>
      <c r="J68" s="103"/>
      <c r="K68" s="153"/>
      <c r="L68" s="103"/>
      <c r="M68" s="100"/>
      <c r="N68" s="9"/>
      <c r="O68" s="9"/>
      <c r="P68" s="83"/>
      <c r="Q68" s="37"/>
      <c r="R68" s="12"/>
      <c r="S68" s="38"/>
      <c r="T68" s="37"/>
      <c r="U68" s="37"/>
    </row>
    <row r="69" spans="1:21" x14ac:dyDescent="0.4">
      <c r="A69" s="37"/>
      <c r="B69" s="37"/>
      <c r="C69" s="37"/>
      <c r="D69" s="37"/>
      <c r="E69" s="12"/>
      <c r="F69" s="102"/>
      <c r="G69" s="102"/>
      <c r="H69" s="102"/>
      <c r="I69" s="153"/>
      <c r="J69" s="103"/>
      <c r="K69" s="153"/>
      <c r="L69" s="103"/>
      <c r="M69" s="100"/>
      <c r="N69" s="9"/>
      <c r="O69" s="9"/>
      <c r="P69" s="83"/>
      <c r="Q69" s="37"/>
      <c r="R69" s="12"/>
      <c r="S69" s="38"/>
      <c r="T69" s="37"/>
      <c r="U69" s="37"/>
    </row>
    <row r="70" spans="1:21" x14ac:dyDescent="0.4">
      <c r="A70" s="37"/>
      <c r="B70" s="37"/>
      <c r="C70" s="37"/>
      <c r="D70" s="37"/>
      <c r="E70" s="12"/>
      <c r="F70" s="102"/>
      <c r="G70" s="102"/>
      <c r="H70" s="102"/>
      <c r="I70" s="153"/>
      <c r="J70" s="103"/>
      <c r="K70" s="153"/>
      <c r="L70" s="103"/>
      <c r="M70" s="100"/>
      <c r="N70" s="9"/>
      <c r="O70" s="9"/>
      <c r="P70" s="83"/>
      <c r="Q70" s="37"/>
      <c r="R70" s="12"/>
      <c r="S70" s="38"/>
      <c r="T70" s="37"/>
      <c r="U70" s="37"/>
    </row>
    <row r="71" spans="1:21" x14ac:dyDescent="0.4">
      <c r="A71" s="37"/>
      <c r="B71" s="37"/>
      <c r="C71" s="37"/>
      <c r="D71" s="37"/>
      <c r="E71" s="12"/>
      <c r="F71" s="102"/>
      <c r="G71" s="102"/>
      <c r="H71" s="102"/>
      <c r="I71" s="153"/>
      <c r="J71" s="103"/>
      <c r="K71" s="153"/>
      <c r="L71" s="103"/>
      <c r="M71" s="100"/>
      <c r="N71" s="9"/>
      <c r="O71" s="9"/>
      <c r="P71" s="83"/>
      <c r="Q71" s="37"/>
      <c r="R71" s="12"/>
      <c r="S71" s="38"/>
      <c r="T71" s="37"/>
      <c r="U71" s="37"/>
    </row>
    <row r="72" spans="1:21" x14ac:dyDescent="0.4">
      <c r="A72" s="37"/>
      <c r="B72" s="37"/>
      <c r="C72" s="37"/>
      <c r="D72" s="37"/>
      <c r="E72" s="12"/>
      <c r="F72" s="102"/>
      <c r="G72" s="102"/>
      <c r="H72" s="102"/>
      <c r="I72" s="153"/>
      <c r="J72" s="103"/>
      <c r="K72" s="153"/>
      <c r="L72" s="103"/>
      <c r="M72" s="100"/>
      <c r="N72" s="9"/>
      <c r="O72" s="9"/>
      <c r="P72" s="83"/>
      <c r="Q72" s="37"/>
      <c r="R72" s="12"/>
      <c r="S72" s="38"/>
      <c r="T72" s="37"/>
      <c r="U72" s="37"/>
    </row>
    <row r="73" spans="1:21" x14ac:dyDescent="0.4">
      <c r="A73" s="37"/>
      <c r="B73" s="37"/>
      <c r="C73" s="37"/>
      <c r="D73" s="37"/>
      <c r="E73" s="12"/>
      <c r="F73" s="102"/>
      <c r="G73" s="102"/>
      <c r="H73" s="102"/>
      <c r="I73" s="153"/>
      <c r="J73" s="103"/>
      <c r="K73" s="153"/>
      <c r="L73" s="103"/>
      <c r="M73" s="100"/>
      <c r="N73" s="9"/>
      <c r="O73" s="9"/>
      <c r="P73" s="83"/>
      <c r="Q73" s="37"/>
      <c r="R73" s="12"/>
      <c r="S73" s="38"/>
      <c r="T73" s="37"/>
      <c r="U73" s="37"/>
    </row>
    <row r="74" spans="1:21" x14ac:dyDescent="0.4">
      <c r="A74" s="37"/>
      <c r="B74" s="37"/>
      <c r="C74" s="37"/>
      <c r="D74" s="37"/>
      <c r="E74" s="12"/>
      <c r="F74" s="102"/>
      <c r="G74" s="102"/>
      <c r="H74" s="102"/>
      <c r="I74" s="153"/>
      <c r="J74" s="103"/>
      <c r="K74" s="153"/>
      <c r="L74" s="103"/>
      <c r="M74" s="100"/>
      <c r="N74" s="9"/>
      <c r="O74" s="9"/>
      <c r="P74" s="83"/>
      <c r="Q74" s="37"/>
      <c r="R74" s="12"/>
      <c r="S74" s="38"/>
      <c r="T74" s="37"/>
      <c r="U74" s="37"/>
    </row>
    <row r="75" spans="1:21" x14ac:dyDescent="0.4">
      <c r="A75" s="37"/>
      <c r="B75" s="37"/>
      <c r="C75" s="37"/>
      <c r="D75" s="37"/>
      <c r="E75" s="12"/>
      <c r="F75" s="102"/>
      <c r="G75" s="102"/>
      <c r="H75" s="102"/>
      <c r="I75" s="153"/>
      <c r="J75" s="103"/>
      <c r="K75" s="153"/>
      <c r="L75" s="103"/>
      <c r="M75" s="100"/>
      <c r="N75" s="9"/>
      <c r="O75" s="9"/>
      <c r="P75" s="83"/>
      <c r="Q75" s="37"/>
      <c r="R75" s="12"/>
      <c r="S75" s="38"/>
      <c r="T75" s="37"/>
      <c r="U75" s="37"/>
    </row>
    <row r="76" spans="1:21" x14ac:dyDescent="0.4">
      <c r="A76" s="37"/>
      <c r="B76" s="37"/>
      <c r="C76" s="37"/>
      <c r="D76" s="37"/>
      <c r="E76" s="12"/>
      <c r="F76" s="102"/>
      <c r="G76" s="102"/>
      <c r="H76" s="102"/>
      <c r="I76" s="153"/>
      <c r="J76" s="103"/>
      <c r="K76" s="153"/>
      <c r="L76" s="103"/>
      <c r="M76" s="100"/>
      <c r="N76" s="9"/>
      <c r="O76" s="9"/>
      <c r="P76" s="83"/>
      <c r="Q76" s="37"/>
      <c r="R76" s="12"/>
      <c r="S76" s="38"/>
      <c r="T76" s="37"/>
      <c r="U76" s="37"/>
    </row>
    <row r="77" spans="1:21" x14ac:dyDescent="0.4">
      <c r="A77" s="37"/>
      <c r="B77" s="37"/>
      <c r="C77" s="37"/>
      <c r="D77" s="37"/>
      <c r="E77" s="12"/>
      <c r="F77" s="102"/>
      <c r="G77" s="102"/>
      <c r="H77" s="102"/>
      <c r="I77" s="153"/>
      <c r="J77" s="103"/>
      <c r="K77" s="153"/>
      <c r="L77" s="103"/>
      <c r="M77" s="100"/>
      <c r="N77" s="9"/>
      <c r="O77" s="9"/>
      <c r="P77" s="83"/>
      <c r="Q77" s="37"/>
      <c r="R77" s="12"/>
      <c r="S77" s="38"/>
      <c r="T77" s="37"/>
      <c r="U77" s="37"/>
    </row>
    <row r="78" spans="1:21" x14ac:dyDescent="0.4">
      <c r="A78" s="37"/>
      <c r="B78" s="37"/>
      <c r="C78" s="37"/>
      <c r="D78" s="37"/>
      <c r="E78" s="12"/>
      <c r="F78" s="102"/>
      <c r="G78" s="102"/>
      <c r="H78" s="102"/>
      <c r="I78" s="153"/>
      <c r="J78" s="103"/>
      <c r="K78" s="153"/>
      <c r="L78" s="103"/>
      <c r="M78" s="100"/>
      <c r="N78" s="9"/>
      <c r="O78" s="9"/>
      <c r="P78" s="83"/>
      <c r="Q78" s="37"/>
      <c r="R78" s="12"/>
      <c r="S78" s="38"/>
      <c r="T78" s="37"/>
      <c r="U78" s="37"/>
    </row>
    <row r="79" spans="1:21" x14ac:dyDescent="0.4">
      <c r="A79" s="37"/>
      <c r="B79" s="37"/>
      <c r="C79" s="37"/>
      <c r="D79" s="37"/>
      <c r="E79" s="12"/>
      <c r="F79" s="102"/>
      <c r="G79" s="102"/>
      <c r="H79" s="102"/>
      <c r="I79" s="153"/>
      <c r="J79" s="103"/>
      <c r="K79" s="153"/>
      <c r="L79" s="103"/>
      <c r="M79" s="100"/>
      <c r="N79" s="9"/>
      <c r="O79" s="9"/>
      <c r="P79" s="83"/>
      <c r="Q79" s="37"/>
      <c r="R79" s="12"/>
      <c r="S79" s="38"/>
      <c r="T79" s="37"/>
      <c r="U79" s="37"/>
    </row>
    <row r="80" spans="1:21" x14ac:dyDescent="0.4">
      <c r="A80" s="37"/>
      <c r="B80" s="37"/>
      <c r="C80" s="37"/>
      <c r="D80" s="37"/>
      <c r="E80" s="12"/>
      <c r="F80" s="102"/>
      <c r="G80" s="102"/>
      <c r="H80" s="102"/>
      <c r="I80" s="153"/>
      <c r="J80" s="103"/>
      <c r="K80" s="153"/>
      <c r="L80" s="103"/>
      <c r="M80" s="100"/>
      <c r="N80" s="9"/>
      <c r="O80" s="9"/>
      <c r="P80" s="83"/>
      <c r="Q80" s="37"/>
      <c r="R80" s="12"/>
      <c r="S80" s="38"/>
      <c r="T80" s="37"/>
      <c r="U80" s="37"/>
    </row>
    <row r="81" spans="1:21" x14ac:dyDescent="0.4">
      <c r="A81" s="37"/>
      <c r="B81" s="37"/>
      <c r="C81" s="37"/>
      <c r="D81" s="37"/>
      <c r="E81" s="12"/>
      <c r="F81" s="102"/>
      <c r="G81" s="102"/>
      <c r="H81" s="102"/>
      <c r="I81" s="153"/>
      <c r="J81" s="103"/>
      <c r="K81" s="153"/>
      <c r="L81" s="103"/>
      <c r="M81" s="100"/>
      <c r="N81" s="9"/>
      <c r="O81" s="9"/>
      <c r="P81" s="37"/>
      <c r="Q81" s="37"/>
      <c r="R81" s="12"/>
      <c r="S81" s="38"/>
      <c r="T81" s="37"/>
      <c r="U81" s="37"/>
    </row>
    <row r="82" spans="1:21" x14ac:dyDescent="0.4">
      <c r="A82" s="37"/>
      <c r="B82" s="37"/>
      <c r="C82" s="37"/>
      <c r="D82" s="37"/>
      <c r="E82" s="12"/>
      <c r="F82" s="102"/>
      <c r="G82" s="102"/>
      <c r="H82" s="102"/>
      <c r="I82" s="153"/>
      <c r="J82" s="103"/>
      <c r="K82" s="153"/>
      <c r="L82" s="103"/>
      <c r="M82" s="100"/>
      <c r="N82" s="9"/>
      <c r="O82" s="9"/>
      <c r="P82" s="83"/>
      <c r="Q82" s="37"/>
      <c r="R82" s="12"/>
      <c r="S82" s="38"/>
      <c r="T82" s="37"/>
      <c r="U82" s="37"/>
    </row>
    <row r="83" spans="1:21" x14ac:dyDescent="0.4">
      <c r="A83" s="37"/>
      <c r="B83" s="37"/>
      <c r="C83" s="37"/>
      <c r="D83" s="37"/>
      <c r="E83" s="12"/>
      <c r="F83" s="102"/>
      <c r="G83" s="102"/>
      <c r="H83" s="102"/>
      <c r="I83" s="153"/>
      <c r="J83" s="103"/>
      <c r="K83" s="153"/>
      <c r="L83" s="103"/>
      <c r="M83" s="100"/>
      <c r="N83" s="9"/>
      <c r="O83" s="9"/>
      <c r="P83" s="83"/>
      <c r="Q83" s="37"/>
      <c r="R83" s="12"/>
      <c r="S83" s="38"/>
      <c r="T83" s="37"/>
      <c r="U83" s="37"/>
    </row>
    <row r="84" spans="1:21" x14ac:dyDescent="0.4">
      <c r="A84" s="37"/>
      <c r="B84" s="37"/>
      <c r="C84" s="37"/>
      <c r="D84" s="37"/>
      <c r="E84" s="12"/>
      <c r="F84" s="102"/>
      <c r="G84" s="102"/>
      <c r="H84" s="102"/>
      <c r="I84" s="153"/>
      <c r="J84" s="103"/>
      <c r="K84" s="153"/>
      <c r="L84" s="103"/>
      <c r="M84" s="100"/>
      <c r="N84" s="9"/>
      <c r="O84" s="9"/>
      <c r="P84" s="37"/>
      <c r="Q84" s="37"/>
      <c r="R84" s="12"/>
      <c r="S84" s="38"/>
      <c r="T84" s="37"/>
      <c r="U84" s="37"/>
    </row>
    <row r="85" spans="1:21" x14ac:dyDescent="0.4">
      <c r="A85" s="37"/>
      <c r="B85" s="37"/>
      <c r="C85" s="37"/>
      <c r="D85" s="37"/>
      <c r="E85" s="12"/>
      <c r="F85" s="102"/>
      <c r="G85" s="102"/>
      <c r="H85" s="102"/>
      <c r="I85" s="153"/>
      <c r="J85" s="103"/>
      <c r="K85" s="153"/>
      <c r="L85" s="103"/>
      <c r="M85" s="100"/>
      <c r="N85" s="9"/>
      <c r="O85" s="9"/>
      <c r="P85" s="83"/>
      <c r="Q85" s="37"/>
      <c r="R85" s="12"/>
      <c r="S85" s="38"/>
      <c r="T85" s="37"/>
      <c r="U85" s="37"/>
    </row>
    <row r="86" spans="1:21" x14ac:dyDescent="0.4">
      <c r="A86" s="37"/>
      <c r="B86" s="37"/>
      <c r="C86" s="37"/>
      <c r="D86" s="37"/>
      <c r="E86" s="12"/>
      <c r="F86" s="102"/>
      <c r="G86" s="102"/>
      <c r="H86" s="102"/>
      <c r="I86" s="153"/>
      <c r="J86" s="103"/>
      <c r="K86" s="153"/>
      <c r="L86" s="103"/>
      <c r="M86" s="100"/>
      <c r="N86" s="9"/>
      <c r="O86" s="9"/>
      <c r="P86" s="83"/>
      <c r="Q86" s="37"/>
      <c r="R86" s="12"/>
      <c r="S86" s="38"/>
      <c r="T86" s="37"/>
      <c r="U86" s="37"/>
    </row>
    <row r="87" spans="1:21" x14ac:dyDescent="0.4">
      <c r="A87" s="37"/>
      <c r="B87" s="37"/>
      <c r="C87" s="37"/>
      <c r="D87" s="37"/>
      <c r="E87" s="12"/>
      <c r="F87" s="102"/>
      <c r="G87" s="102"/>
      <c r="H87" s="102"/>
      <c r="I87" s="153"/>
      <c r="J87" s="103"/>
      <c r="K87" s="153"/>
      <c r="L87" s="103"/>
      <c r="M87" s="100"/>
      <c r="N87" s="9"/>
      <c r="O87" s="9"/>
      <c r="P87" s="83"/>
      <c r="Q87" s="37"/>
      <c r="R87" s="12"/>
      <c r="S87" s="38"/>
      <c r="T87" s="37"/>
      <c r="U87" s="37"/>
    </row>
    <row r="88" spans="1:21" x14ac:dyDescent="0.4">
      <c r="A88" s="37"/>
      <c r="B88" s="37"/>
      <c r="C88" s="37"/>
      <c r="D88" s="37"/>
      <c r="E88" s="12"/>
      <c r="F88" s="102"/>
      <c r="G88" s="102"/>
      <c r="H88" s="102"/>
      <c r="I88" s="153"/>
      <c r="J88" s="103"/>
      <c r="K88" s="153"/>
      <c r="L88" s="103"/>
      <c r="M88" s="100"/>
      <c r="N88" s="9"/>
      <c r="O88" s="9"/>
      <c r="P88" s="83"/>
      <c r="Q88" s="37"/>
      <c r="R88" s="12"/>
      <c r="S88" s="38"/>
      <c r="T88" s="37"/>
      <c r="U88" s="37"/>
    </row>
    <row r="89" spans="1:21" x14ac:dyDescent="0.4">
      <c r="A89" s="37"/>
      <c r="B89" s="37"/>
      <c r="C89" s="37"/>
      <c r="D89" s="37"/>
      <c r="E89" s="12"/>
      <c r="F89" s="102"/>
      <c r="G89" s="102"/>
      <c r="H89" s="102"/>
      <c r="I89" s="153"/>
      <c r="J89" s="103"/>
      <c r="K89" s="153"/>
      <c r="L89" s="103"/>
      <c r="M89" s="100"/>
      <c r="N89" s="9"/>
      <c r="O89" s="9"/>
      <c r="P89" s="83"/>
      <c r="Q89" s="37"/>
      <c r="R89" s="12"/>
      <c r="S89" s="38"/>
      <c r="T89" s="37"/>
      <c r="U89" s="37"/>
    </row>
    <row r="90" spans="1:21" x14ac:dyDescent="0.4">
      <c r="A90" s="37"/>
      <c r="B90" s="37"/>
      <c r="C90" s="37"/>
      <c r="D90" s="37"/>
      <c r="E90" s="12"/>
      <c r="F90" s="102"/>
      <c r="G90" s="102"/>
      <c r="H90" s="102"/>
      <c r="I90" s="153"/>
      <c r="J90" s="103"/>
      <c r="K90" s="153"/>
      <c r="L90" s="103"/>
      <c r="M90" s="100"/>
      <c r="N90" s="9"/>
      <c r="O90" s="9"/>
      <c r="P90" s="83"/>
      <c r="Q90" s="37"/>
      <c r="R90" s="12"/>
      <c r="S90" s="38"/>
      <c r="T90" s="37"/>
      <c r="U90" s="37"/>
    </row>
    <row r="91" spans="1:21" x14ac:dyDescent="0.4">
      <c r="A91" s="37"/>
      <c r="B91" s="37"/>
      <c r="C91" s="37"/>
      <c r="D91" s="37"/>
      <c r="E91" s="12"/>
      <c r="F91" s="102"/>
      <c r="G91" s="102"/>
      <c r="H91" s="102"/>
      <c r="I91" s="153"/>
      <c r="J91" s="103"/>
      <c r="K91" s="153"/>
      <c r="L91" s="103"/>
      <c r="M91" s="100"/>
      <c r="N91" s="9"/>
      <c r="O91" s="9"/>
      <c r="P91" s="83"/>
      <c r="Q91" s="37"/>
      <c r="R91" s="12"/>
      <c r="S91" s="38"/>
      <c r="T91" s="37"/>
      <c r="U91" s="37"/>
    </row>
    <row r="92" spans="1:21" x14ac:dyDescent="0.4">
      <c r="A92" s="37"/>
      <c r="B92" s="37"/>
      <c r="C92" s="37"/>
      <c r="D92" s="37"/>
      <c r="E92" s="12"/>
      <c r="F92" s="102"/>
      <c r="G92" s="102"/>
      <c r="H92" s="102"/>
      <c r="I92" s="153"/>
      <c r="J92" s="103"/>
      <c r="K92" s="153"/>
      <c r="L92" s="103"/>
      <c r="M92" s="100"/>
      <c r="N92" s="9"/>
      <c r="O92" s="9"/>
      <c r="P92" s="83"/>
      <c r="Q92" s="37"/>
      <c r="R92" s="12"/>
      <c r="S92" s="38"/>
      <c r="T92" s="37"/>
      <c r="U92" s="37"/>
    </row>
    <row r="93" spans="1:21" x14ac:dyDescent="0.4">
      <c r="A93" s="37"/>
      <c r="B93" s="37"/>
      <c r="C93" s="37"/>
      <c r="D93" s="37"/>
      <c r="E93" s="12"/>
      <c r="F93" s="102"/>
      <c r="G93" s="102"/>
      <c r="H93" s="102"/>
      <c r="I93" s="153"/>
      <c r="J93" s="103"/>
      <c r="K93" s="153"/>
      <c r="L93" s="103"/>
      <c r="M93" s="100"/>
      <c r="N93" s="9"/>
      <c r="O93" s="9"/>
      <c r="P93" s="83"/>
      <c r="Q93" s="37"/>
      <c r="R93" s="12"/>
      <c r="S93" s="38"/>
      <c r="T93" s="37"/>
      <c r="U93" s="37"/>
    </row>
    <row r="94" spans="1:21" x14ac:dyDescent="0.4">
      <c r="A94" s="37"/>
      <c r="B94" s="37"/>
      <c r="C94" s="37"/>
      <c r="D94" s="37"/>
      <c r="E94" s="12"/>
      <c r="F94" s="102"/>
      <c r="G94" s="102"/>
      <c r="H94" s="102"/>
      <c r="I94" s="153"/>
      <c r="J94" s="103"/>
      <c r="K94" s="153"/>
      <c r="L94" s="103"/>
      <c r="M94" s="100"/>
      <c r="N94" s="9"/>
      <c r="O94" s="9"/>
      <c r="P94" s="83"/>
      <c r="Q94" s="37"/>
      <c r="R94" s="12"/>
      <c r="S94" s="38"/>
      <c r="T94" s="37"/>
      <c r="U94" s="37"/>
    </row>
    <row r="95" spans="1:21" x14ac:dyDescent="0.4">
      <c r="A95" s="37"/>
      <c r="B95" s="37"/>
      <c r="C95" s="37"/>
      <c r="D95" s="37"/>
      <c r="E95" s="12"/>
      <c r="F95" s="102"/>
      <c r="G95" s="102"/>
      <c r="H95" s="102"/>
      <c r="I95" s="153"/>
      <c r="J95" s="103"/>
      <c r="K95" s="153"/>
      <c r="L95" s="103"/>
      <c r="M95" s="100"/>
      <c r="N95" s="9"/>
      <c r="O95" s="9"/>
      <c r="P95" s="83"/>
      <c r="Q95" s="37"/>
      <c r="R95" s="12"/>
      <c r="S95" s="38"/>
      <c r="T95" s="37"/>
      <c r="U95" s="37"/>
    </row>
    <row r="96" spans="1:21" x14ac:dyDescent="0.4">
      <c r="A96" s="37"/>
      <c r="B96" s="37"/>
      <c r="C96" s="37"/>
      <c r="D96" s="37"/>
      <c r="E96" s="12"/>
      <c r="F96" s="102"/>
      <c r="G96" s="102"/>
      <c r="H96" s="102"/>
      <c r="I96" s="153"/>
      <c r="J96" s="103"/>
      <c r="K96" s="153"/>
      <c r="L96" s="103"/>
      <c r="M96" s="100"/>
      <c r="N96" s="9"/>
      <c r="O96" s="9"/>
      <c r="P96" s="83"/>
      <c r="Q96" s="37"/>
      <c r="R96" s="12"/>
      <c r="S96" s="38"/>
      <c r="T96" s="37"/>
      <c r="U96" s="37"/>
    </row>
    <row r="97" spans="1:21" x14ac:dyDescent="0.4">
      <c r="A97" s="37"/>
      <c r="B97" s="37"/>
      <c r="C97" s="37"/>
      <c r="D97" s="37"/>
      <c r="E97" s="12"/>
      <c r="F97" s="102"/>
      <c r="G97" s="102"/>
      <c r="H97" s="102"/>
      <c r="I97" s="153"/>
      <c r="J97" s="103"/>
      <c r="K97" s="153"/>
      <c r="L97" s="103"/>
      <c r="M97" s="100"/>
      <c r="N97" s="9"/>
      <c r="O97" s="9"/>
      <c r="P97" s="83"/>
      <c r="Q97" s="37"/>
      <c r="R97" s="12"/>
      <c r="S97" s="38"/>
      <c r="T97" s="37"/>
      <c r="U97" s="37"/>
    </row>
    <row r="98" spans="1:21" x14ac:dyDescent="0.4">
      <c r="A98" s="37"/>
      <c r="B98" s="37"/>
      <c r="C98" s="37"/>
      <c r="D98" s="37"/>
      <c r="E98" s="12"/>
      <c r="F98" s="102"/>
      <c r="G98" s="102"/>
      <c r="H98" s="102"/>
      <c r="I98" s="153"/>
      <c r="J98" s="103"/>
      <c r="K98" s="153"/>
      <c r="L98" s="103"/>
      <c r="M98" s="100"/>
      <c r="N98" s="9"/>
      <c r="O98" s="9"/>
      <c r="P98" s="83"/>
      <c r="Q98" s="37"/>
      <c r="R98" s="12"/>
      <c r="S98" s="38"/>
      <c r="T98" s="37"/>
      <c r="U98" s="37"/>
    </row>
    <row r="99" spans="1:21" x14ac:dyDescent="0.4">
      <c r="A99" s="37"/>
      <c r="B99" s="37"/>
      <c r="C99" s="37"/>
      <c r="D99" s="37"/>
      <c r="E99" s="12"/>
      <c r="F99" s="102"/>
      <c r="G99" s="102"/>
      <c r="H99" s="102"/>
      <c r="I99" s="153"/>
      <c r="J99" s="103"/>
      <c r="K99" s="153"/>
      <c r="L99" s="103"/>
      <c r="M99" s="100"/>
      <c r="N99" s="9"/>
      <c r="O99" s="9"/>
      <c r="P99" s="83"/>
      <c r="Q99" s="37"/>
      <c r="R99" s="12"/>
      <c r="S99" s="38"/>
      <c r="T99" s="37"/>
      <c r="U99" s="37"/>
    </row>
    <row r="100" spans="1:21" x14ac:dyDescent="0.4">
      <c r="A100" s="37"/>
      <c r="B100" s="37"/>
      <c r="C100" s="37"/>
      <c r="D100" s="37"/>
      <c r="E100" s="12"/>
      <c r="F100" s="102"/>
      <c r="G100" s="102"/>
      <c r="H100" s="102"/>
      <c r="I100" s="153"/>
      <c r="J100" s="103"/>
      <c r="K100" s="153"/>
      <c r="L100" s="103"/>
      <c r="M100" s="100"/>
      <c r="N100" s="9"/>
      <c r="O100" s="9"/>
      <c r="P100" s="83"/>
      <c r="Q100" s="37"/>
      <c r="R100" s="12"/>
      <c r="S100" s="38"/>
      <c r="T100" s="37"/>
      <c r="U100" s="37"/>
    </row>
    <row r="101" spans="1:21" x14ac:dyDescent="0.4">
      <c r="A101" s="37"/>
      <c r="B101" s="37"/>
      <c r="C101" s="37"/>
      <c r="D101" s="37"/>
      <c r="E101" s="12"/>
      <c r="F101" s="102"/>
      <c r="G101" s="102"/>
      <c r="H101" s="102"/>
      <c r="I101" s="153"/>
      <c r="J101" s="103"/>
      <c r="K101" s="153"/>
      <c r="L101" s="103"/>
      <c r="M101" s="100"/>
      <c r="N101" s="9"/>
      <c r="O101" s="9"/>
      <c r="P101" s="83"/>
      <c r="Q101" s="37"/>
      <c r="R101" s="12"/>
      <c r="S101" s="38"/>
      <c r="T101" s="37"/>
      <c r="U101" s="37"/>
    </row>
    <row r="102" spans="1:21" x14ac:dyDescent="0.4">
      <c r="A102" s="37"/>
      <c r="B102" s="37"/>
      <c r="C102" s="37"/>
      <c r="D102" s="37"/>
      <c r="E102" s="12"/>
      <c r="F102" s="102"/>
      <c r="G102" s="102"/>
      <c r="H102" s="102"/>
      <c r="I102" s="153"/>
      <c r="J102" s="103"/>
      <c r="K102" s="153"/>
      <c r="L102" s="103"/>
      <c r="M102" s="100"/>
      <c r="N102" s="9"/>
      <c r="O102" s="9"/>
      <c r="P102" s="83"/>
      <c r="Q102" s="37"/>
      <c r="R102" s="12"/>
      <c r="S102" s="38"/>
      <c r="T102" s="37"/>
      <c r="U102" s="37"/>
    </row>
    <row r="103" spans="1:21" x14ac:dyDescent="0.4">
      <c r="A103" s="37"/>
      <c r="B103" s="37"/>
      <c r="C103" s="37"/>
      <c r="D103" s="37"/>
      <c r="E103" s="12"/>
      <c r="F103" s="102"/>
      <c r="G103" s="102"/>
      <c r="H103" s="102"/>
      <c r="I103" s="153"/>
      <c r="J103" s="103"/>
      <c r="K103" s="153"/>
      <c r="L103" s="103"/>
      <c r="M103" s="100"/>
      <c r="N103" s="9"/>
      <c r="O103" s="9"/>
      <c r="P103" s="83"/>
      <c r="Q103" s="37"/>
      <c r="R103" s="12"/>
      <c r="S103" s="38"/>
      <c r="T103" s="37"/>
      <c r="U103" s="37"/>
    </row>
    <row r="104" spans="1:21" x14ac:dyDescent="0.4">
      <c r="A104" s="37"/>
      <c r="B104" s="37"/>
      <c r="C104" s="37"/>
      <c r="D104" s="37"/>
      <c r="E104" s="12"/>
      <c r="F104" s="102"/>
      <c r="G104" s="102"/>
      <c r="H104" s="102"/>
      <c r="I104" s="153"/>
      <c r="J104" s="103"/>
      <c r="K104" s="153"/>
      <c r="L104" s="103"/>
      <c r="M104" s="139"/>
      <c r="N104" s="9"/>
      <c r="O104" s="9"/>
      <c r="P104" s="83"/>
      <c r="Q104" s="37"/>
      <c r="R104" s="12"/>
      <c r="S104" s="38"/>
      <c r="T104" s="37"/>
      <c r="U104" s="37"/>
    </row>
    <row r="105" spans="1:21" x14ac:dyDescent="0.4">
      <c r="A105" s="37"/>
      <c r="B105" s="37"/>
      <c r="C105" s="37"/>
      <c r="D105" s="37"/>
      <c r="E105" s="12"/>
      <c r="F105" s="102"/>
      <c r="G105" s="102"/>
      <c r="H105" s="102"/>
      <c r="I105" s="153"/>
      <c r="J105" s="103"/>
      <c r="K105" s="153"/>
      <c r="L105" s="103"/>
      <c r="M105" s="100"/>
      <c r="N105" s="9"/>
      <c r="O105" s="9"/>
      <c r="P105" s="83"/>
      <c r="Q105" s="37"/>
      <c r="R105" s="12"/>
      <c r="S105" s="38"/>
      <c r="T105" s="37"/>
      <c r="U105" s="37"/>
    </row>
    <row r="106" spans="1:21" x14ac:dyDescent="0.4">
      <c r="A106" s="37"/>
      <c r="B106" s="37"/>
      <c r="C106" s="37"/>
      <c r="D106" s="37"/>
      <c r="E106" s="12"/>
      <c r="F106" s="102"/>
      <c r="G106" s="102"/>
      <c r="H106" s="102"/>
      <c r="I106" s="153"/>
      <c r="J106" s="103"/>
      <c r="K106" s="153"/>
      <c r="L106" s="103"/>
      <c r="M106" s="100"/>
      <c r="N106" s="9"/>
      <c r="O106" s="9"/>
      <c r="P106" s="83"/>
      <c r="Q106" s="37"/>
      <c r="R106" s="12"/>
      <c r="S106" s="38"/>
      <c r="T106" s="37"/>
      <c r="U106" s="37"/>
    </row>
    <row r="107" spans="1:21" x14ac:dyDescent="0.4">
      <c r="A107" s="37"/>
      <c r="B107" s="37"/>
      <c r="C107" s="37"/>
      <c r="D107" s="37"/>
      <c r="E107" s="12"/>
      <c r="F107" s="102"/>
      <c r="G107" s="102"/>
      <c r="H107" s="102"/>
      <c r="I107" s="153"/>
      <c r="J107" s="103"/>
      <c r="K107" s="153"/>
      <c r="L107" s="103"/>
      <c r="M107" s="100"/>
      <c r="N107" s="9"/>
      <c r="O107" s="9"/>
      <c r="P107" s="83"/>
      <c r="Q107" s="37"/>
      <c r="R107" s="12"/>
      <c r="S107" s="38"/>
      <c r="T107" s="37"/>
      <c r="U107" s="37"/>
    </row>
    <row r="108" spans="1:21" x14ac:dyDescent="0.4">
      <c r="A108" s="37"/>
      <c r="B108" s="37"/>
      <c r="C108" s="37"/>
      <c r="D108" s="37"/>
      <c r="E108" s="12"/>
      <c r="F108" s="102"/>
      <c r="G108" s="102"/>
      <c r="H108" s="102"/>
      <c r="I108" s="153"/>
      <c r="J108" s="103"/>
      <c r="K108" s="153"/>
      <c r="L108" s="103"/>
      <c r="M108" s="100"/>
      <c r="N108" s="9"/>
      <c r="O108" s="9"/>
      <c r="P108" s="83"/>
      <c r="Q108" s="37"/>
      <c r="R108" s="12"/>
      <c r="S108" s="38"/>
      <c r="T108" s="37"/>
      <c r="U108" s="37"/>
    </row>
    <row r="109" spans="1:21" x14ac:dyDescent="0.4">
      <c r="A109" s="37"/>
      <c r="B109" s="37"/>
      <c r="C109" s="37"/>
      <c r="D109" s="37"/>
      <c r="E109" s="12"/>
      <c r="F109" s="102"/>
      <c r="G109" s="102"/>
      <c r="H109" s="102"/>
      <c r="I109" s="153"/>
      <c r="J109" s="103"/>
      <c r="K109" s="153"/>
      <c r="L109" s="103"/>
      <c r="M109" s="100"/>
      <c r="N109" s="9"/>
      <c r="O109" s="9"/>
      <c r="P109" s="83"/>
      <c r="Q109" s="37"/>
      <c r="R109" s="12"/>
      <c r="S109" s="38"/>
      <c r="T109" s="37"/>
      <c r="U109" s="37"/>
    </row>
    <row r="110" spans="1:21" x14ac:dyDescent="0.4">
      <c r="A110" s="37"/>
      <c r="B110" s="37"/>
      <c r="C110" s="37"/>
      <c r="D110" s="37"/>
      <c r="E110" s="12"/>
      <c r="F110" s="102"/>
      <c r="G110" s="102"/>
      <c r="H110" s="102"/>
      <c r="I110" s="153"/>
      <c r="J110" s="103"/>
      <c r="K110" s="153"/>
      <c r="L110" s="103"/>
      <c r="M110" s="100"/>
      <c r="N110" s="9"/>
      <c r="O110" s="9"/>
      <c r="P110" s="83"/>
      <c r="Q110" s="37"/>
      <c r="R110" s="12"/>
      <c r="S110" s="38"/>
      <c r="T110" s="37"/>
      <c r="U110" s="37"/>
    </row>
    <row r="111" spans="1:21" x14ac:dyDescent="0.4">
      <c r="A111" s="37"/>
      <c r="B111" s="37"/>
      <c r="C111" s="37"/>
      <c r="D111" s="37"/>
      <c r="E111" s="9"/>
      <c r="F111" s="102"/>
      <c r="G111" s="102"/>
      <c r="H111" s="102"/>
      <c r="I111" s="153"/>
      <c r="J111" s="103"/>
      <c r="K111" s="153"/>
      <c r="L111" s="103"/>
      <c r="M111" s="100"/>
      <c r="N111" s="9"/>
      <c r="O111" s="9"/>
      <c r="P111" s="83"/>
      <c r="Q111" s="37"/>
      <c r="R111" s="12"/>
      <c r="S111" s="38"/>
      <c r="T111" s="37"/>
      <c r="U111" s="37"/>
    </row>
    <row r="112" spans="1:21" x14ac:dyDescent="0.4">
      <c r="A112" s="37"/>
      <c r="B112" s="37"/>
      <c r="C112" s="37"/>
      <c r="D112" s="37"/>
      <c r="E112" s="12"/>
      <c r="F112" s="102"/>
      <c r="G112" s="102"/>
      <c r="H112" s="102"/>
      <c r="I112" s="153"/>
      <c r="J112" s="103"/>
      <c r="K112" s="153"/>
      <c r="L112" s="103"/>
      <c r="M112" s="100"/>
      <c r="N112" s="9"/>
      <c r="O112" s="9"/>
      <c r="P112" s="83"/>
      <c r="Q112" s="37"/>
      <c r="R112" s="12"/>
      <c r="S112" s="38"/>
      <c r="T112" s="37"/>
      <c r="U112" s="37"/>
    </row>
    <row r="113" spans="1:21" x14ac:dyDescent="0.4">
      <c r="A113" s="37"/>
      <c r="B113" s="37"/>
      <c r="C113" s="37"/>
      <c r="D113" s="37"/>
      <c r="E113" s="12"/>
      <c r="F113" s="102"/>
      <c r="G113" s="102"/>
      <c r="H113" s="102"/>
      <c r="I113" s="153"/>
      <c r="J113" s="103"/>
      <c r="K113" s="153"/>
      <c r="L113" s="103"/>
      <c r="M113" s="100"/>
      <c r="N113" s="12"/>
      <c r="O113" s="12"/>
      <c r="P113" s="83"/>
      <c r="Q113" s="37"/>
      <c r="R113" s="12"/>
      <c r="S113" s="38"/>
      <c r="T113" s="37"/>
      <c r="U113" s="37"/>
    </row>
    <row r="114" spans="1:21" x14ac:dyDescent="0.4">
      <c r="A114" s="37"/>
      <c r="B114" s="37"/>
      <c r="C114" s="37"/>
      <c r="D114" s="37"/>
      <c r="E114" s="12"/>
      <c r="F114" s="102"/>
      <c r="G114" s="102"/>
      <c r="H114" s="102"/>
      <c r="I114" s="153"/>
      <c r="J114" s="103"/>
      <c r="K114" s="153"/>
      <c r="L114" s="103"/>
      <c r="M114" s="100"/>
      <c r="N114" s="9"/>
      <c r="O114" s="9"/>
      <c r="P114" s="83"/>
      <c r="Q114" s="37"/>
      <c r="R114" s="12"/>
      <c r="S114" s="38"/>
      <c r="T114" s="37"/>
      <c r="U114" s="37"/>
    </row>
    <row r="115" spans="1:21" x14ac:dyDescent="0.4">
      <c r="A115" s="37"/>
      <c r="B115" s="37"/>
      <c r="C115" s="37"/>
      <c r="D115" s="37"/>
      <c r="E115" s="12"/>
      <c r="F115" s="102"/>
      <c r="G115" s="102"/>
      <c r="H115" s="102"/>
      <c r="I115" s="153"/>
      <c r="J115" s="103"/>
      <c r="K115" s="153"/>
      <c r="L115" s="103"/>
      <c r="M115" s="100"/>
      <c r="N115" s="9"/>
      <c r="O115" s="9"/>
      <c r="P115" s="83"/>
      <c r="Q115" s="37"/>
      <c r="R115" s="12"/>
      <c r="S115" s="38"/>
      <c r="T115" s="37"/>
      <c r="U115" s="37"/>
    </row>
    <row r="116" spans="1:21" x14ac:dyDescent="0.4">
      <c r="A116" s="37"/>
      <c r="B116" s="37"/>
      <c r="C116" s="37"/>
      <c r="D116" s="37"/>
      <c r="E116" s="12"/>
      <c r="F116" s="102"/>
      <c r="G116" s="102"/>
      <c r="H116" s="102"/>
      <c r="I116" s="153"/>
      <c r="J116" s="103"/>
      <c r="K116" s="153"/>
      <c r="L116" s="103"/>
      <c r="M116" s="100"/>
      <c r="N116" s="9"/>
      <c r="O116" s="9"/>
      <c r="P116" s="83"/>
      <c r="Q116" s="37"/>
      <c r="R116" s="12"/>
      <c r="S116" s="38"/>
      <c r="T116" s="37"/>
      <c r="U116" s="37"/>
    </row>
    <row r="117" spans="1:21" x14ac:dyDescent="0.4">
      <c r="A117" s="37"/>
      <c r="B117" s="37"/>
      <c r="C117" s="37"/>
      <c r="D117" s="37"/>
      <c r="E117" s="12"/>
      <c r="F117" s="102"/>
      <c r="G117" s="102"/>
      <c r="H117" s="102"/>
      <c r="I117" s="153"/>
      <c r="J117" s="103"/>
      <c r="K117" s="153"/>
      <c r="L117" s="103"/>
      <c r="M117" s="100"/>
      <c r="N117" s="9"/>
      <c r="O117" s="9"/>
      <c r="P117" s="83"/>
      <c r="Q117" s="37"/>
      <c r="R117" s="12"/>
      <c r="S117" s="38"/>
      <c r="T117" s="37"/>
      <c r="U117" s="37"/>
    </row>
    <row r="118" spans="1:21" x14ac:dyDescent="0.4">
      <c r="A118" s="37"/>
      <c r="B118" s="37"/>
      <c r="C118" s="37"/>
      <c r="D118" s="37"/>
      <c r="E118" s="12"/>
      <c r="F118" s="102"/>
      <c r="G118" s="102"/>
      <c r="H118" s="102"/>
      <c r="I118" s="153"/>
      <c r="J118" s="103"/>
      <c r="K118" s="153"/>
      <c r="L118" s="103"/>
      <c r="M118" s="100"/>
      <c r="N118" s="9"/>
      <c r="O118" s="9"/>
      <c r="P118" s="37"/>
      <c r="Q118" s="37"/>
      <c r="R118" s="12"/>
      <c r="S118" s="38"/>
      <c r="T118" s="37"/>
      <c r="U118" s="37"/>
    </row>
    <row r="119" spans="1:21" x14ac:dyDescent="0.4">
      <c r="A119" s="37"/>
      <c r="B119" s="37"/>
      <c r="C119" s="37"/>
      <c r="D119" s="37"/>
      <c r="E119" s="12"/>
      <c r="F119" s="102"/>
      <c r="G119" s="102"/>
      <c r="H119" s="102"/>
      <c r="I119" s="153"/>
      <c r="J119" s="103"/>
      <c r="K119" s="153"/>
      <c r="L119" s="103"/>
      <c r="M119" s="100"/>
      <c r="N119" s="9"/>
      <c r="O119" s="9"/>
      <c r="P119" s="83"/>
      <c r="Q119" s="37"/>
      <c r="R119" s="12"/>
      <c r="S119" s="38"/>
      <c r="T119" s="37"/>
      <c r="U119" s="37"/>
    </row>
    <row r="120" spans="1:21" x14ac:dyDescent="0.4">
      <c r="A120" s="37"/>
      <c r="B120" s="37"/>
      <c r="C120" s="37"/>
      <c r="D120" s="37"/>
      <c r="E120" s="12"/>
      <c r="F120" s="102"/>
      <c r="G120" s="102"/>
      <c r="H120" s="102"/>
      <c r="I120" s="153"/>
      <c r="J120" s="103"/>
      <c r="K120" s="153"/>
      <c r="L120" s="103"/>
      <c r="M120" s="100"/>
      <c r="N120" s="9"/>
      <c r="O120" s="9"/>
      <c r="P120" s="83"/>
      <c r="Q120" s="37"/>
      <c r="R120" s="12"/>
      <c r="S120" s="38"/>
      <c r="T120" s="37"/>
      <c r="U120" s="37"/>
    </row>
    <row r="121" spans="1:21" x14ac:dyDescent="0.4">
      <c r="A121" s="37"/>
      <c r="B121" s="37"/>
      <c r="C121" s="37"/>
      <c r="D121" s="37"/>
      <c r="E121" s="12"/>
      <c r="F121" s="102"/>
      <c r="G121" s="102"/>
      <c r="H121" s="102"/>
      <c r="I121" s="153"/>
      <c r="J121" s="103"/>
      <c r="K121" s="153"/>
      <c r="L121" s="103"/>
      <c r="M121" s="100"/>
      <c r="N121" s="9"/>
      <c r="O121" s="9"/>
      <c r="P121" s="83"/>
      <c r="Q121" s="37"/>
      <c r="R121" s="12"/>
      <c r="S121" s="38"/>
      <c r="T121" s="37"/>
      <c r="U121" s="37"/>
    </row>
    <row r="122" spans="1:21" x14ac:dyDescent="0.4">
      <c r="A122" s="37"/>
      <c r="B122" s="37"/>
      <c r="C122" s="37"/>
      <c r="D122" s="37"/>
      <c r="E122" s="12"/>
      <c r="F122" s="102"/>
      <c r="G122" s="102"/>
      <c r="H122" s="102"/>
      <c r="I122" s="153"/>
      <c r="J122" s="103"/>
      <c r="K122" s="153"/>
      <c r="L122" s="103"/>
      <c r="M122" s="100"/>
      <c r="N122" s="9"/>
      <c r="O122" s="9"/>
      <c r="P122" s="83"/>
      <c r="Q122" s="37"/>
      <c r="R122" s="12"/>
      <c r="S122" s="38"/>
      <c r="T122" s="37"/>
      <c r="U122" s="37"/>
    </row>
    <row r="123" spans="1:21" x14ac:dyDescent="0.4">
      <c r="A123" s="37"/>
      <c r="B123" s="37"/>
      <c r="C123" s="37"/>
      <c r="D123" s="37"/>
      <c r="E123" s="12"/>
      <c r="F123" s="102"/>
      <c r="G123" s="102"/>
      <c r="H123" s="102"/>
      <c r="I123" s="153"/>
      <c r="J123" s="103"/>
      <c r="K123" s="153"/>
      <c r="L123" s="103"/>
      <c r="M123" s="100"/>
      <c r="N123" s="9"/>
      <c r="O123" s="9"/>
      <c r="P123" s="83"/>
      <c r="Q123" s="37"/>
      <c r="R123" s="12"/>
      <c r="S123" s="38"/>
      <c r="T123" s="37"/>
      <c r="U123" s="37"/>
    </row>
    <row r="124" spans="1:21" x14ac:dyDescent="0.4">
      <c r="A124" s="37"/>
      <c r="B124" s="37"/>
      <c r="C124" s="37"/>
      <c r="D124" s="37"/>
      <c r="E124" s="12"/>
      <c r="F124" s="102"/>
      <c r="G124" s="102"/>
      <c r="H124" s="102"/>
      <c r="I124" s="153"/>
      <c r="J124" s="103"/>
      <c r="K124" s="153"/>
      <c r="L124" s="103"/>
      <c r="M124" s="100"/>
      <c r="N124" s="9"/>
      <c r="O124" s="9"/>
      <c r="P124" s="37"/>
      <c r="Q124" s="37"/>
      <c r="R124" s="12"/>
      <c r="S124" s="38"/>
      <c r="T124" s="37"/>
      <c r="U124" s="37"/>
    </row>
    <row r="125" spans="1:21" x14ac:dyDescent="0.4">
      <c r="A125" s="37"/>
      <c r="B125" s="37"/>
      <c r="C125" s="37"/>
      <c r="D125" s="37"/>
      <c r="E125" s="12"/>
      <c r="F125" s="102"/>
      <c r="G125" s="102"/>
      <c r="H125" s="102"/>
      <c r="I125" s="153"/>
      <c r="J125" s="103"/>
      <c r="K125" s="153"/>
      <c r="L125" s="103"/>
      <c r="M125" s="100"/>
      <c r="N125" s="9"/>
      <c r="O125" s="9"/>
      <c r="P125" s="83"/>
      <c r="Q125" s="37"/>
      <c r="R125" s="12"/>
      <c r="S125" s="38"/>
      <c r="T125" s="37"/>
      <c r="U125" s="37"/>
    </row>
    <row r="126" spans="1:21" x14ac:dyDescent="0.4">
      <c r="A126" s="37"/>
      <c r="B126" s="37"/>
      <c r="C126" s="37"/>
      <c r="D126" s="37"/>
      <c r="E126" s="12"/>
      <c r="F126" s="102"/>
      <c r="G126" s="102"/>
      <c r="H126" s="102"/>
      <c r="I126" s="153"/>
      <c r="J126" s="103"/>
      <c r="K126" s="153"/>
      <c r="L126" s="103"/>
      <c r="M126" s="100"/>
      <c r="N126" s="9"/>
      <c r="O126" s="9"/>
      <c r="P126" s="83"/>
      <c r="Q126" s="37"/>
      <c r="R126" s="12"/>
      <c r="S126" s="38"/>
      <c r="T126" s="37"/>
      <c r="U126" s="37"/>
    </row>
    <row r="127" spans="1:21" x14ac:dyDescent="0.4">
      <c r="A127" s="37"/>
      <c r="B127" s="37"/>
      <c r="C127" s="37"/>
      <c r="D127" s="37"/>
      <c r="E127" s="12"/>
      <c r="F127" s="102"/>
      <c r="G127" s="102"/>
      <c r="H127" s="102"/>
      <c r="I127" s="153"/>
      <c r="J127" s="103"/>
      <c r="K127" s="153"/>
      <c r="L127" s="103"/>
      <c r="M127" s="100"/>
      <c r="N127" s="9"/>
      <c r="O127" s="9"/>
      <c r="P127" s="83"/>
      <c r="Q127" s="37"/>
      <c r="R127" s="12"/>
      <c r="S127" s="38"/>
      <c r="T127" s="37"/>
      <c r="U127" s="37"/>
    </row>
    <row r="128" spans="1:21" x14ac:dyDescent="0.4">
      <c r="A128" s="37"/>
      <c r="B128" s="37"/>
      <c r="C128" s="37"/>
      <c r="D128" s="37"/>
      <c r="E128" s="12"/>
      <c r="F128" s="102"/>
      <c r="G128" s="102"/>
      <c r="H128" s="102"/>
      <c r="I128" s="153"/>
      <c r="J128" s="103"/>
      <c r="K128" s="153"/>
      <c r="L128" s="103"/>
      <c r="M128" s="100"/>
      <c r="N128" s="9"/>
      <c r="O128" s="9"/>
      <c r="P128" s="83"/>
      <c r="Q128" s="37"/>
      <c r="R128" s="12"/>
      <c r="S128" s="38"/>
      <c r="T128" s="37"/>
      <c r="U128" s="37"/>
    </row>
    <row r="129" spans="1:21" x14ac:dyDescent="0.4">
      <c r="A129" s="37"/>
      <c r="B129" s="37"/>
      <c r="C129" s="37"/>
      <c r="D129" s="37"/>
      <c r="E129" s="12"/>
      <c r="F129" s="102"/>
      <c r="G129" s="102"/>
      <c r="H129" s="102"/>
      <c r="I129" s="153"/>
      <c r="J129" s="103"/>
      <c r="K129" s="153"/>
      <c r="L129" s="103"/>
      <c r="M129" s="100"/>
      <c r="N129" s="9"/>
      <c r="O129" s="9"/>
      <c r="P129" s="83"/>
      <c r="Q129" s="37"/>
      <c r="R129" s="12"/>
      <c r="S129" s="38"/>
      <c r="T129" s="37"/>
      <c r="U129" s="37"/>
    </row>
    <row r="130" spans="1:21" x14ac:dyDescent="0.4">
      <c r="A130" s="37"/>
      <c r="B130" s="37"/>
      <c r="C130" s="37"/>
      <c r="D130" s="37"/>
      <c r="E130" s="12"/>
      <c r="F130" s="102"/>
      <c r="G130" s="102"/>
      <c r="H130" s="102"/>
      <c r="I130" s="153"/>
      <c r="J130" s="103"/>
      <c r="K130" s="153"/>
      <c r="L130" s="103"/>
      <c r="M130" s="100"/>
      <c r="N130" s="9"/>
      <c r="O130" s="9"/>
      <c r="P130" s="83"/>
      <c r="Q130" s="37"/>
      <c r="R130" s="12"/>
      <c r="S130" s="38"/>
      <c r="T130" s="37"/>
      <c r="U130" s="37"/>
    </row>
    <row r="131" spans="1:21" x14ac:dyDescent="0.4">
      <c r="A131" s="37"/>
      <c r="B131" s="37"/>
      <c r="C131" s="37"/>
      <c r="D131" s="37"/>
      <c r="E131" s="9"/>
      <c r="F131" s="102"/>
      <c r="G131" s="102"/>
      <c r="H131" s="102"/>
      <c r="I131" s="153"/>
      <c r="J131" s="103"/>
      <c r="K131" s="153"/>
      <c r="L131" s="103"/>
      <c r="M131" s="100"/>
      <c r="N131" s="9"/>
      <c r="O131" s="9"/>
      <c r="P131" s="83"/>
      <c r="Q131" s="37"/>
      <c r="R131" s="12"/>
      <c r="S131" s="38"/>
      <c r="T131" s="37"/>
      <c r="U131" s="37"/>
    </row>
    <row r="132" spans="1:21" x14ac:dyDescent="0.4">
      <c r="A132" s="37"/>
      <c r="B132" s="37"/>
      <c r="C132" s="37"/>
      <c r="D132" s="37"/>
      <c r="E132" s="12"/>
      <c r="F132" s="102"/>
      <c r="G132" s="102"/>
      <c r="H132" s="102"/>
      <c r="I132" s="153"/>
      <c r="J132" s="103"/>
      <c r="K132" s="153"/>
      <c r="L132" s="103"/>
      <c r="M132" s="100"/>
      <c r="N132" s="9"/>
      <c r="O132" s="9"/>
      <c r="P132" s="83"/>
      <c r="Q132" s="37"/>
      <c r="R132" s="12"/>
      <c r="S132" s="38"/>
      <c r="T132" s="37"/>
      <c r="U132" s="37"/>
    </row>
    <row r="133" spans="1:21" x14ac:dyDescent="0.4">
      <c r="A133" s="37"/>
      <c r="B133" s="37"/>
      <c r="C133" s="37"/>
      <c r="D133" s="37"/>
      <c r="E133" s="12"/>
      <c r="F133" s="102"/>
      <c r="G133" s="102"/>
      <c r="H133" s="102"/>
      <c r="I133" s="153"/>
      <c r="J133" s="103"/>
      <c r="K133" s="153"/>
      <c r="L133" s="103"/>
      <c r="M133" s="100"/>
      <c r="N133" s="9"/>
      <c r="O133" s="9"/>
      <c r="P133" s="83"/>
      <c r="Q133" s="37"/>
      <c r="R133" s="12"/>
      <c r="S133" s="38"/>
      <c r="T133" s="37"/>
      <c r="U133" s="37"/>
    </row>
    <row r="134" spans="1:21" x14ac:dyDescent="0.4">
      <c r="A134" s="37"/>
      <c r="B134" s="37"/>
      <c r="C134" s="37"/>
      <c r="D134" s="37"/>
      <c r="E134" s="12"/>
      <c r="F134" s="102"/>
      <c r="G134" s="102"/>
      <c r="H134" s="102"/>
      <c r="I134" s="153"/>
      <c r="J134" s="103"/>
      <c r="K134" s="153"/>
      <c r="L134" s="103"/>
      <c r="M134" s="100"/>
      <c r="N134" s="9"/>
      <c r="O134" s="9"/>
      <c r="P134" s="83"/>
      <c r="Q134" s="37"/>
      <c r="R134" s="12"/>
      <c r="S134" s="38"/>
      <c r="T134" s="37"/>
      <c r="U134" s="37"/>
    </row>
    <row r="135" spans="1:21" x14ac:dyDescent="0.4">
      <c r="A135" s="37"/>
      <c r="B135" s="37"/>
      <c r="C135" s="37"/>
      <c r="D135" s="37"/>
      <c r="E135" s="12"/>
      <c r="F135" s="102"/>
      <c r="G135" s="102"/>
      <c r="H135" s="102"/>
      <c r="I135" s="153"/>
      <c r="J135" s="103"/>
      <c r="K135" s="153"/>
      <c r="L135" s="103"/>
      <c r="M135" s="100"/>
      <c r="N135" s="12"/>
      <c r="O135" s="12"/>
      <c r="P135" s="83"/>
      <c r="Q135" s="37"/>
      <c r="R135" s="12"/>
      <c r="S135" s="38"/>
      <c r="T135" s="37"/>
      <c r="U135" s="37"/>
    </row>
    <row r="136" spans="1:21" x14ac:dyDescent="0.4">
      <c r="A136" s="37"/>
      <c r="B136" s="37"/>
      <c r="C136" s="37"/>
      <c r="D136" s="37"/>
      <c r="E136" s="12"/>
      <c r="F136" s="102"/>
      <c r="G136" s="102"/>
      <c r="H136" s="102"/>
      <c r="I136" s="153"/>
      <c r="J136" s="103"/>
      <c r="K136" s="153"/>
      <c r="L136" s="103"/>
      <c r="M136" s="100"/>
      <c r="N136" s="9"/>
      <c r="O136" s="9"/>
      <c r="P136" s="83"/>
      <c r="Q136" s="37"/>
      <c r="R136" s="12"/>
      <c r="S136" s="38"/>
      <c r="T136" s="37"/>
      <c r="U136" s="37"/>
    </row>
    <row r="137" spans="1:21" x14ac:dyDescent="0.4">
      <c r="A137" s="37"/>
      <c r="B137" s="37"/>
      <c r="C137" s="37"/>
      <c r="D137" s="37"/>
      <c r="E137" s="12"/>
      <c r="F137" s="102"/>
      <c r="G137" s="102"/>
      <c r="H137" s="102"/>
      <c r="I137" s="153"/>
      <c r="J137" s="103"/>
      <c r="K137" s="153"/>
      <c r="L137" s="103"/>
      <c r="M137" s="100"/>
      <c r="N137" s="9"/>
      <c r="O137" s="9"/>
      <c r="P137" s="83"/>
      <c r="Q137" s="37"/>
      <c r="R137" s="12"/>
      <c r="S137" s="38"/>
      <c r="T137" s="37"/>
      <c r="U137" s="37"/>
    </row>
    <row r="138" spans="1:21" x14ac:dyDescent="0.4">
      <c r="A138" s="37"/>
      <c r="B138" s="37"/>
      <c r="C138" s="37"/>
      <c r="D138" s="37"/>
      <c r="E138" s="12"/>
      <c r="F138" s="102"/>
      <c r="G138" s="102"/>
      <c r="H138" s="102"/>
      <c r="I138" s="153"/>
      <c r="J138" s="103"/>
      <c r="K138" s="153"/>
      <c r="L138" s="103"/>
      <c r="M138" s="100"/>
      <c r="N138" s="9"/>
      <c r="O138" s="9"/>
      <c r="P138" s="83"/>
      <c r="Q138" s="37"/>
      <c r="R138" s="12"/>
      <c r="S138" s="38"/>
      <c r="T138" s="37"/>
      <c r="U138" s="37"/>
    </row>
    <row r="139" spans="1:21" x14ac:dyDescent="0.4">
      <c r="A139" s="37"/>
      <c r="B139" s="37"/>
      <c r="C139" s="37"/>
      <c r="D139" s="37"/>
      <c r="E139" s="12"/>
      <c r="F139" s="102"/>
      <c r="G139" s="102"/>
      <c r="H139" s="102"/>
      <c r="I139" s="153"/>
      <c r="J139" s="103"/>
      <c r="K139" s="153"/>
      <c r="L139" s="103"/>
      <c r="M139" s="100"/>
      <c r="N139" s="9"/>
      <c r="O139" s="9"/>
      <c r="P139" s="83"/>
      <c r="Q139" s="37"/>
      <c r="R139" s="12"/>
      <c r="S139" s="38"/>
      <c r="T139" s="37"/>
      <c r="U139" s="37"/>
    </row>
    <row r="140" spans="1:21" x14ac:dyDescent="0.4">
      <c r="A140" s="37"/>
      <c r="B140" s="37"/>
      <c r="C140" s="37"/>
      <c r="D140" s="37"/>
      <c r="E140" s="12"/>
      <c r="F140" s="102"/>
      <c r="G140" s="102"/>
      <c r="H140" s="102"/>
      <c r="I140" s="153"/>
      <c r="J140" s="103"/>
      <c r="K140" s="153"/>
      <c r="L140" s="103"/>
      <c r="M140" s="100"/>
      <c r="N140" s="9"/>
      <c r="O140" s="9"/>
      <c r="P140" s="83"/>
      <c r="Q140" s="37"/>
      <c r="R140" s="12"/>
      <c r="S140" s="38"/>
      <c r="T140" s="37"/>
      <c r="U140" s="37"/>
    </row>
    <row r="141" spans="1:21" x14ac:dyDescent="0.4">
      <c r="A141" s="37"/>
      <c r="B141" s="37"/>
      <c r="C141" s="37"/>
      <c r="D141" s="37"/>
      <c r="E141" s="12"/>
      <c r="F141" s="102"/>
      <c r="G141" s="102"/>
      <c r="H141" s="102"/>
      <c r="I141" s="153"/>
      <c r="J141" s="103"/>
      <c r="K141" s="153"/>
      <c r="L141" s="103"/>
      <c r="M141" s="100"/>
      <c r="N141" s="9"/>
      <c r="O141" s="9"/>
      <c r="P141" s="83"/>
      <c r="Q141" s="37"/>
      <c r="R141" s="12"/>
      <c r="S141" s="38"/>
      <c r="T141" s="37"/>
      <c r="U141" s="37"/>
    </row>
    <row r="142" spans="1:21" x14ac:dyDescent="0.4">
      <c r="A142" s="37"/>
      <c r="B142" s="37"/>
      <c r="C142" s="37"/>
      <c r="D142" s="37"/>
      <c r="E142" s="12"/>
      <c r="F142" s="102"/>
      <c r="G142" s="102"/>
      <c r="H142" s="102"/>
      <c r="I142" s="153"/>
      <c r="J142" s="103"/>
      <c r="K142" s="153"/>
      <c r="L142" s="103"/>
      <c r="M142" s="100"/>
      <c r="N142" s="9"/>
      <c r="O142" s="9"/>
      <c r="P142" s="83"/>
      <c r="Q142" s="37"/>
      <c r="R142" s="12"/>
      <c r="S142" s="38"/>
      <c r="T142" s="37"/>
      <c r="U142" s="37"/>
    </row>
  </sheetData>
  <conditionalFormatting sqref="B5:B7">
    <cfRule type="cellIs" dxfId="4" priority="136" operator="equal">
      <formula>"NOK"</formula>
    </cfRule>
  </conditionalFormatting>
  <conditionalFormatting sqref="F2:L142">
    <cfRule type="cellIs" dxfId="3" priority="2" operator="equal">
      <formula>"NOK"</formula>
    </cfRule>
  </conditionalFormatting>
  <conditionalFormatting sqref="P5:P7 P22 P84 P118 P124">
    <cfRule type="cellIs" dxfId="2" priority="8" operator="equal">
      <formula>"NOK"</formula>
    </cfRule>
  </conditionalFormatting>
  <conditionalFormatting sqref="P9:P10">
    <cfRule type="cellIs" dxfId="1" priority="170" operator="equal">
      <formula>"NOK"</formula>
    </cfRule>
  </conditionalFormatting>
  <conditionalFormatting sqref="P96">
    <cfRule type="cellIs" dxfId="0" priority="1" operator="equal">
      <formula>"NOK"</formula>
    </cfRule>
  </conditionalFormatting>
  <pageMargins left="0.7" right="0.7" top="0.75" bottom="0.75" header="0.3" footer="0.3"/>
  <pageSetup paperSize="9"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E384E97250254ABC68DFAFCC343F2A" ma:contentTypeVersion="15" ma:contentTypeDescription="Crée un document." ma:contentTypeScope="" ma:versionID="b95331103202f6634dacc25a610eec03">
  <xsd:schema xmlns:xsd="http://www.w3.org/2001/XMLSchema" xmlns:xs="http://www.w3.org/2001/XMLSchema" xmlns:p="http://schemas.microsoft.com/office/2006/metadata/properties" xmlns:ns3="1ace832b-335f-4139-9ae4-9bb1f6a014cc" xmlns:ns4="a78301c5-c247-44aa-b990-a6b9e7956b88" targetNamespace="http://schemas.microsoft.com/office/2006/metadata/properties" ma:root="true" ma:fieldsID="66d3bafa0a870b415d8cc2a7d1362eea" ns3:_="" ns4:_="">
    <xsd:import namespace="1ace832b-335f-4139-9ae4-9bb1f6a014cc"/>
    <xsd:import namespace="a78301c5-c247-44aa-b990-a6b9e7956b88"/>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ce832b-335f-4139-9ae4-9bb1f6a01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_activity" ma:index="15" nillable="true" ma:displayName="_activity" ma:hidden="true" ma:internalName="_activity">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8301c5-c247-44aa-b990-a6b9e7956b88"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SharingHintHash" ma:index="12"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ace832b-335f-4139-9ae4-9bb1f6a014c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998029-D781-4F2A-BAA7-A714BAC6CB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ce832b-335f-4139-9ae4-9bb1f6a014cc"/>
    <ds:schemaRef ds:uri="a78301c5-c247-44aa-b990-a6b9e7956b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230F2A-9F46-4E5C-8F73-B5D255F1229E}">
  <ds:schemaRefs>
    <ds:schemaRef ds:uri="http://purl.org/dc/dcmitype/"/>
    <ds:schemaRef ds:uri="a78301c5-c247-44aa-b990-a6b9e7956b88"/>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http://www.w3.org/XML/1998/namespace"/>
    <ds:schemaRef ds:uri="http://purl.org/dc/elements/1.1/"/>
    <ds:schemaRef ds:uri="1ace832b-335f-4139-9ae4-9bb1f6a014cc"/>
    <ds:schemaRef ds:uri="http://schemas.microsoft.com/office/2006/metadata/properties"/>
  </ds:schemaRefs>
</ds:datastoreItem>
</file>

<file path=customXml/itemProps3.xml><?xml version="1.0" encoding="utf-8"?>
<ds:datastoreItem xmlns:ds="http://schemas.openxmlformats.org/officeDocument/2006/customXml" ds:itemID="{FDAFA7FE-6C12-440F-8E74-8F7C546BE8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41</vt:i4>
      </vt:variant>
    </vt:vector>
  </HeadingPairs>
  <TitlesOfParts>
    <vt:vector size="41" baseType="lpstr">
      <vt:lpstr>Plan d'action</vt:lpstr>
      <vt:lpstr>Suivi Perfomances</vt:lpstr>
      <vt:lpstr>Objectifs_2022</vt:lpstr>
      <vt:lpstr>JANVIER_2026</vt:lpstr>
      <vt:lpstr>Synthese_2018</vt:lpstr>
      <vt:lpstr>objectifs_Semestre_2_2018</vt:lpstr>
      <vt:lpstr>Janvier_2018</vt:lpstr>
      <vt:lpstr>Février_2018</vt:lpstr>
      <vt:lpstr>Mars_2018</vt:lpstr>
      <vt:lpstr>Avril_2018</vt:lpstr>
      <vt:lpstr>Mai_2018</vt:lpstr>
      <vt:lpstr>Juin_2018</vt:lpstr>
      <vt:lpstr>Juillet_2018</vt:lpstr>
      <vt:lpstr>Aout_2018</vt:lpstr>
      <vt:lpstr>Septembre_2018</vt:lpstr>
      <vt:lpstr>Octobre_2018</vt:lpstr>
      <vt:lpstr>Novembre_2018</vt:lpstr>
      <vt:lpstr>Decembre_2018</vt:lpstr>
      <vt:lpstr>Janvier_2019</vt:lpstr>
      <vt:lpstr>Février_2019</vt:lpstr>
      <vt:lpstr>Mars_2019</vt:lpstr>
      <vt:lpstr>Avril_2019</vt:lpstr>
      <vt:lpstr>MAI_2019</vt:lpstr>
      <vt:lpstr>JUIN_2019</vt:lpstr>
      <vt:lpstr>JUILLET_2019</vt:lpstr>
      <vt:lpstr>AOUT_2019</vt:lpstr>
      <vt:lpstr>SEPTEMBRE_2019</vt:lpstr>
      <vt:lpstr>OCTOBRE_2019</vt:lpstr>
      <vt:lpstr>NOVEMBRE_2019</vt:lpstr>
      <vt:lpstr>DECEMBRE_2019</vt:lpstr>
      <vt:lpstr>FEVRIER_2026</vt:lpstr>
      <vt:lpstr>MARS_2026</vt:lpstr>
      <vt:lpstr>AVRIL_2026</vt:lpstr>
      <vt:lpstr>MAI_2026</vt:lpstr>
      <vt:lpstr>JUIN_2026</vt:lpstr>
      <vt:lpstr>JUILLET_2026</vt:lpstr>
      <vt:lpstr>AOUT_2026</vt:lpstr>
      <vt:lpstr>SEPTEMBRE_2025</vt:lpstr>
      <vt:lpstr>OCTOBRE_2025</vt:lpstr>
      <vt:lpstr>NOVEMBRE_2025</vt:lpstr>
      <vt:lpstr>DECEMBRE_2025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Incidentmanagement.Smc OGC</dc:creator>
  <cp:lastModifiedBy>Incidentmanagement.Smc OGC</cp:lastModifiedBy>
  <cp:lastPrinted>2024-04-08T17:26:15Z</cp:lastPrinted>
  <dcterms:created xsi:type="dcterms:W3CDTF">2018-08-14T11:15:18Z</dcterms:created>
  <dcterms:modified xsi:type="dcterms:W3CDTF">2026-06-04T00:42:50Z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0x01010072E384E97250254ABC68DFAFCC343F2A</vt:lpwstr>
  </property>
</Properties>
</file>